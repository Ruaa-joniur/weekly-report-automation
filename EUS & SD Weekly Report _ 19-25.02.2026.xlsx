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Golden Black\Desktop\reports_automation\"/>
    </mc:Choice>
  </mc:AlternateContent>
  <bookViews>
    <workbookView xWindow="0" yWindow="0" windowWidth="14380" windowHeight="4580" activeTab="1"/>
  </bookViews>
  <sheets>
    <sheet name="pivot open" sheetId="6" r:id="rId1"/>
    <sheet name="Open" sheetId="4" r:id="rId2"/>
    <sheet name="Pivot closed" sheetId="7" r:id="rId3"/>
    <sheet name="Closed" sheetId="5" r:id="rId4"/>
    <sheet name="Consolidated" sheetId="8" r:id="rId5"/>
  </sheets>
  <definedNames>
    <definedName name="__bookmark_1">#REF!</definedName>
    <definedName name="_xlnm._FilterDatabase" localSheetId="3" hidden="1">Closed!$A$1:$AN$529</definedName>
    <definedName name="_xlnm._FilterDatabase" localSheetId="1" hidden="1">Open!$A$1:$AE$480</definedName>
  </definedNames>
  <calcPr calcId="152511"/>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8" l="1"/>
  <c r="I20" i="8"/>
  <c r="J4" i="8"/>
  <c r="Y525" i="5"/>
  <c r="Y514" i="5"/>
  <c r="Y504" i="5"/>
  <c r="Y503" i="5"/>
  <c r="Y502" i="5"/>
  <c r="Y499" i="5"/>
  <c r="Y496" i="5"/>
  <c r="Y495" i="5"/>
  <c r="Y480" i="5"/>
  <c r="Y475" i="5"/>
  <c r="Y471" i="5"/>
  <c r="Y467" i="5"/>
  <c r="Y461" i="5"/>
  <c r="Y459" i="5"/>
  <c r="Y455" i="5"/>
  <c r="Y447" i="5"/>
  <c r="Y440" i="5"/>
  <c r="Y439" i="5"/>
  <c r="Y438" i="5"/>
  <c r="Y434" i="5"/>
  <c r="Y408" i="5"/>
  <c r="Y401" i="5"/>
  <c r="Y398" i="5"/>
  <c r="Y390" i="5"/>
  <c r="Y384" i="5"/>
  <c r="Y382" i="5"/>
  <c r="Y379" i="5"/>
  <c r="Y378" i="5"/>
  <c r="Y316" i="5"/>
  <c r="Y310" i="5"/>
  <c r="Y307" i="5"/>
  <c r="Y287" i="5"/>
  <c r="Y283" i="5"/>
  <c r="Y240" i="5"/>
  <c r="Y231" i="5"/>
  <c r="Y213" i="5"/>
  <c r="Y184" i="5"/>
  <c r="Y151" i="5"/>
  <c r="Y147" i="5"/>
  <c r="Y143" i="5"/>
  <c r="Y142" i="5"/>
  <c r="Y103" i="5"/>
  <c r="Y94" i="5"/>
  <c r="Y75" i="5"/>
  <c r="Y60" i="5"/>
  <c r="Y50" i="5"/>
  <c r="Y44" i="5"/>
  <c r="Y40" i="5"/>
  <c r="Y33" i="5"/>
  <c r="Y14" i="5"/>
  <c r="Y8" i="5"/>
  <c r="S425" i="4"/>
  <c r="S418" i="4"/>
  <c r="S415" i="4"/>
  <c r="S387" i="4"/>
  <c r="S383" i="4"/>
  <c r="S332" i="4"/>
  <c r="S323" i="4"/>
  <c r="S301" i="4"/>
  <c r="S267" i="4"/>
  <c r="S219" i="4"/>
  <c r="S214" i="4"/>
  <c r="S209" i="4"/>
  <c r="S204" i="4"/>
  <c r="S203" i="4"/>
  <c r="S146" i="4"/>
  <c r="S134" i="4"/>
  <c r="S114" i="4"/>
  <c r="S92" i="4"/>
  <c r="S80" i="4"/>
  <c r="S73" i="4"/>
  <c r="S69" i="4"/>
  <c r="S56" i="4"/>
  <c r="S35" i="4"/>
  <c r="S20" i="4"/>
</calcChain>
</file>

<file path=xl/sharedStrings.xml><?xml version="1.0" encoding="utf-8"?>
<sst xmlns="http://schemas.openxmlformats.org/spreadsheetml/2006/main" count="29714" uniqueCount="3782">
  <si>
    <t>Incident Type*</t>
  </si>
  <si>
    <t>Incident ID*+</t>
  </si>
  <si>
    <t>First Name+</t>
  </si>
  <si>
    <t>Last Name+</t>
  </si>
  <si>
    <t>Department</t>
  </si>
  <si>
    <t>Submit Date</t>
  </si>
  <si>
    <t>Summary*</t>
  </si>
  <si>
    <t>Assigned Group*+</t>
  </si>
  <si>
    <t>Assignee+</t>
  </si>
  <si>
    <t>Operational Categorization Tier 1+</t>
  </si>
  <si>
    <t>Operational Categorization Tier 2</t>
  </si>
  <si>
    <t>Operational Categorization Tier 3</t>
  </si>
  <si>
    <t>Priority*</t>
  </si>
  <si>
    <t>Status*</t>
  </si>
  <si>
    <t>Status Reason</t>
  </si>
  <si>
    <t>VIP</t>
  </si>
  <si>
    <t>Last Modified Date</t>
  </si>
  <si>
    <t>GRP System ID</t>
  </si>
  <si>
    <t>Submitter*</t>
  </si>
  <si>
    <t>Last Resolved Date</t>
  </si>
  <si>
    <t>Contact Sensitivity</t>
  </si>
  <si>
    <t>Customer Login ID</t>
  </si>
  <si>
    <t>Internet E-mail</t>
  </si>
  <si>
    <t>SLM Real Time Status</t>
  </si>
  <si>
    <t>User Service Restoration</t>
  </si>
  <si>
    <t>Mohamed</t>
  </si>
  <si>
    <t>Customer Happiness</t>
  </si>
  <si>
    <t>Application</t>
  </si>
  <si>
    <t>Application Services</t>
  </si>
  <si>
    <t>Application Bug/Error</t>
  </si>
  <si>
    <t>Low</t>
  </si>
  <si>
    <t>No</t>
  </si>
  <si>
    <t>Standard</t>
  </si>
  <si>
    <t>Within the Service Target</t>
  </si>
  <si>
    <t>User Service Request</t>
  </si>
  <si>
    <t>Security &amp; Monitoring</t>
  </si>
  <si>
    <t>Application Integration</t>
  </si>
  <si>
    <t>High</t>
  </si>
  <si>
    <t>Resolved</t>
  </si>
  <si>
    <t>Licensing Systems</t>
  </si>
  <si>
    <t>INC000001321966</t>
  </si>
  <si>
    <t>Omran</t>
  </si>
  <si>
    <t>Almaazmi</t>
  </si>
  <si>
    <t>Smart traffic edge configuration request</t>
  </si>
  <si>
    <t>Service Desk</t>
  </si>
  <si>
    <t>Techm Omer Mohamed</t>
  </si>
  <si>
    <t>Desktop</t>
  </si>
  <si>
    <t>RTA Standard Application installation Request</t>
  </si>
  <si>
    <t>MS Edge</t>
  </si>
  <si>
    <t>Techm_OFMohamed</t>
  </si>
  <si>
    <t>oyalmaazmi</t>
  </si>
  <si>
    <t>Omran.Almaazmi@rta.ae</t>
  </si>
  <si>
    <t>INC000001321965</t>
  </si>
  <si>
    <t>Amna</t>
  </si>
  <si>
    <t>Alameri</t>
  </si>
  <si>
    <t>Safety &amp; Risk Regulation and Planning</t>
  </si>
  <si>
    <t>Email configuration on cell phone</t>
  </si>
  <si>
    <t>Personal Device Support</t>
  </si>
  <si>
    <t>Personal Smart Phone</t>
  </si>
  <si>
    <t>AARAlameri</t>
  </si>
  <si>
    <t>Amna.AAlameri@rta.ae</t>
  </si>
  <si>
    <t>Infrastructure Event</t>
  </si>
  <si>
    <t>Information Technology</t>
  </si>
  <si>
    <t>Infrastructure Services</t>
  </si>
  <si>
    <t>In Progress</t>
  </si>
  <si>
    <t>Hussain</t>
  </si>
  <si>
    <t>Mohammed</t>
  </si>
  <si>
    <t>Roads &amp; Facilities Maintenance</t>
  </si>
  <si>
    <t>Musab</t>
  </si>
  <si>
    <t>Yahyia Alasawedh</t>
  </si>
  <si>
    <t>myalasawedh</t>
  </si>
  <si>
    <t>Musab.Alasawedh@rta.ae</t>
  </si>
  <si>
    <t>3G Request</t>
  </si>
  <si>
    <t>Mahmoud</t>
  </si>
  <si>
    <t>Human Resources &amp; Development</t>
  </si>
  <si>
    <t>Administrative Tasks</t>
  </si>
  <si>
    <t>Jamal</t>
  </si>
  <si>
    <t>Transportation Systems</t>
  </si>
  <si>
    <t>Usama</t>
  </si>
  <si>
    <t>Ahmed</t>
  </si>
  <si>
    <t>Password reset Request</t>
  </si>
  <si>
    <t>techvista_uaahmed</t>
  </si>
  <si>
    <t>Techvista_Usama.Ahmed@rta.ae</t>
  </si>
  <si>
    <t>United Mengxia</t>
  </si>
  <si>
    <t>Wang</t>
  </si>
  <si>
    <t>Automatic Collection Systems</t>
  </si>
  <si>
    <t>Medium</t>
  </si>
  <si>
    <t>United_MWWang</t>
  </si>
  <si>
    <t>United_Mengxia.Wang@rta.ae</t>
  </si>
  <si>
    <t>Application Access &amp; Permission</t>
  </si>
  <si>
    <t>Pending</t>
  </si>
  <si>
    <t>Suliman</t>
  </si>
  <si>
    <t>Zayed</t>
  </si>
  <si>
    <t>Strategic Planning</t>
  </si>
  <si>
    <t>Hardware Request</t>
  </si>
  <si>
    <t>Laptop</t>
  </si>
  <si>
    <t>Parkin</t>
  </si>
  <si>
    <t>Noora</t>
  </si>
  <si>
    <t>Al Jasmi</t>
  </si>
  <si>
    <t>Ali</t>
  </si>
  <si>
    <t>Ashkanani</t>
  </si>
  <si>
    <t>Drivers Licensing</t>
  </si>
  <si>
    <t>Aaashkanani</t>
  </si>
  <si>
    <t>Ali.Ashkanani@rta.ae</t>
  </si>
  <si>
    <t>mendix</t>
  </si>
  <si>
    <t>INC000001321926</t>
  </si>
  <si>
    <t>Stewart</t>
  </si>
  <si>
    <t>Fernandes</t>
  </si>
  <si>
    <t>Enterprise Command &amp; Control</t>
  </si>
  <si>
    <t>unlock account request</t>
  </si>
  <si>
    <t>Profile</t>
  </si>
  <si>
    <t>Account Lock Out</t>
  </si>
  <si>
    <t>cns_sffernandes</t>
  </si>
  <si>
    <t>Cns_Stewart.Fernandes@rta.ae</t>
  </si>
  <si>
    <t>Marine</t>
  </si>
  <si>
    <t>Mohammad</t>
  </si>
  <si>
    <t>Ibrahim</t>
  </si>
  <si>
    <t>Technology Strategy &amp; Governance</t>
  </si>
  <si>
    <t>Development &amp; Corporate Performance</t>
  </si>
  <si>
    <t>VPN Access</t>
  </si>
  <si>
    <t>Network Domain</t>
  </si>
  <si>
    <t>Wide Area Network (WAN)</t>
  </si>
  <si>
    <t>VPN Extension</t>
  </si>
  <si>
    <t>Omar</t>
  </si>
  <si>
    <t>Maryam</t>
  </si>
  <si>
    <t>Alketbi</t>
  </si>
  <si>
    <t>mhaalketbi</t>
  </si>
  <si>
    <t>Maryam.Alketbi@rta.ae</t>
  </si>
  <si>
    <t>Smart Services</t>
  </si>
  <si>
    <t>Avaya Mohamed</t>
  </si>
  <si>
    <t>INC000001321908</t>
  </si>
  <si>
    <t>Eldsouky Kande-Contractor</t>
  </si>
  <si>
    <t>Administration Services</t>
  </si>
  <si>
    <t>Return Desktop</t>
  </si>
  <si>
    <t>OnSite  EUS</t>
  </si>
  <si>
    <t>Mohamed Mustaq Ali</t>
  </si>
  <si>
    <t>Asset collection</t>
  </si>
  <si>
    <t>techm_maalhammadi</t>
  </si>
  <si>
    <t>apex_mmeldsoukykande</t>
  </si>
  <si>
    <t>Apex_Mahmoud.Eldsoukykande@rta.ae</t>
  </si>
  <si>
    <t>Request for Firewall Rule modification</t>
  </si>
  <si>
    <t>Firewall rule modification</t>
  </si>
  <si>
    <t>Hassan</t>
  </si>
  <si>
    <t>Rail Operations</t>
  </si>
  <si>
    <t>Khawla</t>
  </si>
  <si>
    <t>Kadirvel</t>
  </si>
  <si>
    <t>Appukutti</t>
  </si>
  <si>
    <t>bahwan_kaappukutti</t>
  </si>
  <si>
    <t>Bahwan_Kadirvel.Appukutti@rta.ae</t>
  </si>
  <si>
    <t>Omnia</t>
  </si>
  <si>
    <t>Traffic</t>
  </si>
  <si>
    <t>Request for URL Access</t>
  </si>
  <si>
    <t>Salim</t>
  </si>
  <si>
    <t>Buses</t>
  </si>
  <si>
    <t>Ishaq</t>
  </si>
  <si>
    <t>Rail Maintainance</t>
  </si>
  <si>
    <t>Ramasamy</t>
  </si>
  <si>
    <t>Rail Maintenance</t>
  </si>
  <si>
    <t>Asma</t>
  </si>
  <si>
    <t>Abdo</t>
  </si>
  <si>
    <t>Al Absy</t>
  </si>
  <si>
    <t>Vehicles Licensing</t>
  </si>
  <si>
    <t>Incident</t>
  </si>
  <si>
    <t>Self-service</t>
  </si>
  <si>
    <t>Mendix</t>
  </si>
  <si>
    <t>amalabsy</t>
  </si>
  <si>
    <t>Abdo.AlAbsy@RTA.ae</t>
  </si>
  <si>
    <t>Khulood</t>
  </si>
  <si>
    <t>Passengers Transport Activities Monitoring</t>
  </si>
  <si>
    <t>Fatma</t>
  </si>
  <si>
    <t>Alblooshi</t>
  </si>
  <si>
    <t>Buildings &amp; Facilities</t>
  </si>
  <si>
    <t>Khan</t>
  </si>
  <si>
    <t>Commercial &amp; Investment</t>
  </si>
  <si>
    <t>INC000001321875</t>
  </si>
  <si>
    <t>Sara</t>
  </si>
  <si>
    <t>Al Mudharreb</t>
  </si>
  <si>
    <t>DG, Chairman of the Board of Executive Directors Office</t>
  </si>
  <si>
    <t>Temporary USB Unblocking</t>
  </si>
  <si>
    <t>Ismael Ismael</t>
  </si>
  <si>
    <t>Yes</t>
  </si>
  <si>
    <t>Sensitive</t>
  </si>
  <si>
    <t>smalmudharreb</t>
  </si>
  <si>
    <t>Sara.AlMudharreb@RTA.ae</t>
  </si>
  <si>
    <t>Nasser</t>
  </si>
  <si>
    <t>Raisi</t>
  </si>
  <si>
    <t>Licensing Activities Monitoring</t>
  </si>
  <si>
    <t>VPN Issue</t>
  </si>
  <si>
    <t>Configuration</t>
  </si>
  <si>
    <t>VPN Troubleshooting</t>
  </si>
  <si>
    <t>techm_ajalbasata</t>
  </si>
  <si>
    <t>nsraisi</t>
  </si>
  <si>
    <t>Nasser.Raisi@rta.ae</t>
  </si>
  <si>
    <t>INC000001321872</t>
  </si>
  <si>
    <t>Alia</t>
  </si>
  <si>
    <t>Ahli</t>
  </si>
  <si>
    <t>Windows Updates Issue</t>
  </si>
  <si>
    <t>OS Issue</t>
  </si>
  <si>
    <t>Startup Error Message</t>
  </si>
  <si>
    <t>AJUAhli</t>
  </si>
  <si>
    <t>Alia.Ahli@rta.ae</t>
  </si>
  <si>
    <t>George</t>
  </si>
  <si>
    <t>INC000001321861</t>
  </si>
  <si>
    <t>Naelini</t>
  </si>
  <si>
    <t>Saeid</t>
  </si>
  <si>
    <t>Mohamed Alajlani</t>
  </si>
  <si>
    <t>techm_myalajlani</t>
  </si>
  <si>
    <t>zutari_nssaeid</t>
  </si>
  <si>
    <t>Zutari_Naelini.Saeid@rta.ae</t>
  </si>
  <si>
    <t>Leadership Affairs</t>
  </si>
  <si>
    <t>Commercial Transport Activities</t>
  </si>
  <si>
    <t>Saeed Alzaabi</t>
  </si>
  <si>
    <t>Network Folder Change Access</t>
  </si>
  <si>
    <t>nsalzaabi</t>
  </si>
  <si>
    <t>noora.alzaabi@rta.ae</t>
  </si>
  <si>
    <t>Infosys Ravi</t>
  </si>
  <si>
    <t>Chalamalasetti</t>
  </si>
  <si>
    <t>Infosys_RKChalamalas</t>
  </si>
  <si>
    <t>Infosys_Ravi.Chalamalasetti@rta.ae</t>
  </si>
  <si>
    <t>INC000001321852</t>
  </si>
  <si>
    <t>Amal</t>
  </si>
  <si>
    <t>Almheiri</t>
  </si>
  <si>
    <t>Innovation &amp; Pioneering</t>
  </si>
  <si>
    <t>aalalmheiri</t>
  </si>
  <si>
    <t>Amal.Almheiri@rta.ae</t>
  </si>
  <si>
    <t>Al Mulla</t>
  </si>
  <si>
    <t>Finance</t>
  </si>
  <si>
    <t>techm_maalneil</t>
  </si>
  <si>
    <t>INC000001321847</t>
  </si>
  <si>
    <t>Essa</t>
  </si>
  <si>
    <t>Asset collection for the resigned user.</t>
  </si>
  <si>
    <t>Techm Ahmad Khantomany</t>
  </si>
  <si>
    <t>ejalblooshi</t>
  </si>
  <si>
    <t>Essa.Alblooshi@rta.ae</t>
  </si>
  <si>
    <t>Fahad</t>
  </si>
  <si>
    <t>Alhamadi</t>
  </si>
  <si>
    <t>Waad</t>
  </si>
  <si>
    <t>Altowail</t>
  </si>
  <si>
    <t>Procurement</t>
  </si>
  <si>
    <t>WAAltowail</t>
  </si>
  <si>
    <t>Waad.Altowail@rta.ae</t>
  </si>
  <si>
    <t>Ayesha</t>
  </si>
  <si>
    <t>Intelligent Traffic System</t>
  </si>
  <si>
    <t>Techm_NRMohamed</t>
  </si>
  <si>
    <t>Shaikh</t>
  </si>
  <si>
    <t>Marketing &amp; Corporate Communication</t>
  </si>
  <si>
    <t>Imad</t>
  </si>
  <si>
    <t>Khochman</t>
  </si>
  <si>
    <t>tms_ikkhochman</t>
  </si>
  <si>
    <t>Tms_Imad.Khochman@rta.ae</t>
  </si>
  <si>
    <t>INC000001321829</t>
  </si>
  <si>
    <t>Haitham</t>
  </si>
  <si>
    <t>Software Installing Request</t>
  </si>
  <si>
    <t>Techm Ghaya Hamad</t>
  </si>
  <si>
    <t>hamohamed</t>
  </si>
  <si>
    <t>Haitham.Mohamed@rta.ae</t>
  </si>
  <si>
    <t>Sultan</t>
  </si>
  <si>
    <t>Al Falasi</t>
  </si>
  <si>
    <t>fjalfalasi</t>
  </si>
  <si>
    <t>Fatma.Alfalasi@rta.ae</t>
  </si>
  <si>
    <t>Wissam</t>
  </si>
  <si>
    <t>Ahmad</t>
  </si>
  <si>
    <t>Assets Management</t>
  </si>
  <si>
    <t>Jawaharali</t>
  </si>
  <si>
    <t>Mohaideen</t>
  </si>
  <si>
    <t>Dubai Traffic &amp; Roads CEO</t>
  </si>
  <si>
    <t>Techm_WAHassan</t>
  </si>
  <si>
    <t>jmmohaideen</t>
  </si>
  <si>
    <t>Jawaharali.Mohaideen@rta.ae</t>
  </si>
  <si>
    <t>INC000001321815</t>
  </si>
  <si>
    <t>Ultimate Nada</t>
  </si>
  <si>
    <t>Abulaila</t>
  </si>
  <si>
    <t>Disk C Drive Full</t>
  </si>
  <si>
    <t>Techm Omer Idris</t>
  </si>
  <si>
    <t>Disk Space</t>
  </si>
  <si>
    <t>Low Disk Space(RE)</t>
  </si>
  <si>
    <t>Ultimate_NMAbulaila</t>
  </si>
  <si>
    <t>Ultimate_Nada.Abulaila@rta.ae</t>
  </si>
  <si>
    <t>Manal</t>
  </si>
  <si>
    <t>Alfugaer</t>
  </si>
  <si>
    <t>MMAlfugaer</t>
  </si>
  <si>
    <t>Manal.Alfugaer@rta.ae</t>
  </si>
  <si>
    <t>Nabil</t>
  </si>
  <si>
    <t>Rail Planning &amp; Projects Development</t>
  </si>
  <si>
    <t>Critical</t>
  </si>
  <si>
    <t>Tariq</t>
  </si>
  <si>
    <t>INC000001321808</t>
  </si>
  <si>
    <t>Shamsa</t>
  </si>
  <si>
    <t>Alzaabi</t>
  </si>
  <si>
    <t>Brouwer configuration</t>
  </si>
  <si>
    <t>Aryam Juma Mohammad Albasata Albasata</t>
  </si>
  <si>
    <t>smalzaabi</t>
  </si>
  <si>
    <t>Shamsa.Alzaabi@rta.ae</t>
  </si>
  <si>
    <t>asalhashemi</t>
  </si>
  <si>
    <t>Ali.Hashemi@rta.ae</t>
  </si>
  <si>
    <t>INC000001321806</t>
  </si>
  <si>
    <t>Marwa</t>
  </si>
  <si>
    <t>Gahalla</t>
  </si>
  <si>
    <t>Planning &amp; Business Development</t>
  </si>
  <si>
    <t>GI Password reset</t>
  </si>
  <si>
    <t>Techm Abdalbagee Hamed</t>
  </si>
  <si>
    <t>Password reset(RE)</t>
  </si>
  <si>
    <t>mmgahalla</t>
  </si>
  <si>
    <t>Marwa.Gahalla@RTA.ae</t>
  </si>
  <si>
    <t>Alansaari</t>
  </si>
  <si>
    <t>KAAlansaari</t>
  </si>
  <si>
    <t>Khawla.Alansaari@rta.ae</t>
  </si>
  <si>
    <t>Backup Services</t>
  </si>
  <si>
    <t>falahli</t>
  </si>
  <si>
    <t>Fatma.AlAhli@rta.ae</t>
  </si>
  <si>
    <t>INC000001321801</t>
  </si>
  <si>
    <t>Shaikha</t>
  </si>
  <si>
    <t>Outlook issue-Enterprise vault</t>
  </si>
  <si>
    <t>Mail Box Issue</t>
  </si>
  <si>
    <t>Login Issue</t>
  </si>
  <si>
    <t>seali</t>
  </si>
  <si>
    <t>Shaikha.Ali@rta.ae</t>
  </si>
  <si>
    <t>INC000001321797</t>
  </si>
  <si>
    <t>Vijendar</t>
  </si>
  <si>
    <t>Alivelli</t>
  </si>
  <si>
    <t>Techm Osama Abdullatif</t>
  </si>
  <si>
    <t>cns_vralivelli</t>
  </si>
  <si>
    <t>Cns_Vijendar.Alivelli@rta.ae</t>
  </si>
  <si>
    <t>Techm Abdul</t>
  </si>
  <si>
    <t>Raheem</t>
  </si>
  <si>
    <t>Techm_ARRaheem</t>
  </si>
  <si>
    <t>Techm_Abdul.Raheem@rta.ae</t>
  </si>
  <si>
    <t>Shaik</t>
  </si>
  <si>
    <t>Eisa</t>
  </si>
  <si>
    <t>eaali</t>
  </si>
  <si>
    <t>Eisa.Ali@rta.ae</t>
  </si>
  <si>
    <t>Mariam</t>
  </si>
  <si>
    <t>Aljasmi</t>
  </si>
  <si>
    <t>Parking</t>
  </si>
  <si>
    <t>Cyber Security Center</t>
  </si>
  <si>
    <t>Alerts</t>
  </si>
  <si>
    <t>Information Security</t>
  </si>
  <si>
    <t>Security</t>
  </si>
  <si>
    <t>Virus Issue</t>
  </si>
  <si>
    <t>socalerts</t>
  </si>
  <si>
    <t>CSC.alert@rta.ae</t>
  </si>
  <si>
    <t>INC000001321786</t>
  </si>
  <si>
    <t>SYAlblooshi</t>
  </si>
  <si>
    <t>Sara.YAlblooshi@rta.ae</t>
  </si>
  <si>
    <t>INC000001321785</t>
  </si>
  <si>
    <t>External Monitor</t>
  </si>
  <si>
    <t>Maitha</t>
  </si>
  <si>
    <t>EV Issue</t>
  </si>
  <si>
    <t>Mail</t>
  </si>
  <si>
    <t>Enterprise Vault</t>
  </si>
  <si>
    <t>techm_iaismael</t>
  </si>
  <si>
    <t>New Network Folder Creation</t>
  </si>
  <si>
    <t>Alaa</t>
  </si>
  <si>
    <t>Roads</t>
  </si>
  <si>
    <t>malhassan</t>
  </si>
  <si>
    <t>Mahmoud.Hassan@rta.ae</t>
  </si>
  <si>
    <t>AlHammadi</t>
  </si>
  <si>
    <t>Abdulrahman</t>
  </si>
  <si>
    <t>Jumaa</t>
  </si>
  <si>
    <t>amjumaa</t>
  </si>
  <si>
    <t>Abdulrahman.Jumaa@rta.ae</t>
  </si>
  <si>
    <t>Latifa</t>
  </si>
  <si>
    <t>INC000001321766</t>
  </si>
  <si>
    <t>Hind</t>
  </si>
  <si>
    <t>Monitor Issue</t>
  </si>
  <si>
    <t>Peripherals</t>
  </si>
  <si>
    <t>Monitor</t>
  </si>
  <si>
    <t>Techm_GAHamad</t>
  </si>
  <si>
    <t>hsohassan</t>
  </si>
  <si>
    <t>Hind.Hassan@rta.ae</t>
  </si>
  <si>
    <t>INC000001321757</t>
  </si>
  <si>
    <t>Thribuvandas</t>
  </si>
  <si>
    <t>Thrilogen</t>
  </si>
  <si>
    <t>MS Teams Issue</t>
  </si>
  <si>
    <t>RTA Non standard application  Incidents</t>
  </si>
  <si>
    <t>MS Teams</t>
  </si>
  <si>
    <t>tvthrilogen</t>
  </si>
  <si>
    <t>Thribuvandas.Thrilogen@rta.ae</t>
  </si>
  <si>
    <t>INC000001321754</t>
  </si>
  <si>
    <t>User Education</t>
  </si>
  <si>
    <t>aasuliman</t>
  </si>
  <si>
    <t>Amal.Suliman@rta.ae</t>
  </si>
  <si>
    <t>Muna</t>
  </si>
  <si>
    <t>Albalooshi</t>
  </si>
  <si>
    <t>Permission Request(RE)</t>
  </si>
  <si>
    <t>INC000001321751</t>
  </si>
  <si>
    <t>Alhusseini</t>
  </si>
  <si>
    <t>Laptop battery Issue</t>
  </si>
  <si>
    <t>Extended Batteries for laptop</t>
  </si>
  <si>
    <t>ASAlhusseini</t>
  </si>
  <si>
    <t>Alaa.Alhusseini@rta.ae</t>
  </si>
  <si>
    <t>Ebrahim</t>
  </si>
  <si>
    <t>Saleh Qasem</t>
  </si>
  <si>
    <t>trans_emsalehqasem</t>
  </si>
  <si>
    <t>Trans_Ebrahim.Salehqasem@rta.ae</t>
  </si>
  <si>
    <t>INC000001321747</t>
  </si>
  <si>
    <t>Faten</t>
  </si>
  <si>
    <t>AlShamsi</t>
  </si>
  <si>
    <t>Request to configure MS edge in IE mode to use E-traffic</t>
  </si>
  <si>
    <t>Techm_AMHamed</t>
  </si>
  <si>
    <t>FHAlshamsi</t>
  </si>
  <si>
    <t>Faten.AlShamsi@RTA.ae</t>
  </si>
  <si>
    <t>Hussein</t>
  </si>
  <si>
    <t>AlShahabi</t>
  </si>
  <si>
    <t>HAAlshahabi</t>
  </si>
  <si>
    <t>Hussein.Alshahabi@rta.ae</t>
  </si>
  <si>
    <t>Add / Revoke Privilege</t>
  </si>
  <si>
    <t>INC000001321742</t>
  </si>
  <si>
    <t>Ihab Badie</t>
  </si>
  <si>
    <t>Alsalamin</t>
  </si>
  <si>
    <t>Generic ID Configuration Request "AGF@rta.ae"</t>
  </si>
  <si>
    <t>Zain Alabedein Skheih</t>
  </si>
  <si>
    <t>Request for Generic ID Creation(RE)</t>
  </si>
  <si>
    <t>techm_ziskheih</t>
  </si>
  <si>
    <t>IBAlSalamin</t>
  </si>
  <si>
    <t>Ihab.AlSalamin@rta.ae</t>
  </si>
  <si>
    <t>GAL Modification</t>
  </si>
  <si>
    <t>INC000001321739</t>
  </si>
  <si>
    <t>Huda</t>
  </si>
  <si>
    <t>Al-ali</t>
  </si>
  <si>
    <t>Dubai Rail CEO</t>
  </si>
  <si>
    <t>Hardware Upgrade</t>
  </si>
  <si>
    <t>HSAlali</t>
  </si>
  <si>
    <t>Huda.Alali@rta.ae</t>
  </si>
  <si>
    <t>Corporate Technology Support Services CEO</t>
  </si>
  <si>
    <t>Sameer</t>
  </si>
  <si>
    <t>Internal Audit</t>
  </si>
  <si>
    <t>INC000001321733</t>
  </si>
  <si>
    <t>Moamin</t>
  </si>
  <si>
    <t>Hameed Alsaleem</t>
  </si>
  <si>
    <t>VPN reconfiguration Request</t>
  </si>
  <si>
    <t>VPN Configuration</t>
  </si>
  <si>
    <t>mhAlsaleem</t>
  </si>
  <si>
    <t>Moamin.Alsaleem@rta.ae</t>
  </si>
  <si>
    <t>Yousef</t>
  </si>
  <si>
    <t>Alali</t>
  </si>
  <si>
    <t>INC000001321728</t>
  </si>
  <si>
    <t>GI Access</t>
  </si>
  <si>
    <t>Muhammed Alneil</t>
  </si>
  <si>
    <t>INC000001321725</t>
  </si>
  <si>
    <t>INC000001321724</t>
  </si>
  <si>
    <t>Saleh</t>
  </si>
  <si>
    <t>Browser issue - keep asking for sign in</t>
  </si>
  <si>
    <t>Internet/Intranet Issues</t>
  </si>
  <si>
    <t>Unable to access a specific URL(RE)</t>
  </si>
  <si>
    <t>HSSaleh</t>
  </si>
  <si>
    <t>Hussein.Saleh@rta.ae</t>
  </si>
  <si>
    <t>Fatima</t>
  </si>
  <si>
    <t>Almarzooqi</t>
  </si>
  <si>
    <t>Hamda</t>
  </si>
  <si>
    <t>Al Shamsi</t>
  </si>
  <si>
    <t>ahshamsi</t>
  </si>
  <si>
    <t>Ahmad.AlShamsi@rta.ae</t>
  </si>
  <si>
    <t>Outlook Issue</t>
  </si>
  <si>
    <t>Mail Client Issue</t>
  </si>
  <si>
    <t>Unable to Send/Receive Mails(RE)</t>
  </si>
  <si>
    <t>INC000001321710</t>
  </si>
  <si>
    <t>Amar</t>
  </si>
  <si>
    <t>Tewari</t>
  </si>
  <si>
    <t>shared folder mapping request</t>
  </si>
  <si>
    <t>Re -map a share folder(RE)</t>
  </si>
  <si>
    <t>antewari</t>
  </si>
  <si>
    <t>Amar.Tewari@rta.ae</t>
  </si>
  <si>
    <t>INC000001321706</t>
  </si>
  <si>
    <t>Noorah</t>
  </si>
  <si>
    <t>Abdulla</t>
  </si>
  <si>
    <t>Laptop not charging</t>
  </si>
  <si>
    <t>NMOAbdulla</t>
  </si>
  <si>
    <t>Noorah.Abdulla@rta.ae</t>
  </si>
  <si>
    <t>Aisha</t>
  </si>
  <si>
    <t>Right Of Way</t>
  </si>
  <si>
    <t>INC000001321702</t>
  </si>
  <si>
    <t>Audio Systems</t>
  </si>
  <si>
    <t>Maitha Alhammadi</t>
  </si>
  <si>
    <t>INC000001321693</t>
  </si>
  <si>
    <t>Wael Abdulbari</t>
  </si>
  <si>
    <t>Yaqoub</t>
  </si>
  <si>
    <t>Ahmed Almeldeen</t>
  </si>
  <si>
    <t>wayaqoub</t>
  </si>
  <si>
    <t>wael.yaqoub@rta.ae</t>
  </si>
  <si>
    <t>Service Targets Breached</t>
  </si>
  <si>
    <t>VPN</t>
  </si>
  <si>
    <t>Digital Services</t>
  </si>
  <si>
    <t>Hamad</t>
  </si>
  <si>
    <t>INC000001321666</t>
  </si>
  <si>
    <t>Meera</t>
  </si>
  <si>
    <t>Dawood</t>
  </si>
  <si>
    <t>Outlook Issue - keep asking username and password</t>
  </si>
  <si>
    <t>Outlook Configuration Issue(RE)</t>
  </si>
  <si>
    <t>madawood</t>
  </si>
  <si>
    <t>Meera.Dawood@rta.ae</t>
  </si>
  <si>
    <t>Printer</t>
  </si>
  <si>
    <t>INC000001321662</t>
  </si>
  <si>
    <t>Laptop voice/audio issues</t>
  </si>
  <si>
    <t>Ali Adam</t>
  </si>
  <si>
    <t>Audio and Video</t>
  </si>
  <si>
    <t>Request for AV Devices (LED/LCD TVs &amp; audio)</t>
  </si>
  <si>
    <t>Arun</t>
  </si>
  <si>
    <t>Kumar</t>
  </si>
  <si>
    <t>gbm_akkumar</t>
  </si>
  <si>
    <t>Gbm_Arun.Kumar@rta.ae</t>
  </si>
  <si>
    <t>INC000001321656</t>
  </si>
  <si>
    <t>Assil</t>
  </si>
  <si>
    <t>Bittar</t>
  </si>
  <si>
    <t>Outlook configuration - migrated user</t>
  </si>
  <si>
    <t>Outlook configuration</t>
  </si>
  <si>
    <t>Outlook Reconfiguration(RE)</t>
  </si>
  <si>
    <t>asbittar</t>
  </si>
  <si>
    <t>Assil.Bittar@rta.ae</t>
  </si>
  <si>
    <t>Marwan</t>
  </si>
  <si>
    <t>INC000001321643</t>
  </si>
  <si>
    <t>Avaya Amanda</t>
  </si>
  <si>
    <t>Rebello</t>
  </si>
  <si>
    <t>MS Office 365 activation Request</t>
  </si>
  <si>
    <t>Techm Wahbaelrahman Hassan</t>
  </si>
  <si>
    <t>RTA Non standard application  Request</t>
  </si>
  <si>
    <t>MS office professional(RE)</t>
  </si>
  <si>
    <t>Avaya_AVRebello</t>
  </si>
  <si>
    <t>Avaya_Amanda.Rebello@rta.ae</t>
  </si>
  <si>
    <t>INC000001321637</t>
  </si>
  <si>
    <t>Configure Smart Traffic URL on Microsoft Edge</t>
  </si>
  <si>
    <t>Profile Configuration</t>
  </si>
  <si>
    <t>fmalblooshi</t>
  </si>
  <si>
    <t>Fatma.Alblooshi@rta.ae</t>
  </si>
  <si>
    <t>INC000001321632</t>
  </si>
  <si>
    <t>Balram</t>
  </si>
  <si>
    <t>Devraj</t>
  </si>
  <si>
    <t>techm_bddevraj</t>
  </si>
  <si>
    <t>Techm_Balram.Devraj@rta.ae</t>
  </si>
  <si>
    <t>Hashim</t>
  </si>
  <si>
    <t>SKHashim</t>
  </si>
  <si>
    <t>Shaikha.Hashim@rta.ae</t>
  </si>
  <si>
    <t>Mohamad</t>
  </si>
  <si>
    <t>INC000001321622</t>
  </si>
  <si>
    <t>Halloush</t>
  </si>
  <si>
    <t>VPN Configuration Request</t>
  </si>
  <si>
    <t>mzhalloush</t>
  </si>
  <si>
    <t>Mohammad.Halloush@rta.ae</t>
  </si>
  <si>
    <t>INC000001321617</t>
  </si>
  <si>
    <t>Oracle Configuration Request "Automation"</t>
  </si>
  <si>
    <t>INC000001321614</t>
  </si>
  <si>
    <t>Abeer</t>
  </si>
  <si>
    <t>Al Bannai</t>
  </si>
  <si>
    <t>User education</t>
  </si>
  <si>
    <t>aaalbannai</t>
  </si>
  <si>
    <t>Abeer.AlBannai@RTA.ae</t>
  </si>
  <si>
    <t>Afaneh</t>
  </si>
  <si>
    <t>Mail Box Full(RE)</t>
  </si>
  <si>
    <t>smafaneh</t>
  </si>
  <si>
    <t>Suliman.Afaneh@rta.ae</t>
  </si>
  <si>
    <t>INC000001321609</t>
  </si>
  <si>
    <t>Minaas</t>
  </si>
  <si>
    <t>Mailbox Issue "Always Full"</t>
  </si>
  <si>
    <t>trans_mbalali</t>
  </si>
  <si>
    <t>Trans_Minaas.Alali@rta.ae</t>
  </si>
  <si>
    <t>Legal Affairs</t>
  </si>
  <si>
    <t>INC000001321604</t>
  </si>
  <si>
    <t>Marzooqi</t>
  </si>
  <si>
    <t>Browser Issue "Can not open Security Awarness"</t>
  </si>
  <si>
    <t>RTA Standard application Incidents</t>
  </si>
  <si>
    <t>mamarzooqi</t>
  </si>
  <si>
    <t>Marwa.Marzooqi@rta.ae</t>
  </si>
  <si>
    <t>Abdullah</t>
  </si>
  <si>
    <t>INC000001321602</t>
  </si>
  <si>
    <t>INC000001321599</t>
  </si>
  <si>
    <t>Saif</t>
  </si>
  <si>
    <t>Almazrooei</t>
  </si>
  <si>
    <t>Airwatch access request</t>
  </si>
  <si>
    <t>sgmazrooei</t>
  </si>
  <si>
    <t>Saif.Almazrooei@rta.ae</t>
  </si>
  <si>
    <t>INC000001321597</t>
  </si>
  <si>
    <t>Unlock  VPN Request</t>
  </si>
  <si>
    <t>Mubarak</t>
  </si>
  <si>
    <t>ismubarak</t>
  </si>
  <si>
    <t>Ibrahim.Mubarak@rta.ae</t>
  </si>
  <si>
    <t>Syed</t>
  </si>
  <si>
    <t>INC000001321587</t>
  </si>
  <si>
    <t>Abbas</t>
  </si>
  <si>
    <t>MS Office Activation Request</t>
  </si>
  <si>
    <t>afabbas</t>
  </si>
  <si>
    <t>Abbas.Abbas@rta.ae</t>
  </si>
  <si>
    <t>Abada</t>
  </si>
  <si>
    <t>PC Hardware Issue</t>
  </si>
  <si>
    <t>Power Adaptor Issue</t>
  </si>
  <si>
    <t>OAAbada</t>
  </si>
  <si>
    <t>Omnia.Abada@rta.ae</t>
  </si>
  <si>
    <t>Prakash</t>
  </si>
  <si>
    <t>techm_prramasamy</t>
  </si>
  <si>
    <t>Techm_Prakash.Ramasamy@rta.ae</t>
  </si>
  <si>
    <t>INC000001321581</t>
  </si>
  <si>
    <t>Guide user to Reset Password through Self services portal.</t>
  </si>
  <si>
    <t>AEAhli</t>
  </si>
  <si>
    <t>Ali.EAhli@rta.ae</t>
  </si>
  <si>
    <t>Dubai Transport CEO</t>
  </si>
  <si>
    <t>Khadija</t>
  </si>
  <si>
    <t>Distribution List Modification</t>
  </si>
  <si>
    <t>INC000001321573</t>
  </si>
  <si>
    <t>Sumiya</t>
  </si>
  <si>
    <t>Alshehhi</t>
  </si>
  <si>
    <t>SDAlshehhi</t>
  </si>
  <si>
    <t>Sumiya.Alshehhi@rta.ae</t>
  </si>
  <si>
    <t>INC000001321572</t>
  </si>
  <si>
    <t>Salem</t>
  </si>
  <si>
    <t>Alheraini</t>
  </si>
  <si>
    <t>isoft_smalheraini</t>
  </si>
  <si>
    <t>Isoft_Salem.Alheraini@rta.ae</t>
  </si>
  <si>
    <t>INC000001321570</t>
  </si>
  <si>
    <t>Almulla</t>
  </si>
  <si>
    <t>Guide user to Unlock Account through Self services portal.</t>
  </si>
  <si>
    <t>fmohalmulla</t>
  </si>
  <si>
    <t>Fatima.MAlmulla@rta.ae</t>
  </si>
  <si>
    <t>Deep</t>
  </si>
  <si>
    <t>Thampan</t>
  </si>
  <si>
    <t>trans_dtthampan</t>
  </si>
  <si>
    <t>Trans_Deep.Thampan@rta.ae</t>
  </si>
  <si>
    <t>INC000001321568</t>
  </si>
  <si>
    <t>Hamdan</t>
  </si>
  <si>
    <t>adobe acrobat pro log in issue</t>
  </si>
  <si>
    <t>Adobe Acrobat Professional</t>
  </si>
  <si>
    <t>afhamdan</t>
  </si>
  <si>
    <t>Ahmed.Hamdan@rta.ae</t>
  </si>
  <si>
    <t>INC000001321565</t>
  </si>
  <si>
    <t>Lana</t>
  </si>
  <si>
    <t>Al-fraihat</t>
  </si>
  <si>
    <t>Outlook Issue - keep asking for password</t>
  </si>
  <si>
    <t>reach_lbalfraihat</t>
  </si>
  <si>
    <t>Reach_Lana.Alfraihat@rta.ae</t>
  </si>
  <si>
    <t>Soubhi</t>
  </si>
  <si>
    <t>Sloukgi-Contractor</t>
  </si>
  <si>
    <t>cns_spsloukgi</t>
  </si>
  <si>
    <t>Cns_Soubhi.Sloukgi@rta.ae</t>
  </si>
  <si>
    <t>INC000001321558</t>
  </si>
  <si>
    <t>Yasser</t>
  </si>
  <si>
    <t>Hardware Replacement</t>
  </si>
  <si>
    <t>align_yfmohammed</t>
  </si>
  <si>
    <t>Align_Yasser.Mohammed@rta.ae</t>
  </si>
  <si>
    <t>System Domain</t>
  </si>
  <si>
    <t>System Management</t>
  </si>
  <si>
    <t>INC000001321551</t>
  </si>
  <si>
    <t>Ghada</t>
  </si>
  <si>
    <t>AlShaiba</t>
  </si>
  <si>
    <t>External Monitor Issue</t>
  </si>
  <si>
    <t>Techm Elsayed Mohamed</t>
  </si>
  <si>
    <t>GAAlshaiba</t>
  </si>
  <si>
    <t>Ghada.Alshaiba@rta.ae</t>
  </si>
  <si>
    <t>Network folder Access(RE)</t>
  </si>
  <si>
    <t>Rail Agency Quality, Health, Safety &amp; Sustainability Office</t>
  </si>
  <si>
    <t>INC000001321540</t>
  </si>
  <si>
    <t>Ammar</t>
  </si>
  <si>
    <t>Alhashemi</t>
  </si>
  <si>
    <t>??? ?? ???? ?????????</t>
  </si>
  <si>
    <t>SCCM-Nexthink Support</t>
  </si>
  <si>
    <t>Upendar Kontemukkula</t>
  </si>
  <si>
    <t>AABAlhashemi</t>
  </si>
  <si>
    <t>Ammar.Alhashemi@rta.ae</t>
  </si>
  <si>
    <t>INC000001321539</t>
  </si>
  <si>
    <t>Request to activate office 365 license</t>
  </si>
  <si>
    <t>MS Office Installation Request</t>
  </si>
  <si>
    <t>Eissa</t>
  </si>
  <si>
    <t>Replacement</t>
  </si>
  <si>
    <t>kieissa</t>
  </si>
  <si>
    <t>khadija.eissa@rta.ae</t>
  </si>
  <si>
    <t>INC000001321535</t>
  </si>
  <si>
    <t>Jalal</t>
  </si>
  <si>
    <t>Bshart</t>
  </si>
  <si>
    <t>Browser issue - not able to open automation</t>
  </si>
  <si>
    <t>jabshart</t>
  </si>
  <si>
    <t>Jalal.Bshart@rta.ae</t>
  </si>
  <si>
    <t>Ameera</t>
  </si>
  <si>
    <t>Sorouri</t>
  </si>
  <si>
    <t>aasorouri</t>
  </si>
  <si>
    <t>Ameera.Sorouri@RTA.ae</t>
  </si>
  <si>
    <t>INC000001321533</t>
  </si>
  <si>
    <t>Mustapha</t>
  </si>
  <si>
    <t>Farran</t>
  </si>
  <si>
    <t>Techm Vipin Ravindran</t>
  </si>
  <si>
    <t>proxym_mhfarran</t>
  </si>
  <si>
    <t>Proxym_Mustapha.Farran@rta.ae</t>
  </si>
  <si>
    <t>INC000001321531</t>
  </si>
  <si>
    <t>Network Folder/ Files / Email Restoration</t>
  </si>
  <si>
    <t>Techm Nabeesu Mohamed</t>
  </si>
  <si>
    <t>INC000001321529</t>
  </si>
  <si>
    <t>Network Connectivity issues</t>
  </si>
  <si>
    <t>INC000001321526</t>
  </si>
  <si>
    <t>Okool Ahmed</t>
  </si>
  <si>
    <t>Rashwan</t>
  </si>
  <si>
    <t>okool_aarashwan</t>
  </si>
  <si>
    <t>Okool_Ahmed.Rashwan@rta.ae</t>
  </si>
  <si>
    <t>Samir</t>
  </si>
  <si>
    <t>INC000001321519</t>
  </si>
  <si>
    <t>Zeyada</t>
  </si>
  <si>
    <t>Saeed</t>
  </si>
  <si>
    <t>Guide user to unlock through Self services portal.</t>
  </si>
  <si>
    <t>zbsaeed</t>
  </si>
  <si>
    <t>Zeyada.Saeed@rta.ae</t>
  </si>
  <si>
    <t>INC000001321515</t>
  </si>
  <si>
    <t>Mazin</t>
  </si>
  <si>
    <t>Alwash</t>
  </si>
  <si>
    <t>Microsoft 365 Copilot</t>
  </si>
  <si>
    <t>Techm Ahmed Elboshy</t>
  </si>
  <si>
    <t>maalwash</t>
  </si>
  <si>
    <t>Mazin.Alwash@rta.ae</t>
  </si>
  <si>
    <t>Rail Right Of Way</t>
  </si>
  <si>
    <t>LCD / LED Screen</t>
  </si>
  <si>
    <t>Mustafa</t>
  </si>
  <si>
    <t>mabdomar</t>
  </si>
  <si>
    <t>Mustafa.AOmar@rta.ae</t>
  </si>
  <si>
    <t>INC000001321505</t>
  </si>
  <si>
    <t>Nihad</t>
  </si>
  <si>
    <t>Thiyyakandy</t>
  </si>
  <si>
    <t>alsahra_nmthiyyakand</t>
  </si>
  <si>
    <t>Alsahra_Nihad.Thiyyakandy@rta.ae</t>
  </si>
  <si>
    <t>INC000001321503</t>
  </si>
  <si>
    <t>Mohamed Jaffir</t>
  </si>
  <si>
    <t>Shajahan</t>
  </si>
  <si>
    <t>ebm_msshajahan</t>
  </si>
  <si>
    <t>Ebm_Mohamedjaffir.Shajahan@rta.ae</t>
  </si>
  <si>
    <t>INC000001321502</t>
  </si>
  <si>
    <t>Ibrar</t>
  </si>
  <si>
    <t>Sher</t>
  </si>
  <si>
    <t>srsl_iasher</t>
  </si>
  <si>
    <t>Srsl_Ibrar.Sher@rta.ae</t>
  </si>
  <si>
    <t>INC000001321487</t>
  </si>
  <si>
    <t>Kamal</t>
  </si>
  <si>
    <t>Idris</t>
  </si>
  <si>
    <t>Booting Issue</t>
  </si>
  <si>
    <t>techm_mbsiragelnour</t>
  </si>
  <si>
    <t>okool_kyidris</t>
  </si>
  <si>
    <t>Okool_Kamal.Idris@rta.ae</t>
  </si>
  <si>
    <t>INC000001321483</t>
  </si>
  <si>
    <t>Akshay</t>
  </si>
  <si>
    <t>Eesarapu</t>
  </si>
  <si>
    <t>VPN Reset Request</t>
  </si>
  <si>
    <t>Mohamed Siragelnour</t>
  </si>
  <si>
    <t>electronic_aeeesarap</t>
  </si>
  <si>
    <t>Electronic_Akshay.Eesarapu@rta.ae</t>
  </si>
  <si>
    <t>INC000001321482</t>
  </si>
  <si>
    <t>Anji</t>
  </si>
  <si>
    <t>Alghafeer</t>
  </si>
  <si>
    <t>BSMaintenance</t>
  </si>
  <si>
    <t>srsl_ahalghafeer</t>
  </si>
  <si>
    <t>Srsl_Anji.Alghafeer@rta.ae</t>
  </si>
  <si>
    <t>Omer</t>
  </si>
  <si>
    <t>INC000001321475</t>
  </si>
  <si>
    <t>Fathima</t>
  </si>
  <si>
    <t>Binth Salam</t>
  </si>
  <si>
    <t>Gudied user to unlock account via self-service</t>
  </si>
  <si>
    <t>trans_fsbinthsalam</t>
  </si>
  <si>
    <t>Trans_Fathima.Binthsalam@rta.ae</t>
  </si>
  <si>
    <t>INC000001321474</t>
  </si>
  <si>
    <t>CSC Alert - Scan Failure Detected - 24022026-02</t>
  </si>
  <si>
    <t>Proactive Monitoring</t>
  </si>
  <si>
    <t>Proactive Action</t>
  </si>
  <si>
    <t>INC000001321473</t>
  </si>
  <si>
    <t>Masoud Janahi</t>
  </si>
  <si>
    <t>Maintenance &amp; Services</t>
  </si>
  <si>
    <t>MMJanahi</t>
  </si>
  <si>
    <t>Mohammad.Janahi@rta.ae</t>
  </si>
  <si>
    <t>Abdallah</t>
  </si>
  <si>
    <t>Sayed</t>
  </si>
  <si>
    <t>Alhashmi</t>
  </si>
  <si>
    <t>INC000001321430</t>
  </si>
  <si>
    <t>Zakarya</t>
  </si>
  <si>
    <t>Khelifa</t>
  </si>
  <si>
    <t>Low Disk Space C Drive Full</t>
  </si>
  <si>
    <t>Techm Ahmed Mahmoud</t>
  </si>
  <si>
    <t>srsl_zkkhelifa</t>
  </si>
  <si>
    <t>Srsl_Zakarya.Khelifa@rta.ae</t>
  </si>
  <si>
    <t>INC000001321423</t>
  </si>
  <si>
    <t>Surjeet</t>
  </si>
  <si>
    <t>Samanta</t>
  </si>
  <si>
    <t>Nexthink: Device error 0X133</t>
  </si>
  <si>
    <t>Surjeet Samanta</t>
  </si>
  <si>
    <t>techm_sjsamanta</t>
  </si>
  <si>
    <t>Techm_Surjeet.Samanta@rta.ae</t>
  </si>
  <si>
    <t>INC000001321418</t>
  </si>
  <si>
    <t>RTA</t>
  </si>
  <si>
    <t>Service Target Warning</t>
  </si>
  <si>
    <t>Noor</t>
  </si>
  <si>
    <t>Alsaeed</t>
  </si>
  <si>
    <t>okool_njalsaeed</t>
  </si>
  <si>
    <t>Okool_Noor.Alsaeed@rta.ae</t>
  </si>
  <si>
    <t>INC000001321306</t>
  </si>
  <si>
    <t>AV Update request ( VPN )</t>
  </si>
  <si>
    <t>AV Update ( Antivirus)</t>
  </si>
  <si>
    <t>AV Definition Update</t>
  </si>
  <si>
    <t>AHAAlmheiri</t>
  </si>
  <si>
    <t>Ayesha.HaAlmheiri@rta.ae</t>
  </si>
  <si>
    <t>INC000001321305</t>
  </si>
  <si>
    <t>Request to reset and reconfigure Oracle Authenticator</t>
  </si>
  <si>
    <t>INC000001321304</t>
  </si>
  <si>
    <t>Intranet pop up issue</t>
  </si>
  <si>
    <t>Internet POP UP(RE)</t>
  </si>
  <si>
    <t>okool_aialhamadi</t>
  </si>
  <si>
    <t>Okool_Abdallah.Alhamadi@rta.ae</t>
  </si>
  <si>
    <t>Yousuf</t>
  </si>
  <si>
    <t>Alyahya</t>
  </si>
  <si>
    <t>New printer Configuration</t>
  </si>
  <si>
    <t>yaalyahya</t>
  </si>
  <si>
    <t>Yousuf.Alyahya@rta.ae</t>
  </si>
  <si>
    <t>Taher</t>
  </si>
  <si>
    <t>Amr</t>
  </si>
  <si>
    <t>amahali</t>
  </si>
  <si>
    <t>Amr.Ali@rta.ae</t>
  </si>
  <si>
    <t>Drivers Affairs</t>
  </si>
  <si>
    <t>pilla</t>
  </si>
  <si>
    <t>mskm</t>
  </si>
  <si>
    <t>mohammed.km@rta.ae</t>
  </si>
  <si>
    <t>Abhishek</t>
  </si>
  <si>
    <t>Shakti</t>
  </si>
  <si>
    <t>tms_akshakti</t>
  </si>
  <si>
    <t>Tms_Abhishek.Shakti@rta.ae</t>
  </si>
  <si>
    <t>INC000001321251</t>
  </si>
  <si>
    <t>VPN configuration Request</t>
  </si>
  <si>
    <t>INC000001321248</t>
  </si>
  <si>
    <t>Essa Al Rowaished</t>
  </si>
  <si>
    <t>Data transfer request</t>
  </si>
  <si>
    <t>Solaiman Alhussni</t>
  </si>
  <si>
    <t>MERowaished</t>
  </si>
  <si>
    <t>Mohamed.AlRowaished@Rta.ae</t>
  </si>
  <si>
    <t>INC000001321239</t>
  </si>
  <si>
    <t>Alaleeli</t>
  </si>
  <si>
    <t>laalaleeli</t>
  </si>
  <si>
    <t>Latifa.Alaleeli@rta.ae</t>
  </si>
  <si>
    <t>Faisal</t>
  </si>
  <si>
    <t>Muhammad</t>
  </si>
  <si>
    <t>INC000001321224</t>
  </si>
  <si>
    <t>Mona</t>
  </si>
  <si>
    <t>Alamari</t>
  </si>
  <si>
    <t>CRM login Issue</t>
  </si>
  <si>
    <t>mmalamari</t>
  </si>
  <si>
    <t>Mona.Alamari@RTA.ae</t>
  </si>
  <si>
    <t>INC000001321222</t>
  </si>
  <si>
    <t>Abdelhalim Elghannam</t>
  </si>
  <si>
    <t>Unlock generic account Request</t>
  </si>
  <si>
    <t>srsl_miabdelhalimelg</t>
  </si>
  <si>
    <t>Srsl_Mohamed.Abdelhalimelghannam@rta.ae</t>
  </si>
  <si>
    <t>INC000001321219</t>
  </si>
  <si>
    <t>Enable location setting Request</t>
  </si>
  <si>
    <t>Application Modification / Enhancement Request</t>
  </si>
  <si>
    <t>epic_mamali</t>
  </si>
  <si>
    <t>Epic_Mohamed.Ali@rta.ae</t>
  </si>
  <si>
    <t>Asghar</t>
  </si>
  <si>
    <t>maasghar</t>
  </si>
  <si>
    <t>Muhammad.Asghar@rta.ae</t>
  </si>
  <si>
    <t>INC000001321211</t>
  </si>
  <si>
    <t>asaiali</t>
  </si>
  <si>
    <t>Aisha.SAli@rta.ae</t>
  </si>
  <si>
    <t>Malik</t>
  </si>
  <si>
    <t>INC000001321208</t>
  </si>
  <si>
    <t>Locked account Issue</t>
  </si>
  <si>
    <t>INC000001321206</t>
  </si>
  <si>
    <t>Marzooq</t>
  </si>
  <si>
    <t>Unlock account Request</t>
  </si>
  <si>
    <t>symarzooq</t>
  </si>
  <si>
    <t>Sara.Marzooq@rta.ae</t>
  </si>
  <si>
    <t>INC000001321202</t>
  </si>
  <si>
    <t>Al Hammadi</t>
  </si>
  <si>
    <t>System Performance Issue</t>
  </si>
  <si>
    <t>fahalhammadi</t>
  </si>
  <si>
    <t>fatima.alhammadi@rta.ae</t>
  </si>
  <si>
    <t>Saleem</t>
  </si>
  <si>
    <t>INC000001321194</t>
  </si>
  <si>
    <t>Almakrani</t>
  </si>
  <si>
    <t>LAN issue</t>
  </si>
  <si>
    <t>INC000001321175</t>
  </si>
  <si>
    <t>Hasa</t>
  </si>
  <si>
    <t>Albalushi</t>
  </si>
  <si>
    <t>Intranet Browse Issue</t>
  </si>
  <si>
    <t>Intranet issues(RE)</t>
  </si>
  <si>
    <t>haalbalushi</t>
  </si>
  <si>
    <t>Hasa.Albalushi@rta.ae</t>
  </si>
  <si>
    <t>INC000001321174</t>
  </si>
  <si>
    <t>Sulaiman</t>
  </si>
  <si>
    <t>Almasalheh</t>
  </si>
  <si>
    <t>PC Slowness Issue</t>
  </si>
  <si>
    <t>sahalmasalheh</t>
  </si>
  <si>
    <t>Sulaiman.AAlmasalheh@rta.ae</t>
  </si>
  <si>
    <t>Strategy &amp; Corporate Governance CEO Administration</t>
  </si>
  <si>
    <t>tmtaher</t>
  </si>
  <si>
    <t>Taher.Taher@rta.ae</t>
  </si>
  <si>
    <t>INC000001321160</t>
  </si>
  <si>
    <t>Sriranjini</t>
  </si>
  <si>
    <t>Radhakrishnan</t>
  </si>
  <si>
    <t>Email Error</t>
  </si>
  <si>
    <t>srradhakrishnan</t>
  </si>
  <si>
    <t>Sriranjini.Radhakrishnan@rta.ae</t>
  </si>
  <si>
    <t>Hanan</t>
  </si>
  <si>
    <t>INC000001321155</t>
  </si>
  <si>
    <t>Mozayek</t>
  </si>
  <si>
    <t>Virus issue</t>
  </si>
  <si>
    <t>techm_nmmozayek</t>
  </si>
  <si>
    <t>Techm_Nihad.Mozayek@rta.ae</t>
  </si>
  <si>
    <t>INC000001321152</t>
  </si>
  <si>
    <t>FAAlblooshi</t>
  </si>
  <si>
    <t>Fatima.Alblooshi@rta.ae</t>
  </si>
  <si>
    <t>Maymona</t>
  </si>
  <si>
    <t>MAhAhmad</t>
  </si>
  <si>
    <t>Maymona.Ahmad@rta.ae</t>
  </si>
  <si>
    <t>Techm_AMElboshy</t>
  </si>
  <si>
    <t>Almazrouei</t>
  </si>
  <si>
    <t>aabalmazrouei</t>
  </si>
  <si>
    <t>Aisha.Almazrouei@rta.ae</t>
  </si>
  <si>
    <t>INC000001321136</t>
  </si>
  <si>
    <t>aiabdallah</t>
  </si>
  <si>
    <t>ahmed.abdallah@rta.ae</t>
  </si>
  <si>
    <t>INC000001321122</t>
  </si>
  <si>
    <t>Vanessa</t>
  </si>
  <si>
    <t>Soriano</t>
  </si>
  <si>
    <t>To provide the owner detail for the asset</t>
  </si>
  <si>
    <t>Others</t>
  </si>
  <si>
    <t>Reports</t>
  </si>
  <si>
    <t>trans_visoriano</t>
  </si>
  <si>
    <t>Trans_Vanessa.Soriano@rta.ae</t>
  </si>
  <si>
    <t>Noura</t>
  </si>
  <si>
    <t>Mailbox Full Issue</t>
  </si>
  <si>
    <t>Elmina</t>
  </si>
  <si>
    <t>Soliman Fajut</t>
  </si>
  <si>
    <t>efajut</t>
  </si>
  <si>
    <t>Elmina.fajut@rta.ae</t>
  </si>
  <si>
    <t>INC000001321093</t>
  </si>
  <si>
    <t>E traffic Issue</t>
  </si>
  <si>
    <t>E TRAFFIC Issue</t>
  </si>
  <si>
    <t>Techm_OFAbdullatif</t>
  </si>
  <si>
    <t>INC000001321092</t>
  </si>
  <si>
    <t>Tahera</t>
  </si>
  <si>
    <t xml:space="preserve">Request for Windows profile configuration </t>
  </si>
  <si>
    <t>align_taaljasmi</t>
  </si>
  <si>
    <t>Align_Tahera.Aljasmi@rta.ae</t>
  </si>
  <si>
    <t>INC000001321091</t>
  </si>
  <si>
    <t>Jasim</t>
  </si>
  <si>
    <t>Kashwani</t>
  </si>
  <si>
    <t>Printer configuration request</t>
  </si>
  <si>
    <t>Printer  re-configuration(RE)</t>
  </si>
  <si>
    <t>jmkashwani</t>
  </si>
  <si>
    <t>Jasim.Kashwani@rta.ae</t>
  </si>
  <si>
    <t>Rashed</t>
  </si>
  <si>
    <t>INC000001321083</t>
  </si>
  <si>
    <t>Al Wazani</t>
  </si>
  <si>
    <t>Adobe Acrobat Pro Issue</t>
  </si>
  <si>
    <t>ykalwazani</t>
  </si>
  <si>
    <t>yousef.alwazani@rta.ae</t>
  </si>
  <si>
    <t>INC000001321074</t>
  </si>
  <si>
    <t>Hassiba</t>
  </si>
  <si>
    <t>Request to confirm if the below New user (Alia) has access of CLS role</t>
  </si>
  <si>
    <t>aahassiba</t>
  </si>
  <si>
    <t>Ahmad.Hassiba@rta.ae</t>
  </si>
  <si>
    <t>INC000001321073</t>
  </si>
  <si>
    <t>Asset collection_Deira CHC</t>
  </si>
  <si>
    <t>Ruaa Ahmed</t>
  </si>
  <si>
    <t>kaalali</t>
  </si>
  <si>
    <t>Khulood.Alali@RTA.ae</t>
  </si>
  <si>
    <t>sthussain</t>
  </si>
  <si>
    <t>Syed.THussain@rta.ae</t>
  </si>
  <si>
    <t>INC000001321063</t>
  </si>
  <si>
    <t>Shaya</t>
  </si>
  <si>
    <t>laptop is not charging</t>
  </si>
  <si>
    <t>Laptop Charger</t>
  </si>
  <si>
    <t>SALAlali</t>
  </si>
  <si>
    <t>Shaya.Alali@rta.ae</t>
  </si>
  <si>
    <t>Alboom</t>
  </si>
  <si>
    <t>aaalboom</t>
  </si>
  <si>
    <t>Amna.Alboom@rta.ae</t>
  </si>
  <si>
    <t>INC000001321050</t>
  </si>
  <si>
    <t>Attia</t>
  </si>
  <si>
    <t>avaya_maattia</t>
  </si>
  <si>
    <t>Avaya_Mohamed.Attia@rta.ae</t>
  </si>
  <si>
    <t>Abdelwahab</t>
  </si>
  <si>
    <t>tmabdelwahab</t>
  </si>
  <si>
    <t>Taher.Abdelwahab@rta.ae</t>
  </si>
  <si>
    <t>Al bedwawi</t>
  </si>
  <si>
    <t>Permanant</t>
  </si>
  <si>
    <t>hialbedwawi</t>
  </si>
  <si>
    <t>Hamad.Albedwawi@RTA.ae</t>
  </si>
  <si>
    <t>Najwa</t>
  </si>
  <si>
    <t>AlHamedh</t>
  </si>
  <si>
    <t>nkalhamedh</t>
  </si>
  <si>
    <t>Najwa.AlHamedh@rta.ae</t>
  </si>
  <si>
    <t>INC000001321038</t>
  </si>
  <si>
    <t>Request top reset adobe acrobat password.</t>
  </si>
  <si>
    <t>Adobe Acrobat Professional(RE)</t>
  </si>
  <si>
    <t>aabdulmohammad</t>
  </si>
  <si>
    <t>Ali.AMohammad@rta.ae</t>
  </si>
  <si>
    <t>constellation_jgwagl</t>
  </si>
  <si>
    <t>Khalid</t>
  </si>
  <si>
    <t>Shaaban-Contractor</t>
  </si>
  <si>
    <t>Application Configuration</t>
  </si>
  <si>
    <t>apex_aashaaban</t>
  </si>
  <si>
    <t>Apex_Ahmed.Shaaban@rta.ae</t>
  </si>
  <si>
    <t>INC000001321021</t>
  </si>
  <si>
    <t>Aljaziri</t>
  </si>
  <si>
    <t>omaljaziri</t>
  </si>
  <si>
    <t>Omar.Aljaziri@rta.ae</t>
  </si>
  <si>
    <t>Shaima</t>
  </si>
  <si>
    <t>Hajji</t>
  </si>
  <si>
    <t>sjhajji</t>
  </si>
  <si>
    <t>Shaima.Hajji@rta.ae</t>
  </si>
  <si>
    <t>INC000001321010</t>
  </si>
  <si>
    <t>Girish</t>
  </si>
  <si>
    <t>Thimmegowda</t>
  </si>
  <si>
    <t>techm_gkthimmegowda</t>
  </si>
  <si>
    <t>Techm_Girish.Thimmegowda@rta.ae</t>
  </si>
  <si>
    <t>INC000001321005</t>
  </si>
  <si>
    <t>Intranet credential Issue</t>
  </si>
  <si>
    <t>shalali</t>
  </si>
  <si>
    <t>Shaikha.Alali@rta.ae</t>
  </si>
  <si>
    <t>INC000001321003</t>
  </si>
  <si>
    <t>Hamadi</t>
  </si>
  <si>
    <t>Laptop_EC3-AMD</t>
  </si>
  <si>
    <t>AALIHamadi</t>
  </si>
  <si>
    <t>Abdallah.AliHamadi@rta.ae</t>
  </si>
  <si>
    <t>INC000001321001</t>
  </si>
  <si>
    <t>Juma</t>
  </si>
  <si>
    <t>Fikri</t>
  </si>
  <si>
    <t>JHFikri</t>
  </si>
  <si>
    <t>Juma.Fikri@rta.ae</t>
  </si>
  <si>
    <t>INC000001321000</t>
  </si>
  <si>
    <t>Hasan</t>
  </si>
  <si>
    <t>Outlook credential Issue</t>
  </si>
  <si>
    <t>amhasan</t>
  </si>
  <si>
    <t>Abdulla.Hasan@rta.ae</t>
  </si>
  <si>
    <t>INC000001320998</t>
  </si>
  <si>
    <t>Anwar</t>
  </si>
  <si>
    <t>Kutty</t>
  </si>
  <si>
    <t>PDF Architect installation pop up</t>
  </si>
  <si>
    <t>ASKutty</t>
  </si>
  <si>
    <t>Anwar.Kutty@rta.ae</t>
  </si>
  <si>
    <t>Waleed</t>
  </si>
  <si>
    <t>Alhammadi</t>
  </si>
  <si>
    <t>waalhammadi</t>
  </si>
  <si>
    <t>Waleed.Alhammadi@RTA.ae</t>
  </si>
  <si>
    <t>INC000001320993</t>
  </si>
  <si>
    <t>Almadani</t>
  </si>
  <si>
    <t>NSAlmadani</t>
  </si>
  <si>
    <t>Noora.Almadani@rta.ae</t>
  </si>
  <si>
    <t>INC000001320989</t>
  </si>
  <si>
    <t>INC000001320984</t>
  </si>
  <si>
    <t>VPN Request</t>
  </si>
  <si>
    <t>Generic ID Creation</t>
  </si>
  <si>
    <t>Alkhuroosi</t>
  </si>
  <si>
    <t>ssalkhuroosi</t>
  </si>
  <si>
    <t>Saeed.Alkhuroosi@rta.ae</t>
  </si>
  <si>
    <t>INC000001320979</t>
  </si>
  <si>
    <t>Microstation Line Style</t>
  </si>
  <si>
    <t>INC000001320976</t>
  </si>
  <si>
    <t>KMAlshehhi</t>
  </si>
  <si>
    <t>Khalid.Alshehhi@rta.ae</t>
  </si>
  <si>
    <t>INC000001320965</t>
  </si>
  <si>
    <t>Sumaya</t>
  </si>
  <si>
    <t>Browser issue - not able to access EMS</t>
  </si>
  <si>
    <t>SJSaeed</t>
  </si>
  <si>
    <t>Sumaya.Saeed@rta.ae</t>
  </si>
  <si>
    <t>INC000001320962</t>
  </si>
  <si>
    <t>Majid</t>
  </si>
  <si>
    <t>Alhawai</t>
  </si>
  <si>
    <t>VPN account unlock request</t>
  </si>
  <si>
    <t>maalhawai</t>
  </si>
  <si>
    <t>Majid.Alhawai@rta.ae</t>
  </si>
  <si>
    <t>INC000001320957</t>
  </si>
  <si>
    <t>Adobe acrobat language Issue</t>
  </si>
  <si>
    <t>assulaiman</t>
  </si>
  <si>
    <t>Amna.Sulaiman@rta.ae</t>
  </si>
  <si>
    <t>Upgrade</t>
  </si>
  <si>
    <t>INC000001320946</t>
  </si>
  <si>
    <t>Kreishan</t>
  </si>
  <si>
    <t>mmkreishan</t>
  </si>
  <si>
    <t>Mahmoud.Kreishan@rta.ae</t>
  </si>
  <si>
    <t>INC000001320944</t>
  </si>
  <si>
    <t>Saheb</t>
  </si>
  <si>
    <t>Adobe Acrobat Issue</t>
  </si>
  <si>
    <t>hlsaheb</t>
  </si>
  <si>
    <t>Hussain.Saheb@rta.ae</t>
  </si>
  <si>
    <t>INC000001320943</t>
  </si>
  <si>
    <t>Rahahleh</t>
  </si>
  <si>
    <t>google chrome issue</t>
  </si>
  <si>
    <t>AARahahleh</t>
  </si>
  <si>
    <t>Ahmad.Rahahleh@rta.ae</t>
  </si>
  <si>
    <t>INC000001320940</t>
  </si>
  <si>
    <t>AlAmiri</t>
  </si>
  <si>
    <t>Guide the user to login to Automation system with Oracle Authenticator</t>
  </si>
  <si>
    <t>eaalamiri</t>
  </si>
  <si>
    <t>Essa.AlAmiri@RTA.ae</t>
  </si>
  <si>
    <t>CSC Alert - Scan Failure Detected - 23022026-03</t>
  </si>
  <si>
    <t>Alsuwaidi</t>
  </si>
  <si>
    <t>INC000001320937</t>
  </si>
  <si>
    <t>naalhamadi</t>
  </si>
  <si>
    <t>Noura.Alhamadi@rta.ae</t>
  </si>
  <si>
    <t>INC000001320935</t>
  </si>
  <si>
    <t>aoahmad</t>
  </si>
  <si>
    <t>Amna.Ahmad@rta.ae</t>
  </si>
  <si>
    <t>INC000001320930</t>
  </si>
  <si>
    <t>Suroor</t>
  </si>
  <si>
    <t>VPN configuration request</t>
  </si>
  <si>
    <t>sabalsuwaidi</t>
  </si>
  <si>
    <t>Suroor.Alsuwaidi@rta.ae</t>
  </si>
  <si>
    <t>INC000001320928</t>
  </si>
  <si>
    <t>Humisan</t>
  </si>
  <si>
    <t>MS Teams Reconfiguration</t>
  </si>
  <si>
    <t>transguard_hahumisan</t>
  </si>
  <si>
    <t>Transguard_Humisan.Humisan@rta.ae</t>
  </si>
  <si>
    <t>INC000001320925</t>
  </si>
  <si>
    <t>mmouali</t>
  </si>
  <si>
    <t>Mohamed.MAli@rta.ae</t>
  </si>
  <si>
    <t>INC000001320923</t>
  </si>
  <si>
    <t>Baniyas</t>
  </si>
  <si>
    <t>tmbaniyas</t>
  </si>
  <si>
    <t>Tariq.Baniyas@rta.ae</t>
  </si>
  <si>
    <t>INC000001320921</t>
  </si>
  <si>
    <t>Husain</t>
  </si>
  <si>
    <t>Battiwala</t>
  </si>
  <si>
    <t>hsbattiwala</t>
  </si>
  <si>
    <t>Husain.Battiwala@rta.ae</t>
  </si>
  <si>
    <t>Sonasath</t>
  </si>
  <si>
    <t>mksonasath</t>
  </si>
  <si>
    <t>Mustafa.Sonasath@rta.ae</t>
  </si>
  <si>
    <t>INC000001320915</t>
  </si>
  <si>
    <t>Aramex</t>
  </si>
  <si>
    <t>T2 Aweer Main</t>
  </si>
  <si>
    <t>aramex_T2r11</t>
  </si>
  <si>
    <t>aramex_T2.r11@rta.ae</t>
  </si>
  <si>
    <t>Naseem</t>
  </si>
  <si>
    <t>Matalka</t>
  </si>
  <si>
    <t>NAMatalka</t>
  </si>
  <si>
    <t>Naseem.Matalka@rta.ae</t>
  </si>
  <si>
    <t>Web Jet</t>
  </si>
  <si>
    <t>Alert</t>
  </si>
  <si>
    <t>Toner</t>
  </si>
  <si>
    <t>Toner Request- Proactive Webjet</t>
  </si>
  <si>
    <t>wja</t>
  </si>
  <si>
    <t>wja@rta.global</t>
  </si>
  <si>
    <t>INC000001320849</t>
  </si>
  <si>
    <t>Al Nuaimi</t>
  </si>
  <si>
    <t>asaalnuaimi</t>
  </si>
  <si>
    <t>Aisha.Alnuaimi@rta.ae</t>
  </si>
  <si>
    <t>INC000001320828</t>
  </si>
  <si>
    <t>Abdulkhaliq Mohammad</t>
  </si>
  <si>
    <t>FOLLOW UP - FOLLOW UP - FOLLOW UP - FOLLOW UP - FOLLOW UP - FOLLOW UP - FOLLOW UP - FOLLOW UP - Ex</t>
  </si>
  <si>
    <t>AR_ESCALATOR</t>
  </si>
  <si>
    <t>iamohammad</t>
  </si>
  <si>
    <t>Ibrahim.Mohammad@rta.ae</t>
  </si>
  <si>
    <t>Basheer</t>
  </si>
  <si>
    <t>INC000001320807</t>
  </si>
  <si>
    <t>Awwad</t>
  </si>
  <si>
    <t xml:space="preserve">Not able to save the changes in  4 pane </t>
  </si>
  <si>
    <t>saawwad</t>
  </si>
  <si>
    <t>Sayed.Awwad@rta.ae</t>
  </si>
  <si>
    <t>INC000001320806</t>
  </si>
  <si>
    <t>Bus</t>
  </si>
  <si>
    <t>Maintenance</t>
  </si>
  <si>
    <t>Techm Hussein Aljayeh</t>
  </si>
  <si>
    <t>Techm_HHAljayeh</t>
  </si>
  <si>
    <t>Busstation.Maintenance@rta.ae</t>
  </si>
  <si>
    <t>INC000001320805</t>
  </si>
  <si>
    <t>Eltohamy</t>
  </si>
  <si>
    <t>ameltohamy</t>
  </si>
  <si>
    <t>Ahmed.Eltohamy@rta.ae</t>
  </si>
  <si>
    <t>INC000001320800</t>
  </si>
  <si>
    <t>Tayyara</t>
  </si>
  <si>
    <t>Guide user to reset the Password through Self services portal.</t>
  </si>
  <si>
    <t>mmtaiyara</t>
  </si>
  <si>
    <t>mohammed.tayyara@rta.ae</t>
  </si>
  <si>
    <t>Nidal</t>
  </si>
  <si>
    <t>Hanbali</t>
  </si>
  <si>
    <t>nhhanbali</t>
  </si>
  <si>
    <t>Nidal.Hanbali@rta.ae</t>
  </si>
  <si>
    <t>INC000001320795</t>
  </si>
  <si>
    <t>INC000001320793</t>
  </si>
  <si>
    <t>INC000001320791</t>
  </si>
  <si>
    <t>techvista_mwwaqaskha</t>
  </si>
  <si>
    <t>Techvista_Muhammad.Waqaskhan@rta.ae</t>
  </si>
  <si>
    <t>INC000001320790</t>
  </si>
  <si>
    <t>INC000001320742</t>
  </si>
  <si>
    <t>Yaser</t>
  </si>
  <si>
    <t>yahali</t>
  </si>
  <si>
    <t>Yaser.Ali@RTA.ae</t>
  </si>
  <si>
    <t>INC000001320741</t>
  </si>
  <si>
    <t>Elsharkawy</t>
  </si>
  <si>
    <t>avaya_maelsharkawy</t>
  </si>
  <si>
    <t>Avaya_Marwan.Elsharkawy@rta.ae</t>
  </si>
  <si>
    <t>INC000001320740</t>
  </si>
  <si>
    <t>MOAalbalooshi</t>
  </si>
  <si>
    <t>Mohammed.Albalooshi@rta.ae</t>
  </si>
  <si>
    <t>INC000001320734</t>
  </si>
  <si>
    <t>imahmad</t>
  </si>
  <si>
    <t>Ishaq.Ahmad@rta.ae</t>
  </si>
  <si>
    <t>INC000001320733</t>
  </si>
  <si>
    <t>Arnold</t>
  </si>
  <si>
    <t>Maniquiz</t>
  </si>
  <si>
    <t>Office365 Login Configuration</t>
  </si>
  <si>
    <t>aymaniquiz</t>
  </si>
  <si>
    <t>Arnold.Maniquiz@rta.ae</t>
  </si>
  <si>
    <t>INC000001320732</t>
  </si>
  <si>
    <t>Abdulhameed</t>
  </si>
  <si>
    <t>asmeltohamy</t>
  </si>
  <si>
    <t>Abdulhameed.Eltohamy@rta.ae</t>
  </si>
  <si>
    <t>INC000001320729</t>
  </si>
  <si>
    <t>INC000001320726</t>
  </si>
  <si>
    <t>Obid</t>
  </si>
  <si>
    <t>Bilal</t>
  </si>
  <si>
    <t>RTA Mail Outlook configuration on Personal Smart Phone</t>
  </si>
  <si>
    <t>OJBilal</t>
  </si>
  <si>
    <t>Obid.Bilal@rta.ae</t>
  </si>
  <si>
    <t>INC000001320723</t>
  </si>
  <si>
    <t>Alwakil</t>
  </si>
  <si>
    <t>mhalwakil</t>
  </si>
  <si>
    <t>Mohammed.Alwakil@rta.ae</t>
  </si>
  <si>
    <t>INC000001320722</t>
  </si>
  <si>
    <t>INC000001320721</t>
  </si>
  <si>
    <t>Kadavath</t>
  </si>
  <si>
    <t>srsl_svkadavath</t>
  </si>
  <si>
    <t>Srsl_Saleem.Kadavath@rta.ae</t>
  </si>
  <si>
    <t>INC000001320720</t>
  </si>
  <si>
    <t>Yassine</t>
  </si>
  <si>
    <t>Lamsahhal</t>
  </si>
  <si>
    <t>srsl_yllamsahhal</t>
  </si>
  <si>
    <t>Srsl_Yassine.Lamsahhal@rta.ae</t>
  </si>
  <si>
    <t>INC000001320715</t>
  </si>
  <si>
    <t>INC000001320713</t>
  </si>
  <si>
    <t>Single Risk Event: machine RTA-CTS-ITD-919 infected with Heur.AdvML.B, action Quarantined</t>
  </si>
  <si>
    <t>Nihad Mozayek</t>
  </si>
  <si>
    <t>Bloushi</t>
  </si>
  <si>
    <t>INC000001320700</t>
  </si>
  <si>
    <t>New Laptop Request</t>
  </si>
  <si>
    <t>ayoalblooshi</t>
  </si>
  <si>
    <t>Abdulla.YAlblooshi@rta.ae</t>
  </si>
  <si>
    <t>INC000001320699</t>
  </si>
  <si>
    <t>Maryam Ahmed</t>
  </si>
  <si>
    <t>Srouri</t>
  </si>
  <si>
    <t>MASrouri</t>
  </si>
  <si>
    <t>Maryam.Srouri@rta.ae</t>
  </si>
  <si>
    <t>Non-Standard Software Applications</t>
  </si>
  <si>
    <t>INC000001320689</t>
  </si>
  <si>
    <t>Raed</t>
  </si>
  <si>
    <t>Ismail</t>
  </si>
  <si>
    <t>Enable PC location</t>
  </si>
  <si>
    <t>PC Reconnection</t>
  </si>
  <si>
    <t>RKIsmail</t>
  </si>
  <si>
    <t>Raed.Ismail@rta.ae</t>
  </si>
  <si>
    <t>non-categorised Requesets</t>
  </si>
  <si>
    <t>INC000001320682</t>
  </si>
  <si>
    <t>Nahla</t>
  </si>
  <si>
    <t>Unable to receive emails from specific vendor</t>
  </si>
  <si>
    <t>nmoahmed</t>
  </si>
  <si>
    <t>Nahla.Ahmed@rta.ae</t>
  </si>
  <si>
    <t>INC000001320658</t>
  </si>
  <si>
    <t>Constellation Jayesh</t>
  </si>
  <si>
    <t>Wagle</t>
  </si>
  <si>
    <t>10.11.88.86 Server SFTP Access Issue</t>
  </si>
  <si>
    <t>Constellation_Jayesh.Wagle@rta.ae</t>
  </si>
  <si>
    <t>INC000001320651</t>
  </si>
  <si>
    <t>System booting issue</t>
  </si>
  <si>
    <t>Bashayer</t>
  </si>
  <si>
    <t>BABAhmed</t>
  </si>
  <si>
    <t>Bashayer.Ahmed@rta.ae</t>
  </si>
  <si>
    <t>INC000001320639</t>
  </si>
  <si>
    <t>Alrashdi</t>
  </si>
  <si>
    <t>Counter 5 Activation - Al Barsha CHC</t>
  </si>
  <si>
    <t>aaalrashdi</t>
  </si>
  <si>
    <t>Ahmed.Alrashdi@RTA.ae</t>
  </si>
  <si>
    <t>Gulshan Rai Sehgal</t>
  </si>
  <si>
    <t>tms_ssgulshanraisehg</t>
  </si>
  <si>
    <t>Tms_Sameer.Gulshanraisehgal@rta.ae</t>
  </si>
  <si>
    <t>INC000001320637</t>
  </si>
  <si>
    <t>Experts Karl</t>
  </si>
  <si>
    <t>Madla</t>
  </si>
  <si>
    <t>Laptop booting issue</t>
  </si>
  <si>
    <t>Experts_KTMadla</t>
  </si>
  <si>
    <t>Experts_Karl.Madla@rta.ae</t>
  </si>
  <si>
    <t>cns_niibrahim</t>
  </si>
  <si>
    <t>INC000001320624</t>
  </si>
  <si>
    <t>maryam</t>
  </si>
  <si>
    <t>taher</t>
  </si>
  <si>
    <t>Smart traffic configuration Request</t>
  </si>
  <si>
    <t>mmtaher</t>
  </si>
  <si>
    <t>maryamm.taher@rta.ae</t>
  </si>
  <si>
    <t>INC000001320618</t>
  </si>
  <si>
    <t>Abdul</t>
  </si>
  <si>
    <t>Transportation Strategic Planning</t>
  </si>
  <si>
    <t>abaskhan</t>
  </si>
  <si>
    <t>AbdulBaseer.Khan@rta.ae</t>
  </si>
  <si>
    <t>INC000001320616</t>
  </si>
  <si>
    <t>Request an electronic signature device</t>
  </si>
  <si>
    <t>Reem</t>
  </si>
  <si>
    <t>Khaled</t>
  </si>
  <si>
    <t>Rashed Al Ali</t>
  </si>
  <si>
    <t>kralali</t>
  </si>
  <si>
    <t>khaled.alali@rta.ae</t>
  </si>
  <si>
    <t>Network Cable</t>
  </si>
  <si>
    <t>INC000001320576</t>
  </si>
  <si>
    <t>Muhammed</t>
  </si>
  <si>
    <t>mkhan</t>
  </si>
  <si>
    <t>Muhammed.Khan@rta.ae</t>
  </si>
  <si>
    <t>Alsaleh</t>
  </si>
  <si>
    <t>maalsaleh</t>
  </si>
  <si>
    <t>Mohammad.Alsaleh@rta.ae</t>
  </si>
  <si>
    <t>INC000001320573</t>
  </si>
  <si>
    <t>NX-Hardware Upgrade</t>
  </si>
  <si>
    <t>INC000001320565</t>
  </si>
  <si>
    <t>Sergio</t>
  </si>
  <si>
    <t>Grosso</t>
  </si>
  <si>
    <t>unable to run python program on 2 machines</t>
  </si>
  <si>
    <t>Mohamed Al Taweel</t>
  </si>
  <si>
    <t>Trans_SGGrosso</t>
  </si>
  <si>
    <t>Trans_Sergio.Grosso@rta.ae</t>
  </si>
  <si>
    <t>INC000001320557</t>
  </si>
  <si>
    <t>STAlmheiri</t>
  </si>
  <si>
    <t>Saeed.TAlmheiri@rta.ae</t>
  </si>
  <si>
    <t>INC000001320556</t>
  </si>
  <si>
    <t>INC000001320553</t>
  </si>
  <si>
    <t>FAAlshehhi</t>
  </si>
  <si>
    <t>Fahad.Alshehhi@rta.ae</t>
  </si>
  <si>
    <t>INC000001320550</t>
  </si>
  <si>
    <t>Emadeldin</t>
  </si>
  <si>
    <t>Aboukoush</t>
  </si>
  <si>
    <t>eaaboukoush</t>
  </si>
  <si>
    <t>Emadeldin.Aboukoush@RTA.ae</t>
  </si>
  <si>
    <t>aamohammed</t>
  </si>
  <si>
    <t>Amna.AMohammed@rta.ae</t>
  </si>
  <si>
    <t>INC000001320547</t>
  </si>
  <si>
    <t>INC000001320545</t>
  </si>
  <si>
    <t>Keyboard</t>
  </si>
  <si>
    <t>INC000001320540</t>
  </si>
  <si>
    <t>aabdulaljasmi</t>
  </si>
  <si>
    <t>Ayesha.Aljasmi@rta.ae</t>
  </si>
  <si>
    <t>INC000001320532</t>
  </si>
  <si>
    <t>INC000001320529</t>
  </si>
  <si>
    <t>Sumaya Salem</t>
  </si>
  <si>
    <t>Al Ebri</t>
  </si>
  <si>
    <t>ssalebri</t>
  </si>
  <si>
    <t>sumaya.ebri@rta.ae</t>
  </si>
  <si>
    <t>Andrey</t>
  </si>
  <si>
    <t>Dumanskiy</t>
  </si>
  <si>
    <t>intertec_aidumanskiy</t>
  </si>
  <si>
    <t>Intertec_Andrey.Dumanskiy@rta.ae</t>
  </si>
  <si>
    <t>INC000001320518</t>
  </si>
  <si>
    <t>Laptop network connectivity issue</t>
  </si>
  <si>
    <t>EMS</t>
  </si>
  <si>
    <t>INC000001320516</t>
  </si>
  <si>
    <t>Ilia</t>
  </si>
  <si>
    <t>Volozhanin</t>
  </si>
  <si>
    <t>intertech_iivolozhan</t>
  </si>
  <si>
    <t>Intertech_Ilia.Volozhanin@rta.ae</t>
  </si>
  <si>
    <t>INC000001320515</t>
  </si>
  <si>
    <t>Tarek</t>
  </si>
  <si>
    <t>Walid Abu Gharbieh</t>
  </si>
  <si>
    <t>Assist user to Retrieving Files</t>
  </si>
  <si>
    <t>Data Recovery</t>
  </si>
  <si>
    <t>Data Recovery Request</t>
  </si>
  <si>
    <t>TWGharbieh</t>
  </si>
  <si>
    <t>Tariq.Gharbieh@rta.ae</t>
  </si>
  <si>
    <t>INC000001320510</t>
  </si>
  <si>
    <t>INC000001320506</t>
  </si>
  <si>
    <t>IPAD issue</t>
  </si>
  <si>
    <t>Temporary Hardware</t>
  </si>
  <si>
    <t>IPAD</t>
  </si>
  <si>
    <t>INC000001320504</t>
  </si>
  <si>
    <t>Experts Salah</t>
  </si>
  <si>
    <t>Experts_SMAhmed</t>
  </si>
  <si>
    <t>Experts_Salah.Ahmed@rta.ae</t>
  </si>
  <si>
    <t>INC000001320503</t>
  </si>
  <si>
    <t>Techm Al</t>
  </si>
  <si>
    <t>Ameen</t>
  </si>
  <si>
    <t>Laptop  getting heat and not responding and hung</t>
  </si>
  <si>
    <t>Techm_AAAmeen</t>
  </si>
  <si>
    <t>Techm_Al.Ameen@rta.ae</t>
  </si>
  <si>
    <t>Ramzi</t>
  </si>
  <si>
    <t>Ammari</t>
  </si>
  <si>
    <t>rmammari</t>
  </si>
  <si>
    <t>Ramzi.Ammari@rta.ae</t>
  </si>
  <si>
    <t>INC000001320498</t>
  </si>
  <si>
    <t>Abdulmuttaleb</t>
  </si>
  <si>
    <t>HHAbdulmuttaleb</t>
  </si>
  <si>
    <t>Hanan.alhasawi@rta.ae</t>
  </si>
  <si>
    <t>Battery Issue</t>
  </si>
  <si>
    <t>INC000001320492</t>
  </si>
  <si>
    <t>Laptop Charger is not working</t>
  </si>
  <si>
    <t>INC000001320489</t>
  </si>
  <si>
    <t>Ghulam</t>
  </si>
  <si>
    <t>Qadir</t>
  </si>
  <si>
    <t>Reset Oracle account Request</t>
  </si>
  <si>
    <t>GNQadir</t>
  </si>
  <si>
    <t>Ghulam.Qadir@rta.ae</t>
  </si>
  <si>
    <t>INC000001320486</t>
  </si>
  <si>
    <t>Hossam</t>
  </si>
  <si>
    <t>Soliman</t>
  </si>
  <si>
    <t>Guided user to unlock account via Self-Service</t>
  </si>
  <si>
    <t>hasoliman</t>
  </si>
  <si>
    <t>Hossam.Soliman@rta.ae</t>
  </si>
  <si>
    <t>Adeel</t>
  </si>
  <si>
    <t>tms_abadeel</t>
  </si>
  <si>
    <t>Tms_Amna.Adeel@rta.ae</t>
  </si>
  <si>
    <t>INC000001320482</t>
  </si>
  <si>
    <t>Halima</t>
  </si>
  <si>
    <t>AlZahli</t>
  </si>
  <si>
    <t>smart traffic configuration request</t>
  </si>
  <si>
    <t>hkalzahli</t>
  </si>
  <si>
    <t>Halima.AlZahli@rta.ae</t>
  </si>
  <si>
    <t>INC000001320479</t>
  </si>
  <si>
    <t>Shayma</t>
  </si>
  <si>
    <t>smohaalblooshi</t>
  </si>
  <si>
    <t>Shayma.Alblooshi@rta.ae</t>
  </si>
  <si>
    <t>Layla</t>
  </si>
  <si>
    <t>LIAli</t>
  </si>
  <si>
    <t>Layla.Ali@rta.ae</t>
  </si>
  <si>
    <t>Alshamsi</t>
  </si>
  <si>
    <t>abualshamsi</t>
  </si>
  <si>
    <t>Amal.BAlshamsi@rta.ae</t>
  </si>
  <si>
    <t>Rikaz</t>
  </si>
  <si>
    <t>Elbaradhi</t>
  </si>
  <si>
    <t>rjelbaradhi</t>
  </si>
  <si>
    <t>Rikaz.Elbaradhi@rta.ae</t>
  </si>
  <si>
    <t>INC000001320460</t>
  </si>
  <si>
    <t>Al Mazzem</t>
  </si>
  <si>
    <t>kmalmazzem</t>
  </si>
  <si>
    <t>Khalid.AlMazzem@RTA.ae</t>
  </si>
  <si>
    <t>INC000001320457</t>
  </si>
  <si>
    <t>Cannot access my email Calander and cannot received any emails</t>
  </si>
  <si>
    <t>mfaalali</t>
  </si>
  <si>
    <t>Meera.Alali@rta.ae</t>
  </si>
  <si>
    <t>INC000001320453</t>
  </si>
  <si>
    <t>Unable to download Bank Statements - Access Denied</t>
  </si>
  <si>
    <t>minmohamed</t>
  </si>
  <si>
    <t>Muhammad.IMohamed@rta.ae</t>
  </si>
  <si>
    <t>Request</t>
  </si>
  <si>
    <t>INC000001320449</t>
  </si>
  <si>
    <t>Eman</t>
  </si>
  <si>
    <t>Alameeri</t>
  </si>
  <si>
    <t>eaalameeri</t>
  </si>
  <si>
    <t>Eman.Alameeri@rta.ae</t>
  </si>
  <si>
    <t>ssalshamsi</t>
  </si>
  <si>
    <t>Sultan.SAlshamsi@rta.ae</t>
  </si>
  <si>
    <t>INC000001320446</t>
  </si>
  <si>
    <t>Epic Abed Alfattah</t>
  </si>
  <si>
    <t>Nawahdeh</t>
  </si>
  <si>
    <t>Epic_ASNawahdeh</t>
  </si>
  <si>
    <t>Epic_Abedalfattah.Nawahdeh@rta.ae</t>
  </si>
  <si>
    <t>INC000001320439</t>
  </si>
  <si>
    <t>VPN Configurations Request</t>
  </si>
  <si>
    <t>INC000001320436</t>
  </si>
  <si>
    <t>Faraj</t>
  </si>
  <si>
    <t>Chrome Browser Issue "Can not open RTA Intranet"</t>
  </si>
  <si>
    <t>SMFaraj</t>
  </si>
  <si>
    <t>Shamsa.Faraj@rta.ae</t>
  </si>
  <si>
    <t>INC000001320434</t>
  </si>
  <si>
    <t>Sana Juma</t>
  </si>
  <si>
    <t>The user is facing a SIM card issue</t>
  </si>
  <si>
    <t>sjzayed</t>
  </si>
  <si>
    <t>sana.zayed@rta.ae</t>
  </si>
  <si>
    <t>INC000001320429</t>
  </si>
  <si>
    <t>AlMoatasem belah</t>
  </si>
  <si>
    <t>Haj Saleh</t>
  </si>
  <si>
    <t>ambelah</t>
  </si>
  <si>
    <t>Almoatasem.saleh@rta.ae</t>
  </si>
  <si>
    <t>INC000001320425</t>
  </si>
  <si>
    <t>Madhu</t>
  </si>
  <si>
    <t>Tayi</t>
  </si>
  <si>
    <t>mktayi</t>
  </si>
  <si>
    <t>Madhu.Tayi@rta.ae</t>
  </si>
  <si>
    <t>INC000001320420</t>
  </si>
  <si>
    <t>Osama</t>
  </si>
  <si>
    <t>Elgilani Eldirdieri</t>
  </si>
  <si>
    <t>oeeldirdieri</t>
  </si>
  <si>
    <t>Osama.Eldirdieri@rta.ae</t>
  </si>
  <si>
    <t>INC000001320412</t>
  </si>
  <si>
    <t>Nawal</t>
  </si>
  <si>
    <t>Mahfoodh</t>
  </si>
  <si>
    <t>Guided user to reset password via Self-service</t>
  </si>
  <si>
    <t>njmahfoodh</t>
  </si>
  <si>
    <t>Nawal.Mahfoodh@RTA.ae</t>
  </si>
  <si>
    <t>INC000001320410</t>
  </si>
  <si>
    <t>Aboueida</t>
  </si>
  <si>
    <t>Outlook configuration request</t>
  </si>
  <si>
    <t>tms_wsaboueida</t>
  </si>
  <si>
    <t>Tms_Wissam.Aboueida@rta.ae</t>
  </si>
  <si>
    <t>INC000001320405</t>
  </si>
  <si>
    <t>Roqaya</t>
  </si>
  <si>
    <t>AlBlooshi</t>
  </si>
  <si>
    <t>rksafar</t>
  </si>
  <si>
    <t>roqaya.safar@rta.ae</t>
  </si>
  <si>
    <t>INC000001320403</t>
  </si>
  <si>
    <t>AlSayed</t>
  </si>
  <si>
    <t>Al Hashmi</t>
  </si>
  <si>
    <t>aialhashmi</t>
  </si>
  <si>
    <t>Alsayed.Alhashmi@rta.ae</t>
  </si>
  <si>
    <t>INC000001320400</t>
  </si>
  <si>
    <t>Aljeziri</t>
  </si>
  <si>
    <t>Edge configuration Request</t>
  </si>
  <si>
    <t>kaaljeziri</t>
  </si>
  <si>
    <t>Khadija.Aljeziri@rta.ae</t>
  </si>
  <si>
    <t>INC000001320399</t>
  </si>
  <si>
    <t>Alamm</t>
  </si>
  <si>
    <t>MAAlamm</t>
  </si>
  <si>
    <t>Marwan.Alamm@rta.ae</t>
  </si>
  <si>
    <t>INC000001320397</t>
  </si>
  <si>
    <t>Wassim</t>
  </si>
  <si>
    <t>Huwari</t>
  </si>
  <si>
    <t>wwhuwari</t>
  </si>
  <si>
    <t>Wassim.Huwari@rta.ae</t>
  </si>
  <si>
    <t>INC000001320396</t>
  </si>
  <si>
    <t>Aly</t>
  </si>
  <si>
    <t>To clear the EAS CEO iPad cache due to one letter that's stuck in her EMS outbox.</t>
  </si>
  <si>
    <t>Mohamed Nishad Usman</t>
  </si>
  <si>
    <t>NMAly</t>
  </si>
  <si>
    <t>Nahla.Aly@rta.ae</t>
  </si>
  <si>
    <t>INC000001320395</t>
  </si>
  <si>
    <t>Adobe Pro Issue</t>
  </si>
  <si>
    <t>INC000001320393</t>
  </si>
  <si>
    <t>Hamed</t>
  </si>
  <si>
    <t>AlFahim</t>
  </si>
  <si>
    <t>ms out outlook</t>
  </si>
  <si>
    <t>HAFahim</t>
  </si>
  <si>
    <t>Hamed.AlFahim@rta.ae</t>
  </si>
  <si>
    <t>INC000001320382</t>
  </si>
  <si>
    <t>Laptop replacement request</t>
  </si>
  <si>
    <t>Laptop replacement with Laptop</t>
  </si>
  <si>
    <t>INC000001320379</t>
  </si>
  <si>
    <t>Hafez</t>
  </si>
  <si>
    <t>Chrome Browser Issue</t>
  </si>
  <si>
    <t>MS project professional</t>
  </si>
  <si>
    <t>iron_mmhafez</t>
  </si>
  <si>
    <t>Iron_Mohamed.Hafez@rta.ae</t>
  </si>
  <si>
    <t>INC000001320374</t>
  </si>
  <si>
    <t>Guided user to unlock account via Self-service</t>
  </si>
  <si>
    <t>INC000001320371</t>
  </si>
  <si>
    <t>Athari</t>
  </si>
  <si>
    <t>Zahreddin</t>
  </si>
  <si>
    <t>AMUZahreddin</t>
  </si>
  <si>
    <t>Athari.MZahreddin@rta.ae</t>
  </si>
  <si>
    <t>INC000001320370</t>
  </si>
  <si>
    <t>Map share folder request</t>
  </si>
  <si>
    <t>INC000001320363</t>
  </si>
  <si>
    <t>Marwan Saleh</t>
  </si>
  <si>
    <t>Munssar</t>
  </si>
  <si>
    <t>mmunssar</t>
  </si>
  <si>
    <t>marwan.munssar@rta.ae</t>
  </si>
  <si>
    <t>INC000001320354</t>
  </si>
  <si>
    <t>asaealmheiri</t>
  </si>
  <si>
    <t>Alia.SAlmheiri@rta.ae</t>
  </si>
  <si>
    <t>Latif</t>
  </si>
  <si>
    <t>Mhlatif</t>
  </si>
  <si>
    <t>Muhammad.Hayatabdul@rta.ae</t>
  </si>
  <si>
    <t>Aldhuhoori</t>
  </si>
  <si>
    <t>Issa</t>
  </si>
  <si>
    <t>INC000001320320</t>
  </si>
  <si>
    <t>Dbouk</t>
  </si>
  <si>
    <t>Guided user to connect to VPN</t>
  </si>
  <si>
    <t>ymdbouk</t>
  </si>
  <si>
    <t>Yasser.Dbouk@rta.ae</t>
  </si>
  <si>
    <t>INC000001320319</t>
  </si>
  <si>
    <t>Miguel</t>
  </si>
  <si>
    <t>Lucido</t>
  </si>
  <si>
    <t>Desktop replacement with Laptop</t>
  </si>
  <si>
    <t>malucido</t>
  </si>
  <si>
    <t>Miguel.Lucido@RTA.ae</t>
  </si>
  <si>
    <t>INC000001320313</t>
  </si>
  <si>
    <t>Lamya</t>
  </si>
  <si>
    <t>Alharmoodi</t>
  </si>
  <si>
    <t>Mouse</t>
  </si>
  <si>
    <t>LAAlharmoodi</t>
  </si>
  <si>
    <t>Lamya.Alharmoodi@rta.ae</t>
  </si>
  <si>
    <t>INC000001320308</t>
  </si>
  <si>
    <t>Kinan Albouni</t>
  </si>
  <si>
    <t>Cooling Fan Issue</t>
  </si>
  <si>
    <t>mkalbouni</t>
  </si>
  <si>
    <t>Mohammed.Albouni@rta.ae</t>
  </si>
  <si>
    <t>INC000001320303</t>
  </si>
  <si>
    <t>Reset Smart employee account Request</t>
  </si>
  <si>
    <t>INC000001320302</t>
  </si>
  <si>
    <t>FDSaleh</t>
  </si>
  <si>
    <t>Faisal.Saleh@rta.ae</t>
  </si>
  <si>
    <t>INC000001320300</t>
  </si>
  <si>
    <t>Nada</t>
  </si>
  <si>
    <t>Dashti</t>
  </si>
  <si>
    <t>Reset Oracle Authenticator Request</t>
  </si>
  <si>
    <t>NADashti</t>
  </si>
  <si>
    <t>Nada.Dashti@rta.ae</t>
  </si>
  <si>
    <t>INC000001320295</t>
  </si>
  <si>
    <t>RMHassan</t>
  </si>
  <si>
    <t>Rashed.Hassan@rta.ae</t>
  </si>
  <si>
    <t>INC000001320291</t>
  </si>
  <si>
    <t>Nihaluddin</t>
  </si>
  <si>
    <t>mdnihaluddin</t>
  </si>
  <si>
    <t>Muhammad.Nihaluddin@rta.ae</t>
  </si>
  <si>
    <t>INC000001320282</t>
  </si>
  <si>
    <t>Alkindi</t>
  </si>
  <si>
    <t>AMAlkindi</t>
  </si>
  <si>
    <t>Ahmed.Alkindi@rta.ae</t>
  </si>
  <si>
    <t>INC000001320281</t>
  </si>
  <si>
    <t>SAAlshehhi</t>
  </si>
  <si>
    <t>Saeed.Alshehhi@rta.ae</t>
  </si>
  <si>
    <t>INC000001320280</t>
  </si>
  <si>
    <t>Alshakhadhah</t>
  </si>
  <si>
    <t>Received popup notification while open EV</t>
  </si>
  <si>
    <t>MAAlshakhadhah</t>
  </si>
  <si>
    <t>Muna.Alshakhadhah@rta.ae</t>
  </si>
  <si>
    <t>Mohsin</t>
  </si>
  <si>
    <t>Aftab</t>
  </si>
  <si>
    <t>qpros_maaftab</t>
  </si>
  <si>
    <t>Qpros_Mohsin.Aftab@rta.ae</t>
  </si>
  <si>
    <t>INC000001320276</t>
  </si>
  <si>
    <t>INC000001320267</t>
  </si>
  <si>
    <t>Salim Hussein</t>
  </si>
  <si>
    <t>Al Rimawi</t>
  </si>
  <si>
    <t>salrimawi</t>
  </si>
  <si>
    <t>salim.alrimawi@rta.ae</t>
  </si>
  <si>
    <t>INC000001320265</t>
  </si>
  <si>
    <t>Intisar</t>
  </si>
  <si>
    <t>Almuntaser</t>
  </si>
  <si>
    <t>MS Outlook &amp; MS Teams Configuration</t>
  </si>
  <si>
    <t>isalmuntaser</t>
  </si>
  <si>
    <t>Intisar.Almuntaser@rta.ae</t>
  </si>
  <si>
    <t>INC000001320263</t>
  </si>
  <si>
    <t>Asset collection request -PC Screen</t>
  </si>
  <si>
    <t>SYAlhammadi</t>
  </si>
  <si>
    <t>Sara.Alhammadi@rta.ae</t>
  </si>
  <si>
    <t>INC000001320262</t>
  </si>
  <si>
    <t>Farida</t>
  </si>
  <si>
    <t>Al Zarooni</t>
  </si>
  <si>
    <t>fmalzarooni</t>
  </si>
  <si>
    <t>farida.alzarooni@rta.ae</t>
  </si>
  <si>
    <t>INC000001320252</t>
  </si>
  <si>
    <t>Rawaah</t>
  </si>
  <si>
    <t>Qadous</t>
  </si>
  <si>
    <t>rmqadous</t>
  </si>
  <si>
    <t>Rawaah.Qadous@rta.ae</t>
  </si>
  <si>
    <t>INC000001320246</t>
  </si>
  <si>
    <t>Abdulmajid</t>
  </si>
  <si>
    <t>mfabdulmajid</t>
  </si>
  <si>
    <t>Mohamed.Abdulmajid@RTA.ae</t>
  </si>
  <si>
    <t>INC000001320242</t>
  </si>
  <si>
    <t>NX-PC Slowness Issue</t>
  </si>
  <si>
    <t>amabdulla</t>
  </si>
  <si>
    <t>Amna.Abdulla@rta.ae</t>
  </si>
  <si>
    <t>INC000001320239</t>
  </si>
  <si>
    <t>Uddin</t>
  </si>
  <si>
    <t>Mhuddin</t>
  </si>
  <si>
    <t>Muhammad.HUddin@rta.ae</t>
  </si>
  <si>
    <t>INC000001320233</t>
  </si>
  <si>
    <t>Email access through Smart Devices</t>
  </si>
  <si>
    <t>INC000001320232</t>
  </si>
  <si>
    <t xml:space="preserve">system is not working </t>
  </si>
  <si>
    <t>INC000001320230</t>
  </si>
  <si>
    <t>INC000001320229</t>
  </si>
  <si>
    <t>INC000001320228</t>
  </si>
  <si>
    <t>Mousa</t>
  </si>
  <si>
    <t>AIBMousa</t>
  </si>
  <si>
    <t>Ahmad.Mousa@rta.ae</t>
  </si>
  <si>
    <t>INC000001320227</t>
  </si>
  <si>
    <t>Request for HDMI Cable</t>
  </si>
  <si>
    <t>Issue with HDMI / VGA / Audio cable</t>
  </si>
  <si>
    <t>INC000001320226</t>
  </si>
  <si>
    <t>INC000001320222</t>
  </si>
  <si>
    <t>Samah</t>
  </si>
  <si>
    <t>Khlaif</t>
  </si>
  <si>
    <t>mic issue</t>
  </si>
  <si>
    <t>smkhlaif</t>
  </si>
  <si>
    <t>Samah.Khlaif@rta.ae</t>
  </si>
  <si>
    <t>INC000001320220</t>
  </si>
  <si>
    <t>INC000001320219</t>
  </si>
  <si>
    <t>Elaaf</t>
  </si>
  <si>
    <t>Osman Sayedahmed</t>
  </si>
  <si>
    <t>avaya_esosmansayedah</t>
  </si>
  <si>
    <t>Avaya_Elaaf.Osmansayedahmed@rta.ae</t>
  </si>
  <si>
    <t>Noureldine</t>
  </si>
  <si>
    <t>Safadi</t>
  </si>
  <si>
    <t>NASafadi</t>
  </si>
  <si>
    <t>Noureldine.Safadi@rta.ae</t>
  </si>
  <si>
    <t>INC000001320217</t>
  </si>
  <si>
    <t>INC000001320216</t>
  </si>
  <si>
    <t>INC000001320215</t>
  </si>
  <si>
    <t>Workstation</t>
  </si>
  <si>
    <t>INC000001320212</t>
  </si>
  <si>
    <t>INC000001320210</t>
  </si>
  <si>
    <t>Hoda</t>
  </si>
  <si>
    <t>INC000001320132</t>
  </si>
  <si>
    <t>FOLLOW UP - Temporary Laptop</t>
  </si>
  <si>
    <t>INC000001320131</t>
  </si>
  <si>
    <t>Badrawi</t>
  </si>
  <si>
    <t>FOLLOW UP - 23FEB26_Request to provide  used Macbook on temporary basis.</t>
  </si>
  <si>
    <t>aabadrawi</t>
  </si>
  <si>
    <t>Ali.Badrawi@rta.ae</t>
  </si>
  <si>
    <t>INC000001320107</t>
  </si>
  <si>
    <t>Suad</t>
  </si>
  <si>
    <t>network cable request</t>
  </si>
  <si>
    <t>ssalmakrani</t>
  </si>
  <si>
    <t>Suad.Almakrani@rta.ae</t>
  </si>
  <si>
    <t>INC000001320106</t>
  </si>
  <si>
    <t>Samiha Ahmed</t>
  </si>
  <si>
    <t>Al Zarouni</t>
  </si>
  <si>
    <t>sazarouni</t>
  </si>
  <si>
    <t>samiha.alzarouni@rta.ae</t>
  </si>
  <si>
    <t>INC000001320101</t>
  </si>
  <si>
    <t>INC000001320096</t>
  </si>
  <si>
    <t>Suleiman</t>
  </si>
  <si>
    <t>INC000001320080</t>
  </si>
  <si>
    <t>Laymouna</t>
  </si>
  <si>
    <t>meds_ohlaymouna</t>
  </si>
  <si>
    <t>Meds_Omar.Laymouna@rta.ae</t>
  </si>
  <si>
    <t>INC000001320075</t>
  </si>
  <si>
    <t>Abdelrahman</t>
  </si>
  <si>
    <t>Shiiju</t>
  </si>
  <si>
    <t>Abdul Basheer</t>
  </si>
  <si>
    <t>ultimate_stabdulbash</t>
  </si>
  <si>
    <t>Ultimate_Shiiju.Abdulbasheer@rta.ae</t>
  </si>
  <si>
    <t>INC000001320071</t>
  </si>
  <si>
    <t>Altamimi</t>
  </si>
  <si>
    <t>HDMI Screen Cable issue</t>
  </si>
  <si>
    <t>msaltamimi</t>
  </si>
  <si>
    <t>Maitha.Altamimi@rta.ae</t>
  </si>
  <si>
    <t>INC000001320069</t>
  </si>
  <si>
    <t>Syed Majid</t>
  </si>
  <si>
    <t>Sm Ikhlaq</t>
  </si>
  <si>
    <t>reach_sbsmikhlaq</t>
  </si>
  <si>
    <t>Reach_Syedmajid.Smikhlaq@rta.ae</t>
  </si>
  <si>
    <t>INC000001320067</t>
  </si>
  <si>
    <t>Saud</t>
  </si>
  <si>
    <t>Al Ali</t>
  </si>
  <si>
    <t>sabalali</t>
  </si>
  <si>
    <t>Saud.Alali@rta.ae</t>
  </si>
  <si>
    <t>INC000001320064</t>
  </si>
  <si>
    <t>Galaleldin</t>
  </si>
  <si>
    <t>smartvision_shgalale</t>
  </si>
  <si>
    <t>Smartvision_Samir.Galaleldin@rta.ae</t>
  </si>
  <si>
    <t>INC000001320063</t>
  </si>
  <si>
    <t>Youssef</t>
  </si>
  <si>
    <t>Albloushi</t>
  </si>
  <si>
    <t>YHAlbloushi</t>
  </si>
  <si>
    <t>Youssef.HAlbloushi@rta.ae</t>
  </si>
  <si>
    <t>INC000001320062</t>
  </si>
  <si>
    <t>INC000001320056</t>
  </si>
  <si>
    <t>Bakhtullah</t>
  </si>
  <si>
    <t>bkkhan</t>
  </si>
  <si>
    <t>bakhtullah.khan@rta.ae</t>
  </si>
  <si>
    <t>INC000001320055</t>
  </si>
  <si>
    <t>MJAlbalooshi</t>
  </si>
  <si>
    <t>Mohammad.JAlbalooshi@rta.ae</t>
  </si>
  <si>
    <t>INC000001320054</t>
  </si>
  <si>
    <t>Tanzila</t>
  </si>
  <si>
    <t>RTA Office365 Login configuration</t>
  </si>
  <si>
    <t>techm_tashaikh</t>
  </si>
  <si>
    <t>Techm_Tanzila.Shaikh@rta.ae</t>
  </si>
  <si>
    <t>INC000001320053</t>
  </si>
  <si>
    <t>Azzam</t>
  </si>
  <si>
    <t>Elhassan</t>
  </si>
  <si>
    <t>srsl_aoelhassan</t>
  </si>
  <si>
    <t>Srsl_Azzam.Elhassan@rta.ae</t>
  </si>
  <si>
    <t>INC000001320052</t>
  </si>
  <si>
    <t>Manal Mohammed</t>
  </si>
  <si>
    <t>Al Rayes</t>
  </si>
  <si>
    <t>mmrayes</t>
  </si>
  <si>
    <t>manal.alrayes@rta.ae</t>
  </si>
  <si>
    <t>INC000001320020</t>
  </si>
  <si>
    <t>Nexthink: Device Crash 0X9F (Driver_Power_State_Failure)</t>
  </si>
  <si>
    <t>INC000001320018</t>
  </si>
  <si>
    <t>Shaban</t>
  </si>
  <si>
    <t>Nexthink: Desktops with system disk nearly full</t>
  </si>
  <si>
    <t>srsl_ajshaban</t>
  </si>
  <si>
    <t>Srsl_Ahmad.Shaban@rta.ae</t>
  </si>
  <si>
    <t>INC000001320016</t>
  </si>
  <si>
    <t>INC000001320014</t>
  </si>
  <si>
    <t>Arwa</t>
  </si>
  <si>
    <t>Al Naggar</t>
  </si>
  <si>
    <t>ultimate_amalnaggar</t>
  </si>
  <si>
    <t>Ultimate_Arwa.Alnaggar@rta.ae</t>
  </si>
  <si>
    <t>INC000001320012</t>
  </si>
  <si>
    <t>Cleanway Jaafar</t>
  </si>
  <si>
    <t>Lahchir</t>
  </si>
  <si>
    <t>cleanway_jllahchir</t>
  </si>
  <si>
    <t>Cleanway_Jaafar.Lahchir@rta.ae</t>
  </si>
  <si>
    <t>INC000001320010</t>
  </si>
  <si>
    <t>Salaheddin</t>
  </si>
  <si>
    <t>Abuqube</t>
  </si>
  <si>
    <t>saabuqube</t>
  </si>
  <si>
    <t>Salaheddin.Abuqube@rta.ae</t>
  </si>
  <si>
    <t>INC000001320008</t>
  </si>
  <si>
    <t>Closed</t>
  </si>
  <si>
    <t>INC000001319941</t>
  </si>
  <si>
    <t>Avaya Mubeen</t>
  </si>
  <si>
    <t>avaya_mukhan</t>
  </si>
  <si>
    <t>Avaya_Mubeen.Khan@rta.ae</t>
  </si>
  <si>
    <t>INC000001319940</t>
  </si>
  <si>
    <t>Nour</t>
  </si>
  <si>
    <t>Altarawneh</t>
  </si>
  <si>
    <t>nsaltarawneh</t>
  </si>
  <si>
    <t>Nour.Altarawneh@rta.ae</t>
  </si>
  <si>
    <t>INC000001319927</t>
  </si>
  <si>
    <t>Dardas</t>
  </si>
  <si>
    <t>hddardas</t>
  </si>
  <si>
    <t>Hasan.Dardas@rta.ae</t>
  </si>
  <si>
    <t>okool_faissa</t>
  </si>
  <si>
    <t>Okool_Fahad.Issa@rta.ae</t>
  </si>
  <si>
    <t>INC000001319909</t>
  </si>
  <si>
    <t>Alnjada</t>
  </si>
  <si>
    <t>ealnjada</t>
  </si>
  <si>
    <t>Essa.Alnjada@rta.ae</t>
  </si>
  <si>
    <t>INC000001319880</t>
  </si>
  <si>
    <t>Al Raisi</t>
  </si>
  <si>
    <t>amaalraisi</t>
  </si>
  <si>
    <t>Amal.AlRaisi@RTA.ae</t>
  </si>
  <si>
    <t>INC000001319878</t>
  </si>
  <si>
    <t>Senedak</t>
  </si>
  <si>
    <t>Avaya_MSSenedak</t>
  </si>
  <si>
    <t>Avaya_Mohamed.Senedak@rta.ae</t>
  </si>
  <si>
    <t>INC000001319864</t>
  </si>
  <si>
    <t>Techm Merin</t>
  </si>
  <si>
    <t>Laptop not working as desired</t>
  </si>
  <si>
    <t>Techm_MPGeorge</t>
  </si>
  <si>
    <t>Techm_Merin.George@rta.ae</t>
  </si>
  <si>
    <t>INC000001319861</t>
  </si>
  <si>
    <t>Aishwarya</t>
  </si>
  <si>
    <t>Laddigatti</t>
  </si>
  <si>
    <t>techm_aaladdigatti</t>
  </si>
  <si>
    <t>Techm_Aishwarya.Laddigatti@rta.ae</t>
  </si>
  <si>
    <t>INC000001319844</t>
  </si>
  <si>
    <t>Al Hamadi</t>
  </si>
  <si>
    <t>FOLLOW UP - Email Forward request</t>
  </si>
  <si>
    <t>transguard_amalhamad</t>
  </si>
  <si>
    <t>Transguard_Ahmad.Alhamadi@rta.ae</t>
  </si>
  <si>
    <t>Valappil</t>
  </si>
  <si>
    <t>INC000001319825</t>
  </si>
  <si>
    <t>Abdulhadi</t>
  </si>
  <si>
    <t>Abdulrahim</t>
  </si>
  <si>
    <t>Aababdulrahim</t>
  </si>
  <si>
    <t>Abdulhadi.AAbdulrahim@rta.ae</t>
  </si>
  <si>
    <t>INC000001319824</t>
  </si>
  <si>
    <t>Talal</t>
  </si>
  <si>
    <t>RTA Mail configuration in Personal Smart Phone</t>
  </si>
  <si>
    <t>thjalbalooshi</t>
  </si>
  <si>
    <t>Talal.Albalooshi@rta.ae</t>
  </si>
  <si>
    <t>INC000001319823</t>
  </si>
  <si>
    <t>INC000001319822</t>
  </si>
  <si>
    <t>Anas</t>
  </si>
  <si>
    <t>Alouda</t>
  </si>
  <si>
    <t>ayalouda</t>
  </si>
  <si>
    <t>Anas.Alouda@rta.ae</t>
  </si>
  <si>
    <t>INC000001319821</t>
  </si>
  <si>
    <t>Hana Thani</t>
  </si>
  <si>
    <t>Al Halyan</t>
  </si>
  <si>
    <t>htalhalyan</t>
  </si>
  <si>
    <t>hana.alhalyan@rta.ae</t>
  </si>
  <si>
    <t>INC000001319819</t>
  </si>
  <si>
    <t>Jithin</t>
  </si>
  <si>
    <t>Jcvalappil</t>
  </si>
  <si>
    <t>Jithin.Valappil@rta.ae</t>
  </si>
  <si>
    <t>INC000001319816</t>
  </si>
  <si>
    <t>Abdullgani</t>
  </si>
  <si>
    <t>Murad</t>
  </si>
  <si>
    <t>aamurad</t>
  </si>
  <si>
    <t>Abdullgani.Murad@rta.ae</t>
  </si>
  <si>
    <t>INC000001319812</t>
  </si>
  <si>
    <t>Noureldin</t>
  </si>
  <si>
    <t>Single Risk Event: machine RTA-PTA-BUS-173 infected with DNS Change, action Details pending</t>
  </si>
  <si>
    <t>srsl_nalmohamed</t>
  </si>
  <si>
    <t>Srsl_Noureldin.Mohamed@rta.ae</t>
  </si>
  <si>
    <t>INC000001319790</t>
  </si>
  <si>
    <t>Production PAM Connectivity</t>
  </si>
  <si>
    <t>INC000001319763</t>
  </si>
  <si>
    <t>Hesham</t>
  </si>
  <si>
    <t>Request to release Qurantine email</t>
  </si>
  <si>
    <t>Release Encrypted Email</t>
  </si>
  <si>
    <t>omhesham</t>
  </si>
  <si>
    <t>Omar.Hesham@rta.ae</t>
  </si>
  <si>
    <t>Ead Rashid</t>
  </si>
  <si>
    <t>Al Mutlk</t>
  </si>
  <si>
    <t>eralmutlk</t>
  </si>
  <si>
    <t>ead.almutlk@rta.ae</t>
  </si>
  <si>
    <t>INC000001319752</t>
  </si>
  <si>
    <t>Vali</t>
  </si>
  <si>
    <t>savali</t>
  </si>
  <si>
    <t>Shaik.vali@rta.ae</t>
  </si>
  <si>
    <t>INC000001319745</t>
  </si>
  <si>
    <t>Alsinani</t>
  </si>
  <si>
    <t>asalsinani</t>
  </si>
  <si>
    <t>Amal.Alsinani@rta.ae</t>
  </si>
  <si>
    <t>INC000001319725</t>
  </si>
  <si>
    <t>Request for configure print screen</t>
  </si>
  <si>
    <t>INC000001319717</t>
  </si>
  <si>
    <t>CSC Alert - Scan Failure Detected - 21022026-01</t>
  </si>
  <si>
    <t>INC000001319714</t>
  </si>
  <si>
    <t>Moosa Ali</t>
  </si>
  <si>
    <t>amoali</t>
  </si>
  <si>
    <t>Ali.Moosa@rta.ae</t>
  </si>
  <si>
    <t>INC000001319710</t>
  </si>
  <si>
    <t>Albaloushi</t>
  </si>
  <si>
    <t>AAAlbaloushi</t>
  </si>
  <si>
    <t>Abdulrahman.Albaloushi@rta.ae</t>
  </si>
  <si>
    <t>INC000001319682</t>
  </si>
  <si>
    <t>INC000001319661</t>
  </si>
  <si>
    <t>Al Matroush</t>
  </si>
  <si>
    <t>nmalmatroush</t>
  </si>
  <si>
    <t>nabil.almatroush@rta.ae</t>
  </si>
  <si>
    <t>INC000001319660</t>
  </si>
  <si>
    <t>INC000001319658</t>
  </si>
  <si>
    <t>srsl_maabdelrahman</t>
  </si>
  <si>
    <t>Srsl_Mohamed.Abdelrahman@rta.ae</t>
  </si>
  <si>
    <t>INC000001319654</t>
  </si>
  <si>
    <t>INC000001319641</t>
  </si>
  <si>
    <t>INC000001319640</t>
  </si>
  <si>
    <t>INC000001319609</t>
  </si>
  <si>
    <t>Nazar</t>
  </si>
  <si>
    <t>Cns_Nazar.Ibrahim@rta.ae</t>
  </si>
  <si>
    <t>AMAlameri</t>
  </si>
  <si>
    <t>Ayesha.Alameri@rta.ae</t>
  </si>
  <si>
    <t>INC000001319597</t>
  </si>
  <si>
    <t>Kabeer</t>
  </si>
  <si>
    <t>Veerriparambil</t>
  </si>
  <si>
    <t>kkveerriparambil</t>
  </si>
  <si>
    <t>Kabeer.Veerriparambil@rta.ae</t>
  </si>
  <si>
    <t>INC000001319587</t>
  </si>
  <si>
    <t>CSC Alert - Scan Failure Detected - 20022026-04</t>
  </si>
  <si>
    <t>okool_mamohamed</t>
  </si>
  <si>
    <t>Okool_Mariam.Mohamed@rta.ae</t>
  </si>
  <si>
    <t>INC000001319583</t>
  </si>
  <si>
    <t>Epic Alia</t>
  </si>
  <si>
    <t>Shihab</t>
  </si>
  <si>
    <t>VPN configuration  Request</t>
  </si>
  <si>
    <t>Epic_AIShihab</t>
  </si>
  <si>
    <t>Epic_Alia.Shihab@rta.ae</t>
  </si>
  <si>
    <t>INC000001319579</t>
  </si>
  <si>
    <t>Yara</t>
  </si>
  <si>
    <t>Tarabay</t>
  </si>
  <si>
    <t>VPN  configuration Request</t>
  </si>
  <si>
    <t>kaa_yrtarabay</t>
  </si>
  <si>
    <t>Kaa_Yara.Tarabay@rta.ae</t>
  </si>
  <si>
    <t>INC000001319577</t>
  </si>
  <si>
    <t>INC000001319571</t>
  </si>
  <si>
    <t>Okool Waqas Khan</t>
  </si>
  <si>
    <t>CSC Alert - Scan Failure Detected - 20022026-03</t>
  </si>
  <si>
    <t>Okool_WMKhan</t>
  </si>
  <si>
    <t>Okool_Waqaskhan.Khan@rta.ae</t>
  </si>
  <si>
    <t>INC000001319570</t>
  </si>
  <si>
    <t>Atia</t>
  </si>
  <si>
    <t>CSC Alert : VPN user accessed from outside the approved country by user 'bsitet_ygatia'-20022026-02</t>
  </si>
  <si>
    <t>bsitet_ygatia</t>
  </si>
  <si>
    <t>Bsitet_Youssef.Atia@rta.ae</t>
  </si>
  <si>
    <t>Jamshidi</t>
  </si>
  <si>
    <t>HEJamshidi</t>
  </si>
  <si>
    <t>Hussain.Jamshidi@rta.ae</t>
  </si>
  <si>
    <t>INC000001319563</t>
  </si>
  <si>
    <t>Gubran Abdulalhakim</t>
  </si>
  <si>
    <t>Hahoud</t>
  </si>
  <si>
    <t>PC Files Inaccessible Issue</t>
  </si>
  <si>
    <t>ghahoud</t>
  </si>
  <si>
    <t>Gubran.Hammod@rta.ae</t>
  </si>
  <si>
    <t>INC000001319419</t>
  </si>
  <si>
    <t>Zughayer</t>
  </si>
  <si>
    <t>Log in issue</t>
  </si>
  <si>
    <t>Domain Trust Authentication Issue</t>
  </si>
  <si>
    <t>oazughayer</t>
  </si>
  <si>
    <t>omar.zughayer@rta.ae</t>
  </si>
  <si>
    <t>INC000001319402</t>
  </si>
  <si>
    <t>Fekri</t>
  </si>
  <si>
    <t>Automation Issue</t>
  </si>
  <si>
    <t>FAFekri</t>
  </si>
  <si>
    <t>Fatma.Fekri@rta.ae</t>
  </si>
  <si>
    <t>INC000001319396</t>
  </si>
  <si>
    <t>Hessa</t>
  </si>
  <si>
    <t>Outlook Not Responding(RE)</t>
  </si>
  <si>
    <t>HIBAhmad</t>
  </si>
  <si>
    <t>Hessa.Ahmad@rta.ae</t>
  </si>
  <si>
    <t>INC000001319393</t>
  </si>
  <si>
    <t>INC000001319388</t>
  </si>
  <si>
    <t>INC000001319383</t>
  </si>
  <si>
    <t>INC000001319382</t>
  </si>
  <si>
    <t>Avaya Tarek Salama</t>
  </si>
  <si>
    <t>Mohamed Khedr</t>
  </si>
  <si>
    <t>Avaya_TMMohamedkhedr</t>
  </si>
  <si>
    <t>Avaya_Tareksalama.Mohamedkhedr@rta.ae</t>
  </si>
  <si>
    <t>INC000001319371</t>
  </si>
  <si>
    <t>INC000001319364</t>
  </si>
  <si>
    <t>INC000001319360</t>
  </si>
  <si>
    <t>Tamara</t>
  </si>
  <si>
    <t>Albaz</t>
  </si>
  <si>
    <t>Reset VPN account Request</t>
  </si>
  <si>
    <t>tbalbaz</t>
  </si>
  <si>
    <t>Tamara.Albaz@rta.ae</t>
  </si>
  <si>
    <t>INC000001319354</t>
  </si>
  <si>
    <t>SIHamadi</t>
  </si>
  <si>
    <t>Sayed.Hamadi@rta.ae</t>
  </si>
  <si>
    <t>INC000001319349</t>
  </si>
  <si>
    <t>INC000001319342</t>
  </si>
  <si>
    <t>Outlook configuration Request</t>
  </si>
  <si>
    <t>INC000001319333</t>
  </si>
  <si>
    <t>Wajd</t>
  </si>
  <si>
    <t>Elkhalil</t>
  </si>
  <si>
    <t>there is a PDF file can't open</t>
  </si>
  <si>
    <t>wrelkhalil</t>
  </si>
  <si>
    <t>Wajd.Elkhalil@rta.ae</t>
  </si>
  <si>
    <t>INC000001319319</t>
  </si>
  <si>
    <t>JMAlaleeli</t>
  </si>
  <si>
    <t>Jasim.Alaleeli@rta.ae</t>
  </si>
  <si>
    <t>INC000001319311</t>
  </si>
  <si>
    <t>Thekrayat</t>
  </si>
  <si>
    <t>Al Mahdi</t>
  </si>
  <si>
    <t>srsl_taalmahdi</t>
  </si>
  <si>
    <t>Srsl_Thekrayat.Almahdi@rta.ae</t>
  </si>
  <si>
    <t>INC000001319301</t>
  </si>
  <si>
    <t>Elkhidir</t>
  </si>
  <si>
    <t>user education</t>
  </si>
  <si>
    <t>okool_hmelkhidir</t>
  </si>
  <si>
    <t>Okool_Hind.Elkhidir@rta.ae</t>
  </si>
  <si>
    <t>INC000001319290</t>
  </si>
  <si>
    <t>Almarama</t>
  </si>
  <si>
    <t>ABAlmarama</t>
  </si>
  <si>
    <t>Alia.Almarama@rta.ae</t>
  </si>
  <si>
    <t>INC000001319277</t>
  </si>
  <si>
    <t>eahussain</t>
  </si>
  <si>
    <t>Ebrahim.Hussain@RTA.ae</t>
  </si>
  <si>
    <t>INC000001319275</t>
  </si>
  <si>
    <t>Pulikkunnummel</t>
  </si>
  <si>
    <t>mapulikkunnummel</t>
  </si>
  <si>
    <t>Mohammed.Pulikkunnummel@RTA.ae</t>
  </si>
  <si>
    <t>INC000001319270</t>
  </si>
  <si>
    <t>password reset issue</t>
  </si>
  <si>
    <t>Palani</t>
  </si>
  <si>
    <t>Ravanappan</t>
  </si>
  <si>
    <t>pkravanappan</t>
  </si>
  <si>
    <t>Palani.Ravanappan@rta.ae</t>
  </si>
  <si>
    <t>INC000001319256</t>
  </si>
  <si>
    <t>INC000001319253</t>
  </si>
  <si>
    <t>INC000001319246</t>
  </si>
  <si>
    <t>MSAlbalooshi</t>
  </si>
  <si>
    <t>Maryam.SAlbalooshi@rta.ae</t>
  </si>
  <si>
    <t>INC000001319240</t>
  </si>
  <si>
    <t>Sahar</t>
  </si>
  <si>
    <t>sshamed</t>
  </si>
  <si>
    <t>Sahar.Hamed@rta.ae</t>
  </si>
  <si>
    <t>INC000001319237</t>
  </si>
  <si>
    <t>VPN Re-Configuration Request</t>
  </si>
  <si>
    <t>INC000001319233</t>
  </si>
  <si>
    <t>saaljasmi</t>
  </si>
  <si>
    <t>Shaikha.Aljasmi@rta.ae</t>
  </si>
  <si>
    <t>INC000001319228</t>
  </si>
  <si>
    <t>Vijay</t>
  </si>
  <si>
    <t>Arunan</t>
  </si>
  <si>
    <t>vmarunan</t>
  </si>
  <si>
    <t>Vijay.Arunan@rta.ae</t>
  </si>
  <si>
    <t>INC000001319226</t>
  </si>
  <si>
    <t>Unlock VPN (fmalzarooni)</t>
  </si>
  <si>
    <t>INC000001319219</t>
  </si>
  <si>
    <t>INC000001319214</t>
  </si>
  <si>
    <t>INC000001319211</t>
  </si>
  <si>
    <t>Failed installing</t>
  </si>
  <si>
    <t>INC000001319210</t>
  </si>
  <si>
    <t>INC000001319207</t>
  </si>
  <si>
    <t>Aminco Shankar</t>
  </si>
  <si>
    <t>Bogati</t>
  </si>
  <si>
    <t>Request for changing mobile number</t>
  </si>
  <si>
    <t>Aminco_SBBogati</t>
  </si>
  <si>
    <t>Aminco_SBBogati@rta.ae</t>
  </si>
  <si>
    <t>INC000001319204</t>
  </si>
  <si>
    <t>Maram</t>
  </si>
  <si>
    <t>Almuathen</t>
  </si>
  <si>
    <t>Oracle Mobile Authenticator Reconfiguration on Personal Smart Phone</t>
  </si>
  <si>
    <t>MSAlmuathen</t>
  </si>
  <si>
    <t>Maram.Almuathen@rta.ae</t>
  </si>
  <si>
    <t>INC000001319203</t>
  </si>
  <si>
    <t>INC000001319198</t>
  </si>
  <si>
    <t>INC000001319191</t>
  </si>
  <si>
    <t>Reset VPN QR code  (msalmuathen)</t>
  </si>
  <si>
    <t>INC000001319186</t>
  </si>
  <si>
    <t>ffalblooshi</t>
  </si>
  <si>
    <t>Fatma.FAlblooshi@rta.ae</t>
  </si>
  <si>
    <t>INC000001319180</t>
  </si>
  <si>
    <t>Sathyakumar</t>
  </si>
  <si>
    <t>Kandasamy</t>
  </si>
  <si>
    <t>ebm_skkandasamy</t>
  </si>
  <si>
    <t>Ebm_Sathyakumar.Kandasamy@rta.ae</t>
  </si>
  <si>
    <t>INC000001319174</t>
  </si>
  <si>
    <t>ikhankhan</t>
  </si>
  <si>
    <t>Ismail.Khan@rta.ae</t>
  </si>
  <si>
    <t>INC000001319169</t>
  </si>
  <si>
    <t>Bastaki</t>
  </si>
  <si>
    <t>moabastaki</t>
  </si>
  <si>
    <t>Mohammad.Bastaki@RTA.ae</t>
  </si>
  <si>
    <t>INC000001319168</t>
  </si>
  <si>
    <t>Sabil Abdulla</t>
  </si>
  <si>
    <t>Intranet Issue Pop-Up username and password frequently</t>
  </si>
  <si>
    <t>tsabdulla</t>
  </si>
  <si>
    <t>Talal.Abdulla@rta.ae</t>
  </si>
  <si>
    <t>INC000001319154</t>
  </si>
  <si>
    <t>INC000001319153</t>
  </si>
  <si>
    <t>Ziyad</t>
  </si>
  <si>
    <t>Mourched</t>
  </si>
  <si>
    <t>Guide the user to login to Automation system with MS edge browser.</t>
  </si>
  <si>
    <t>zcmourched</t>
  </si>
  <si>
    <t>Ziyad.Mourched@rta.ae</t>
  </si>
  <si>
    <t>INC000001319152</t>
  </si>
  <si>
    <t>Hani</t>
  </si>
  <si>
    <t>Abouzeid</t>
  </si>
  <si>
    <t>VPN Configuration  Request</t>
  </si>
  <si>
    <t>hmabouzeid</t>
  </si>
  <si>
    <t>Hani.Abouzeid@rta.ae</t>
  </si>
  <si>
    <t>INC000001319145</t>
  </si>
  <si>
    <t>RIALsuwaidi</t>
  </si>
  <si>
    <t>Reem.AAlsuwaidi@rta.ae</t>
  </si>
  <si>
    <t>INC000001319123</t>
  </si>
  <si>
    <t>Device error 0X133</t>
  </si>
  <si>
    <t>INC000001319118</t>
  </si>
  <si>
    <t>Alfalasi</t>
  </si>
  <si>
    <t>sjalfalasi</t>
  </si>
  <si>
    <t>Saeed.JAlfalasi@rta.ae</t>
  </si>
  <si>
    <t>INC000001319114</t>
  </si>
  <si>
    <t>INC000001319113</t>
  </si>
  <si>
    <t>Marzoughi</t>
  </si>
  <si>
    <t>hemarzoughi</t>
  </si>
  <si>
    <t>Hassan.Marzoughi@rta.ae</t>
  </si>
  <si>
    <t>INC000001319097</t>
  </si>
  <si>
    <t>INC000001319094</t>
  </si>
  <si>
    <t>Sarafudheen</t>
  </si>
  <si>
    <t>Mukari</t>
  </si>
  <si>
    <t>smmukari</t>
  </si>
  <si>
    <t>Sarafudheen.Mukari@rta.ae</t>
  </si>
  <si>
    <t>INC000001319076</t>
  </si>
  <si>
    <t>Request to update AV.</t>
  </si>
  <si>
    <t>INC000001319065</t>
  </si>
  <si>
    <t>INC000001319054</t>
  </si>
  <si>
    <t>Nijood</t>
  </si>
  <si>
    <t>Zarefa</t>
  </si>
  <si>
    <t>Required Temporary iPad for Demo and Testing</t>
  </si>
  <si>
    <t>ndzarefa</t>
  </si>
  <si>
    <t>Nijood.Zarefa@rta.ae</t>
  </si>
  <si>
    <t>INC000001319051</t>
  </si>
  <si>
    <t>Maher</t>
  </si>
  <si>
    <t>Hamodah-Contractor</t>
  </si>
  <si>
    <t>Unknown Pop up window  Issue</t>
  </si>
  <si>
    <t>Blue Screen Error</t>
  </si>
  <si>
    <t>epic_mfhamodah</t>
  </si>
  <si>
    <t>Epic_Maher.Hamodah@rta.ae</t>
  </si>
  <si>
    <t>INC000001319050</t>
  </si>
  <si>
    <t>Single Risk Event: machine RTA-CAS-CSC-650 infected with Hosts File Change, action Details pending</t>
  </si>
  <si>
    <t>asaiibrahim</t>
  </si>
  <si>
    <t>Amna.Ibrahim@rta.ae</t>
  </si>
  <si>
    <t>INC000001319042</t>
  </si>
  <si>
    <t>Roshan</t>
  </si>
  <si>
    <t>Prasad</t>
  </si>
  <si>
    <t>(Vectra) CSC Alert - Outbound Communication towards Suspicious Domain-19022026-03</t>
  </si>
  <si>
    <t>rdprasad</t>
  </si>
  <si>
    <t>Roshan.Prasad@rta.ae</t>
  </si>
  <si>
    <t>INC000001319040</t>
  </si>
  <si>
    <t>CSC Alert- VPN_Authentication failed multiple times for user 'UNITED_MWWANG'-19022026-05</t>
  </si>
  <si>
    <t>INC000001319037</t>
  </si>
  <si>
    <t>CSC Alert- VPN_Authentication failed multiple times for user 'hejamshidi'-19022026-04</t>
  </si>
  <si>
    <t>INC000001319034</t>
  </si>
  <si>
    <t>Moussa</t>
  </si>
  <si>
    <t>tmebs_aamoussa</t>
  </si>
  <si>
    <t>Tmebs_Amr.Moussa@rta.ae</t>
  </si>
  <si>
    <t>INC000001319032</t>
  </si>
  <si>
    <t>MS Excel Issue</t>
  </si>
  <si>
    <t>MS office professional</t>
  </si>
  <si>
    <t>INC000001319022</t>
  </si>
  <si>
    <t>Mohiuddin Afroz</t>
  </si>
  <si>
    <t>SMAfroz</t>
  </si>
  <si>
    <t>Syed.Afroz@rta.ae</t>
  </si>
  <si>
    <t>INC000001319018</t>
  </si>
  <si>
    <t>Almaqbali</t>
  </si>
  <si>
    <t>CSC Alert : Scan Failure Detected -06022026-06</t>
  </si>
  <si>
    <t>Techm Mazin Kinaish</t>
  </si>
  <si>
    <t>FRAlmaqbali</t>
  </si>
  <si>
    <t>Fatma.Almaqbali@rta.ae</t>
  </si>
  <si>
    <t>INC000001319016</t>
  </si>
  <si>
    <t>Techvista Adnan</t>
  </si>
  <si>
    <t>CSC Alert:VPN user ("TECHVISTA_AAAHMED") access from outside the approved country-19022026-03</t>
  </si>
  <si>
    <t>Techvista_AAAhmed</t>
  </si>
  <si>
    <t>Techvista_Adnan.Ahmed@rta.ae</t>
  </si>
  <si>
    <t>INC000001319014</t>
  </si>
  <si>
    <t>Single Risk Event: machine RTA-CAS-HRD-130 infected with ACM.Rgsvr-CPE!g1, action Details pending</t>
  </si>
  <si>
    <t>INC000001318998</t>
  </si>
  <si>
    <t>[HPWJA] Cyan Cartridge Supply Threshold HP LaserJet 700 color MFP M775 HP Only, HP Only\Mo</t>
  </si>
  <si>
    <t>INC000001318997</t>
  </si>
  <si>
    <t>[HPWJA] Gray Ink Cartridge Supply Threshold HP Designjet T7200 HP Only, HP Only\Localy Con</t>
  </si>
  <si>
    <t>INC000001318996</t>
  </si>
  <si>
    <t>[HPWJA] Cyan Cartridge Supply Threshold HP Color LaserJet M553 HP Only, HP Only\Models\M55</t>
  </si>
  <si>
    <t>INC000001318975</t>
  </si>
  <si>
    <t>INC000001318972</t>
  </si>
  <si>
    <t>INC000001318970</t>
  </si>
  <si>
    <t>Update Power Bi Desktop Request</t>
  </si>
  <si>
    <t>Non-listed Application/Software</t>
  </si>
  <si>
    <t>saali</t>
  </si>
  <si>
    <t>Syed.AAli@rta.ae</t>
  </si>
  <si>
    <t>INC000001318969</t>
  </si>
  <si>
    <t>Network cable request</t>
  </si>
  <si>
    <t>INC000001318967</t>
  </si>
  <si>
    <t>aabalmarzooqi</t>
  </si>
  <si>
    <t>Alia.Almarzooqi@rta.ae</t>
  </si>
  <si>
    <t>INC000001318963</t>
  </si>
  <si>
    <t>Windows 11 activation Request</t>
  </si>
  <si>
    <t>OS Activation Issue</t>
  </si>
  <si>
    <t>MSAlketbi</t>
  </si>
  <si>
    <t>Meera.SAlketbi@rta.ae</t>
  </si>
  <si>
    <t>INC000001318941</t>
  </si>
  <si>
    <t>Andrea</t>
  </si>
  <si>
    <t>Ladisla</t>
  </si>
  <si>
    <t>apladisla</t>
  </si>
  <si>
    <t>Andrea.Ladisla@rta.ae</t>
  </si>
  <si>
    <t>INC000001318940</t>
  </si>
  <si>
    <t>Kirill</t>
  </si>
  <si>
    <t>Bochkarev</t>
  </si>
  <si>
    <t>intertech_kkbochkare</t>
  </si>
  <si>
    <t>Intertech_Kirill.Bochkarev@rta.ae</t>
  </si>
  <si>
    <t>INC000001318935</t>
  </si>
  <si>
    <t>Bahrani</t>
  </si>
  <si>
    <t>AAAlBahrani</t>
  </si>
  <si>
    <t>Ali.Albahrani@rta.ae</t>
  </si>
  <si>
    <t>INC000001318924</t>
  </si>
  <si>
    <t>Christine</t>
  </si>
  <si>
    <t>Lammam</t>
  </si>
  <si>
    <t>Report</t>
  </si>
  <si>
    <t>CLLammam</t>
  </si>
  <si>
    <t>Christine.Lammam@rta.ae</t>
  </si>
  <si>
    <t>INC000001318918</t>
  </si>
  <si>
    <t>Unlock account Issue</t>
  </si>
  <si>
    <t>INC000001318911</t>
  </si>
  <si>
    <t>Chellappan</t>
  </si>
  <si>
    <t>Solaiyappan</t>
  </si>
  <si>
    <t>DB Connection missing</t>
  </si>
  <si>
    <t>csolaiyappan</t>
  </si>
  <si>
    <t>chellappan.solaiyappan@rta.ae</t>
  </si>
  <si>
    <t>Lamia</t>
  </si>
  <si>
    <t>Alkhoori</t>
  </si>
  <si>
    <t>LYAlkhoori</t>
  </si>
  <si>
    <t>Lamia.Alkhoori@rta.ae</t>
  </si>
  <si>
    <t>INC000001318894</t>
  </si>
  <si>
    <t>hsalketbi</t>
  </si>
  <si>
    <t>Hamda.Alketbi@rta.ae</t>
  </si>
  <si>
    <t>Alam</t>
  </si>
  <si>
    <t>techvista_maalam</t>
  </si>
  <si>
    <t>Techvista_Mohammad.Alam@rta.ae</t>
  </si>
  <si>
    <t>INC000001318874</t>
  </si>
  <si>
    <t>INC000001318850</t>
  </si>
  <si>
    <t>smoalhammadi</t>
  </si>
  <si>
    <t>Salim.MAlhammadi@rta.ae</t>
  </si>
  <si>
    <t>INC000001318835</t>
  </si>
  <si>
    <t>faaljaziri</t>
  </si>
  <si>
    <t>Fahad.Aljaziri@rta.ae</t>
  </si>
  <si>
    <t>INC000001318825</t>
  </si>
  <si>
    <t>Haneen</t>
  </si>
  <si>
    <t>Musleh</t>
  </si>
  <si>
    <t>Unlock VPN (Trans_HAMusleh)</t>
  </si>
  <si>
    <t>Trans_HAMusleh</t>
  </si>
  <si>
    <t>Trans_Haneen.Musleh@rta.ae</t>
  </si>
  <si>
    <t>Alnasser</t>
  </si>
  <si>
    <t>INC000001318815</t>
  </si>
  <si>
    <t>Alzidi</t>
  </si>
  <si>
    <t>Profile Configuration Request</t>
  </si>
  <si>
    <t>tms_haalzidi</t>
  </si>
  <si>
    <t>Tms_Hassan.Alzidi@rta.ae</t>
  </si>
  <si>
    <t>INC000001318801</t>
  </si>
  <si>
    <t>Password reset Request - New Joiner</t>
  </si>
  <si>
    <t>INC000001318794</t>
  </si>
  <si>
    <t>Alshirawy</t>
  </si>
  <si>
    <t>RTA Intranet and webistes issue</t>
  </si>
  <si>
    <t>AEAlshirawy</t>
  </si>
  <si>
    <t>Asma.Alshirawy@rta.ae</t>
  </si>
  <si>
    <t>Abdul Nissar</t>
  </si>
  <si>
    <t>Ahamed</t>
  </si>
  <si>
    <t>amahamed</t>
  </si>
  <si>
    <t>AbdulNissar.Ahamed@rta.ae</t>
  </si>
  <si>
    <t>INC000001318789</t>
  </si>
  <si>
    <t>Hiral</t>
  </si>
  <si>
    <t>Bharadia</t>
  </si>
  <si>
    <t>okool_hjbharadia</t>
  </si>
  <si>
    <t>Okool_Hiral.Bharadia@rta.ae</t>
  </si>
  <si>
    <t>INC000001318788</t>
  </si>
  <si>
    <t>Yasmin</t>
  </si>
  <si>
    <t>Almushrakh</t>
  </si>
  <si>
    <t>YKAlmushrakh</t>
  </si>
  <si>
    <t>Yasmin.Almushrakh@rta.ae</t>
  </si>
  <si>
    <t>INC000001318784</t>
  </si>
  <si>
    <t>RTAWLAN Connecting Issue</t>
  </si>
  <si>
    <t>Wrong Credentials</t>
  </si>
  <si>
    <t>INC000001318781</t>
  </si>
  <si>
    <t>Alsowidi</t>
  </si>
  <si>
    <t>Laptop replacement_ECC</t>
  </si>
  <si>
    <t>SMAlsowidi</t>
  </si>
  <si>
    <t>Saif.Alsowidi@rta.ae</t>
  </si>
  <si>
    <t>INC000001318775</t>
  </si>
  <si>
    <t>Shabeer</t>
  </si>
  <si>
    <t>Madathodi</t>
  </si>
  <si>
    <t>Reset smart employee account Request</t>
  </si>
  <si>
    <t>Samadathodi</t>
  </si>
  <si>
    <t>Shabeer.Madathodi@rta.ae</t>
  </si>
  <si>
    <t>Mail Box Full</t>
  </si>
  <si>
    <t>INC000001318764</t>
  </si>
  <si>
    <t>Yosra</t>
  </si>
  <si>
    <t>Ali Saleh Ali</t>
  </si>
  <si>
    <t>YAAli</t>
  </si>
  <si>
    <t>Yosra.Ali@rta.ae</t>
  </si>
  <si>
    <t>INC000001318758</t>
  </si>
  <si>
    <t>Avaya Maimoona</t>
  </si>
  <si>
    <t>Baloch</t>
  </si>
  <si>
    <t>user was not able to edit in word</t>
  </si>
  <si>
    <t>Avaya_MMBaloch</t>
  </si>
  <si>
    <t>Avaya_Maimoona.Baloch@rta.ae</t>
  </si>
  <si>
    <t>INC000001318756</t>
  </si>
  <si>
    <t>HASuleiman</t>
  </si>
  <si>
    <t>Hussein.Suleiman@rta.ae</t>
  </si>
  <si>
    <t>FAAldhuhoori</t>
  </si>
  <si>
    <t>Fatima.Aldhuhoori@rta.ae</t>
  </si>
  <si>
    <t>INC000001318740</t>
  </si>
  <si>
    <t>Carmelito</t>
  </si>
  <si>
    <t>Canete</t>
  </si>
  <si>
    <t>Scanner Issue</t>
  </si>
  <si>
    <t>Clcanete</t>
  </si>
  <si>
    <t>Carmelito.Canete@rta.ae</t>
  </si>
  <si>
    <t>INC000001318734</t>
  </si>
  <si>
    <t>INC000001318731</t>
  </si>
  <si>
    <t>Request to enable the Right Shift + Alt keyboard shortcut for changing language.</t>
  </si>
  <si>
    <t>trans_niibrahim</t>
  </si>
  <si>
    <t>Trans_Nour.Ibrahim@rta.ae</t>
  </si>
  <si>
    <t>INC000001318729</t>
  </si>
  <si>
    <t>INC000001318725</t>
  </si>
  <si>
    <t>Majida</t>
  </si>
  <si>
    <t>Naqi</t>
  </si>
  <si>
    <t>mmnaqi</t>
  </si>
  <si>
    <t>Majida.Naqi@rta.ae</t>
  </si>
  <si>
    <t>INC000001318716</t>
  </si>
  <si>
    <t>Sanqoor</t>
  </si>
  <si>
    <t>Oracle configuration request "Automation"</t>
  </si>
  <si>
    <t>mgsanqoor</t>
  </si>
  <si>
    <t>Maitha.Sanqoor@rta.ae</t>
  </si>
  <si>
    <t>INC000001318709</t>
  </si>
  <si>
    <t>Jasem</t>
  </si>
  <si>
    <t>jmalmulla</t>
  </si>
  <si>
    <t>Jasem.Almulla@rta.ae</t>
  </si>
  <si>
    <t>INC000001318702</t>
  </si>
  <si>
    <t>Request to change the default apps for PDF files and Outlook messages.</t>
  </si>
  <si>
    <t>INC000001318700</t>
  </si>
  <si>
    <t>Seraj</t>
  </si>
  <si>
    <t>Said</t>
  </si>
  <si>
    <t>New LAN cable request</t>
  </si>
  <si>
    <t>sasaid</t>
  </si>
  <si>
    <t>Seraj.Said@rta.ae</t>
  </si>
  <si>
    <t>INC000001318698</t>
  </si>
  <si>
    <t>Webex meetings access issue</t>
  </si>
  <si>
    <t>INC000001318695</t>
  </si>
  <si>
    <t>Smart Traffic configuration on Edge</t>
  </si>
  <si>
    <t>INC000001318694</t>
  </si>
  <si>
    <t>INC000001318691</t>
  </si>
  <si>
    <t>Shannan</t>
  </si>
  <si>
    <t>Disclaimer Pop-Up - Remove OneDrive</t>
  </si>
  <si>
    <t>AMShannan</t>
  </si>
  <si>
    <t>Ahmed.Shannan@rta.ae</t>
  </si>
  <si>
    <t>INC000001318684</t>
  </si>
  <si>
    <t>INC000001318682</t>
  </si>
  <si>
    <t>Al Saeedi</t>
  </si>
  <si>
    <t>Browser Configuration</t>
  </si>
  <si>
    <t>faalsaeedi</t>
  </si>
  <si>
    <t>Fatima.Alsaeedi@rta.ae</t>
  </si>
  <si>
    <t>INC000001318681</t>
  </si>
  <si>
    <t>pdf not opening</t>
  </si>
  <si>
    <t>hmohalhammadi</t>
  </si>
  <si>
    <t>Hoda.MAlhammadi@rta.ae</t>
  </si>
  <si>
    <t>INC000001318679</t>
  </si>
  <si>
    <t>Dheyab</t>
  </si>
  <si>
    <t>Guided user to unlock account via Self Service</t>
  </si>
  <si>
    <t>hadheyab</t>
  </si>
  <si>
    <t>Hamad.Dheyab@rta.ae</t>
  </si>
  <si>
    <t>INC000001318675</t>
  </si>
  <si>
    <t>Loloh</t>
  </si>
  <si>
    <t>AL Ali</t>
  </si>
  <si>
    <t>lalali</t>
  </si>
  <si>
    <t>Loloh.ALAli@rta.ae</t>
  </si>
  <si>
    <t>INC000001318670</t>
  </si>
  <si>
    <t>Ahmet</t>
  </si>
  <si>
    <t>Dogru</t>
  </si>
  <si>
    <t>abdogru</t>
  </si>
  <si>
    <t>Ahmet.Dogru@rta.ae</t>
  </si>
  <si>
    <t>INC000001318669</t>
  </si>
  <si>
    <t>mohammed</t>
  </si>
  <si>
    <t>shaker</t>
  </si>
  <si>
    <t>mhshaker</t>
  </si>
  <si>
    <t>mohammed.shaker@RTA.ae</t>
  </si>
  <si>
    <t>INC000001318666</t>
  </si>
  <si>
    <t>Email issue</t>
  </si>
  <si>
    <t>INC000001318665</t>
  </si>
  <si>
    <t>INC000001318657</t>
  </si>
  <si>
    <t>Chafiq</t>
  </si>
  <si>
    <t>Jellal</t>
  </si>
  <si>
    <t>cajellal</t>
  </si>
  <si>
    <t>Chafiq.Jellal@rta.ae</t>
  </si>
  <si>
    <t>INC000001318648</t>
  </si>
  <si>
    <t>27FEB26_Laptop replacement request</t>
  </si>
  <si>
    <t>Temporary Request</t>
  </si>
  <si>
    <t>HSAAlhashmi</t>
  </si>
  <si>
    <t>Huda.SAlhashmi@rta.ae</t>
  </si>
  <si>
    <t>INC000001318639</t>
  </si>
  <si>
    <t>INC000001318634</t>
  </si>
  <si>
    <t>INC000001318632</t>
  </si>
  <si>
    <t>iPad request \ PTA</t>
  </si>
  <si>
    <t>IPad</t>
  </si>
  <si>
    <t>MABDAAlali</t>
  </si>
  <si>
    <t>Mohamed.AHAlali@rta.ae</t>
  </si>
  <si>
    <t>INC000001318631</t>
  </si>
  <si>
    <t>Wadha</t>
  </si>
  <si>
    <t>Shukry</t>
  </si>
  <si>
    <t>washukry</t>
  </si>
  <si>
    <t>Wadha.Shukry@rta.ae</t>
  </si>
  <si>
    <t>Existing Data / Voice Socket</t>
  </si>
  <si>
    <t>INC000001318627</t>
  </si>
  <si>
    <t>Hessah</t>
  </si>
  <si>
    <t>Alhassan</t>
  </si>
  <si>
    <t>Connect Laptop to Projector in Meeting Room</t>
  </si>
  <si>
    <t>Projectors</t>
  </si>
  <si>
    <t>HSIAlhassan</t>
  </si>
  <si>
    <t>Hessah.SAlhassan@rta.ae</t>
  </si>
  <si>
    <t>Abdelmaguid</t>
  </si>
  <si>
    <t>okool_msabdelmaguid</t>
  </si>
  <si>
    <t>Okool_Mohamed.Abdelmaguid@rta.ae</t>
  </si>
  <si>
    <t>Mailbox full Issue</t>
  </si>
  <si>
    <t>INC000001318623</t>
  </si>
  <si>
    <t>Request to provide new Mouse  for Director</t>
  </si>
  <si>
    <t>INC000001318620</t>
  </si>
  <si>
    <t xml:space="preserve">?????? ??????? </t>
  </si>
  <si>
    <t>INC000001318615</t>
  </si>
  <si>
    <t>Tarak</t>
  </si>
  <si>
    <t>Baccouche</t>
  </si>
  <si>
    <t>TBBaccouche</t>
  </si>
  <si>
    <t>Tarak.Baccouche@rta.ae</t>
  </si>
  <si>
    <t>INC000001318613</t>
  </si>
  <si>
    <t>Luma</t>
  </si>
  <si>
    <t>Shajrawi</t>
  </si>
  <si>
    <t>lashajrawi</t>
  </si>
  <si>
    <t>Luma.Shajrawi@rta.ae</t>
  </si>
  <si>
    <t>INC000001318602</t>
  </si>
  <si>
    <t>INC000001318598</t>
  </si>
  <si>
    <t>Unlock account request</t>
  </si>
  <si>
    <t>INC000001318593</t>
  </si>
  <si>
    <t>Shareef</t>
  </si>
  <si>
    <t>Yousef Abu Taha</t>
  </si>
  <si>
    <t>????? ?? ????? ????? ?????????? ??? ?????</t>
  </si>
  <si>
    <t>syataha</t>
  </si>
  <si>
    <t>shareef.taha@rta.ae</t>
  </si>
  <si>
    <t>INC000001318575</t>
  </si>
  <si>
    <t>hmoalketbi</t>
  </si>
  <si>
    <t>Hind.Alketbi@rta.ae</t>
  </si>
  <si>
    <t>INC000001318566</t>
  </si>
  <si>
    <t>Fagery</t>
  </si>
  <si>
    <t>AV Defenition Update</t>
  </si>
  <si>
    <t>avaya_mhfagery</t>
  </si>
  <si>
    <t>Avaya_Mohamed.Fagery@rta.ae</t>
  </si>
  <si>
    <t>INC000001318565</t>
  </si>
  <si>
    <t>Alsaffar</t>
  </si>
  <si>
    <t>maalsaffar</t>
  </si>
  <si>
    <t>Mohamed.Alsaffar@RTA.ae</t>
  </si>
  <si>
    <t>INC000001318556</t>
  </si>
  <si>
    <t>INC000001318545</t>
  </si>
  <si>
    <t xml:space="preserve">Salim Ali Humaid </t>
  </si>
  <si>
    <t>ASHumaid</t>
  </si>
  <si>
    <t>Ali.Humaid@rta.ae</t>
  </si>
  <si>
    <t>INC000001318543</t>
  </si>
  <si>
    <t>INC000001318540</t>
  </si>
  <si>
    <t>INC000001318535</t>
  </si>
  <si>
    <t>ASBloushi</t>
  </si>
  <si>
    <t>Abdallah.Bloushi@rta.ae</t>
  </si>
  <si>
    <t>INC000001318533</t>
  </si>
  <si>
    <t>Alkurdi</t>
  </si>
  <si>
    <t>srsl_bmalkurdi</t>
  </si>
  <si>
    <t>Srsl_Basheer.Alkurdi@rta.ae</t>
  </si>
  <si>
    <t>INC000001318508</t>
  </si>
  <si>
    <t>INC000001318502</t>
  </si>
  <si>
    <t>INC000001318474</t>
  </si>
  <si>
    <t>MMAbdelrahman</t>
  </si>
  <si>
    <t>Mohamed.Abdelrahman@rta.ae</t>
  </si>
  <si>
    <t>INC000001318473</t>
  </si>
  <si>
    <t>kaalmulla</t>
  </si>
  <si>
    <t>Khalid.AAlmulla@rta.ae</t>
  </si>
  <si>
    <t>INC000001315906</t>
  </si>
  <si>
    <t>asabdullah</t>
  </si>
  <si>
    <t>Amna.Abdullah@rta.ae</t>
  </si>
  <si>
    <t>INC000001315904</t>
  </si>
  <si>
    <t>analshamsi</t>
  </si>
  <si>
    <t>amnan.alshamsi@rta.ae</t>
  </si>
  <si>
    <t>INC000001315903</t>
  </si>
  <si>
    <t>INC000001315900</t>
  </si>
  <si>
    <t>Nexthink: RTA-Devices with CPU issues</t>
  </si>
  <si>
    <t>INC000001315899</t>
  </si>
  <si>
    <t>MNAhli</t>
  </si>
  <si>
    <t>Mohammad.NAhli@rta.ae</t>
  </si>
  <si>
    <t>INC000001315898</t>
  </si>
  <si>
    <t>Anish</t>
  </si>
  <si>
    <t>Jacob</t>
  </si>
  <si>
    <t>Nexthink: Blue Screen &gt;3 Times ( For Past one week)</t>
  </si>
  <si>
    <t>ebm_ajjacob</t>
  </si>
  <si>
    <t>Ebm_Anish.Jacob@rta.ae</t>
  </si>
  <si>
    <t>INC000001315886</t>
  </si>
  <si>
    <t>AlGaradi</t>
  </si>
  <si>
    <t>kmalgaradi</t>
  </si>
  <si>
    <t>Khawla.AlGaradi@RTA.ae</t>
  </si>
  <si>
    <t>INC000001315876</t>
  </si>
  <si>
    <t xml:space="preserve">Outlook configuration </t>
  </si>
  <si>
    <t>MAHHassan</t>
  </si>
  <si>
    <t>Mustafa.AHassan@rta.ae</t>
  </si>
  <si>
    <t>Butt</t>
  </si>
  <si>
    <t>INC000001318446</t>
  </si>
  <si>
    <t>CSC Alert:VPN-Secondary authentication failed multiple times for SSALEBRI-18022026-04</t>
  </si>
  <si>
    <t>INC000001318412</t>
  </si>
  <si>
    <t>CSC Alert - Scan Failure Detected - 18022026-04</t>
  </si>
  <si>
    <t>INC000001318411</t>
  </si>
  <si>
    <t>ahabdelrahman</t>
  </si>
  <si>
    <t>Ammar.Abdelrahman@rta.ae</t>
  </si>
  <si>
    <t>INC000001318398</t>
  </si>
  <si>
    <t>CSC Alert:VPN-High Number of Login Failures from same user Account AHABDELRAHMAN within1</t>
  </si>
  <si>
    <t>INC000001318392</t>
  </si>
  <si>
    <t>CSC Alert- (Vectra) - Suspect Brute Force Activity: RDP Brute Force from 172.29.113.117-18022026-02</t>
  </si>
  <si>
    <t>INC000001318386</t>
  </si>
  <si>
    <t>Al amiri</t>
  </si>
  <si>
    <t>wmalamiri</t>
  </si>
  <si>
    <t>Waleed.Alamiri@RTA.ae</t>
  </si>
  <si>
    <t>INC000001318377</t>
  </si>
  <si>
    <t>Shanilka</t>
  </si>
  <si>
    <t>Jayamanna</t>
  </si>
  <si>
    <t>trapeze_sjjayamanna</t>
  </si>
  <si>
    <t>Trapeze_Shanilka.Jayamanna@rta.ae</t>
  </si>
  <si>
    <t>INC000001318319</t>
  </si>
  <si>
    <t>INC000001318279</t>
  </si>
  <si>
    <t>Elhosieny</t>
  </si>
  <si>
    <t>tms_sgelhosieny</t>
  </si>
  <si>
    <t>Tms_Sahar.Elhosieny@rta.ae</t>
  </si>
  <si>
    <t>INC000001318205</t>
  </si>
  <si>
    <t>INC000001318200</t>
  </si>
  <si>
    <t>Al Hashemi</t>
  </si>
  <si>
    <t>Asset  retag request</t>
  </si>
  <si>
    <t>Physical Verification</t>
  </si>
  <si>
    <t>CMDB update</t>
  </si>
  <si>
    <t>INC000001318191</t>
  </si>
  <si>
    <t>INC000001318190</t>
  </si>
  <si>
    <t>Request for the Generic ID creation</t>
  </si>
  <si>
    <t>MHAlnasser</t>
  </si>
  <si>
    <t>Meera.Alnasser@rta.ae</t>
  </si>
  <si>
    <t>Al Ammari</t>
  </si>
  <si>
    <t>LAAlammari</t>
  </si>
  <si>
    <t>layla.ammari@rta.ae</t>
  </si>
  <si>
    <t>INC000001318129</t>
  </si>
  <si>
    <t>Account activation Request</t>
  </si>
  <si>
    <t>INC000001318106</t>
  </si>
  <si>
    <t>Share folder permission Issue</t>
  </si>
  <si>
    <t>Share Folder Issue</t>
  </si>
  <si>
    <t>Shared Folder Permission issue</t>
  </si>
  <si>
    <t>INC000001318083</t>
  </si>
  <si>
    <t>Khurisat</t>
  </si>
  <si>
    <t>iron_orkhurisat</t>
  </si>
  <si>
    <t>Iron_Omar.Khurisat@rta.ae</t>
  </si>
  <si>
    <t>AlHaatemi</t>
  </si>
  <si>
    <t>amalhatemi</t>
  </si>
  <si>
    <t>Ahmed.Alhatemi@rta.ae</t>
  </si>
  <si>
    <t>INC000001318077</t>
  </si>
  <si>
    <t>INC000001318059</t>
  </si>
  <si>
    <t>Majan</t>
  </si>
  <si>
    <t>unable to map shared folder</t>
  </si>
  <si>
    <t>Unable to map shared folder</t>
  </si>
  <si>
    <t>nmmajan</t>
  </si>
  <si>
    <t>Noora.Majan@rta.ae</t>
  </si>
  <si>
    <t>INC000001318024</t>
  </si>
  <si>
    <t>Maisoun</t>
  </si>
  <si>
    <t>Haddad</t>
  </si>
  <si>
    <t>mmajhaddad</t>
  </si>
  <si>
    <t>Maisoun.Haddad@rta.ae</t>
  </si>
  <si>
    <t>INC000001317991</t>
  </si>
  <si>
    <t>Font issue</t>
  </si>
  <si>
    <t>nmbastaki</t>
  </si>
  <si>
    <t>Nawal.Bastaki@RTA.ae</t>
  </si>
  <si>
    <t>INC000001317975</t>
  </si>
  <si>
    <t>Almalik</t>
  </si>
  <si>
    <t>atalmalik</t>
  </si>
  <si>
    <t>Abdulla.Almalik@rta.ae</t>
  </si>
  <si>
    <t>INC000001317921</t>
  </si>
  <si>
    <t>Yousif Al Qassim</t>
  </si>
  <si>
    <t>CSC Alert - Scan Failure Detected - 17022026-07</t>
  </si>
  <si>
    <t>kyalqassim</t>
  </si>
  <si>
    <t>Khulood.Alqassim@rta.ae</t>
  </si>
  <si>
    <t>INC000001317908</t>
  </si>
  <si>
    <t>New Laptop Request - New joiner</t>
  </si>
  <si>
    <t>INC000001317906</t>
  </si>
  <si>
    <t>INC000001317903</t>
  </si>
  <si>
    <t>INC000001317881</t>
  </si>
  <si>
    <t>INC000001317732</t>
  </si>
  <si>
    <t>[HPWJA] Black Cartridge Supply Threshold HP Color LaserJet M553 HP Only, HP Only\Models\M5</t>
  </si>
  <si>
    <t>INC000001317683</t>
  </si>
  <si>
    <t>Email issue not appearing in search in outlook</t>
  </si>
  <si>
    <t>INC000001317675</t>
  </si>
  <si>
    <t>Unable to schedule or send a Microsoft Teams meeti</t>
  </si>
  <si>
    <t>INC000001317657</t>
  </si>
  <si>
    <t>Tamimi</t>
  </si>
  <si>
    <t>msmaltamimi</t>
  </si>
  <si>
    <t>Mohamad.Altamimi@rta.ae</t>
  </si>
  <si>
    <t>INC000001317638</t>
  </si>
  <si>
    <t>HDMI cable</t>
  </si>
  <si>
    <t>VGA Cables</t>
  </si>
  <si>
    <t>INC000001317637</t>
  </si>
  <si>
    <t>Nian</t>
  </si>
  <si>
    <t>Laptop replacement with Mobile Workstation</t>
  </si>
  <si>
    <t>AHUNian</t>
  </si>
  <si>
    <t>Ali.HNian@rta.ae</t>
  </si>
  <si>
    <t>INC000001317631</t>
  </si>
  <si>
    <t>Laptop Slowness Issue "Disk C Full"</t>
  </si>
  <si>
    <t>INC000001317617</t>
  </si>
  <si>
    <t>Kouta-Contractor</t>
  </si>
  <si>
    <t>experts_mrkouta</t>
  </si>
  <si>
    <t>Experts_Mohamed.Kouta@rta.ae</t>
  </si>
  <si>
    <t>INC000001317608</t>
  </si>
  <si>
    <t>Mudassir</t>
  </si>
  <si>
    <t>Siddiqi-Contractor</t>
  </si>
  <si>
    <t>Transskills_MHSiddiq</t>
  </si>
  <si>
    <t>Transskills_Mudassir.Siddiqi@rta.ae</t>
  </si>
  <si>
    <t>INC000001317601</t>
  </si>
  <si>
    <t>Najeeb</t>
  </si>
  <si>
    <t>abdelhadi</t>
  </si>
  <si>
    <t>DELL Laptop Slowness Issue - RAM upgrade</t>
  </si>
  <si>
    <t>naabdelhadi</t>
  </si>
  <si>
    <t>Najeeb.Abdelhadi@rta.ae</t>
  </si>
  <si>
    <t>INC000001317564</t>
  </si>
  <si>
    <t>myalhammadi</t>
  </si>
  <si>
    <t>maryam.alhammadi@rta.ae</t>
  </si>
  <si>
    <t>INC000001317524</t>
  </si>
  <si>
    <t>Laptop Issue.</t>
  </si>
  <si>
    <t>INC000001317507</t>
  </si>
  <si>
    <t>INC000001317470</t>
  </si>
  <si>
    <t>Archana</t>
  </si>
  <si>
    <t>Karkala</t>
  </si>
  <si>
    <t>Oracle authenticator issue</t>
  </si>
  <si>
    <t>dit_akkarkala</t>
  </si>
  <si>
    <t>Dit_Archana.AKarkala@rta.ae</t>
  </si>
  <si>
    <t>INC000001317452</t>
  </si>
  <si>
    <t>Ansari</t>
  </si>
  <si>
    <t>ffansari</t>
  </si>
  <si>
    <t>Fahad.Ansari@rta.ae</t>
  </si>
  <si>
    <t>INC000001317373</t>
  </si>
  <si>
    <t>Hamdi</t>
  </si>
  <si>
    <t>RAM upgrade request</t>
  </si>
  <si>
    <t>Desktop RAM</t>
  </si>
  <si>
    <t>hnsaleh</t>
  </si>
  <si>
    <t>Hamdi.Saleh@rta.ae</t>
  </si>
  <si>
    <t>Ayoub</t>
  </si>
  <si>
    <t>Alialmazem</t>
  </si>
  <si>
    <t>amalialmazem</t>
  </si>
  <si>
    <t>Ayoub.Alialmazem@rta.ae</t>
  </si>
  <si>
    <t>INC000001317345</t>
  </si>
  <si>
    <t>INC000001317302</t>
  </si>
  <si>
    <t>INC000001317287</t>
  </si>
  <si>
    <t>Mattit Marwan</t>
  </si>
  <si>
    <t>New Laptop Request - New Joiners - Tuesday 17.02.2026</t>
  </si>
  <si>
    <t>mmmattit</t>
  </si>
  <si>
    <t>maher.mattit@rta.ae</t>
  </si>
  <si>
    <t>INC000001317284</t>
  </si>
  <si>
    <t>iPad request</t>
  </si>
  <si>
    <t>INC000001317274</t>
  </si>
  <si>
    <t>Request to configure MS edge in IE mode to use smart traffic</t>
  </si>
  <si>
    <t>INC000001317176</t>
  </si>
  <si>
    <t>Waqar</t>
  </si>
  <si>
    <t>Ayappally</t>
  </si>
  <si>
    <t xml:space="preserve">Remote Desktop connection Not working </t>
  </si>
  <si>
    <t>wyayappally</t>
  </si>
  <si>
    <t>Waqar.Ayappally@rta.ae</t>
  </si>
  <si>
    <t>INC000001317024</t>
  </si>
  <si>
    <t>External Monitor\ Khawaneej Depot</t>
  </si>
  <si>
    <t>MYOMohamad</t>
  </si>
  <si>
    <t>Mona.Mohamad@rta.ae</t>
  </si>
  <si>
    <t>INC000001316920</t>
  </si>
  <si>
    <t>Laptop Battery Issue</t>
  </si>
  <si>
    <t>naalnasser</t>
  </si>
  <si>
    <t>Nasser.Alnasser@rta.ae</t>
  </si>
  <si>
    <t>INC000001316912</t>
  </si>
  <si>
    <t>Khudair</t>
  </si>
  <si>
    <t>Share folder remap request</t>
  </si>
  <si>
    <t>okool_ookhudair</t>
  </si>
  <si>
    <t>Okool_Osama.Khudair@rta.ae</t>
  </si>
  <si>
    <t>INC000001316909</t>
  </si>
  <si>
    <t>INC000001316906</t>
  </si>
  <si>
    <t>[HPWJA] Yellow Cartridge Supply Threshold HP LaserJet 700 color MFP M775 HP Only, HP Only\</t>
  </si>
  <si>
    <t>INC000001316842</t>
  </si>
  <si>
    <t>Aliya</t>
  </si>
  <si>
    <t>Marhoon</t>
  </si>
  <si>
    <t>Ethernet Cable Request</t>
  </si>
  <si>
    <t>AAMarhoon</t>
  </si>
  <si>
    <t>Aliya.Marhoon@rta.ae</t>
  </si>
  <si>
    <t>INC000001316749</t>
  </si>
  <si>
    <t>Alfaouri</t>
  </si>
  <si>
    <t>dongle issue</t>
  </si>
  <si>
    <t>ahalfaouri</t>
  </si>
  <si>
    <t>Abdallah.Alfaouri@rta.ae</t>
  </si>
  <si>
    <t>INC000001316737</t>
  </si>
  <si>
    <t>Aboelkheir</t>
  </si>
  <si>
    <t>RTA Ipad Charging Cable_PTA</t>
  </si>
  <si>
    <t>amaboelkheir</t>
  </si>
  <si>
    <t>Ahmed.Aboelkheir@rta.ae</t>
  </si>
  <si>
    <t>INC000001316669</t>
  </si>
  <si>
    <t>Abd</t>
  </si>
  <si>
    <t>Shukair</t>
  </si>
  <si>
    <t>aashukair</t>
  </si>
  <si>
    <t>Abd.Shukair@rta.ae</t>
  </si>
  <si>
    <t>INC000001316643</t>
  </si>
  <si>
    <t>Mohamoud</t>
  </si>
  <si>
    <t>Network IP address issue</t>
  </si>
  <si>
    <t>MAMohamoud</t>
  </si>
  <si>
    <t>Mahmoud.Mohamoud@rta.ae</t>
  </si>
  <si>
    <t>INC000001316455</t>
  </si>
  <si>
    <t>Avaya Ahmed</t>
  </si>
  <si>
    <t>Low Disk space</t>
  </si>
  <si>
    <t>avaya_aali</t>
  </si>
  <si>
    <t>Avaya_Ahmed.Ali@rta.ae</t>
  </si>
  <si>
    <t>INC000001316153</t>
  </si>
  <si>
    <t>Masri</t>
  </si>
  <si>
    <t>AKMasri</t>
  </si>
  <si>
    <t>Abdullah.Masri@rta.ae</t>
  </si>
  <si>
    <t>INC000001316149</t>
  </si>
  <si>
    <t>Al Safadi</t>
  </si>
  <si>
    <t>AOAlsafadi</t>
  </si>
  <si>
    <t>Ahmed.Alsafadi@rta.ae</t>
  </si>
  <si>
    <t>INC000001316141</t>
  </si>
  <si>
    <t>Labib</t>
  </si>
  <si>
    <t>CSC Alert:VPN user ("EMIRCOM_AMLABIB") access from outside the approved country-13022026-03</t>
  </si>
  <si>
    <t>emircom_amlabib</t>
  </si>
  <si>
    <t>Emircom_Ahmed.Labib@rta.ae</t>
  </si>
  <si>
    <t>INC000001316137</t>
  </si>
  <si>
    <t>Single Risk Event: machine RTA-CAS-BUF-064 infected with ACM.Ps-Reg!g1, action Details pending</t>
  </si>
  <si>
    <t>INC000001316035</t>
  </si>
  <si>
    <t>Safa</t>
  </si>
  <si>
    <t>Laptop request -New Joiner</t>
  </si>
  <si>
    <t>salmohammed</t>
  </si>
  <si>
    <t>Safa.Mohammed@RTA.ae</t>
  </si>
  <si>
    <t>INC000001315955</t>
  </si>
  <si>
    <t>Retag ipad</t>
  </si>
  <si>
    <t>INC000001315948</t>
  </si>
  <si>
    <t>Autocad</t>
  </si>
  <si>
    <t>INC000001315789</t>
  </si>
  <si>
    <t>Imran Waheed</t>
  </si>
  <si>
    <t>iwbutt</t>
  </si>
  <si>
    <t>Imran.Butt@rta.ae</t>
  </si>
  <si>
    <t>INC000001315736</t>
  </si>
  <si>
    <t>Network Folder Merging</t>
  </si>
  <si>
    <t>nahussain</t>
  </si>
  <si>
    <t>Noora.Hussain@rta.ae</t>
  </si>
  <si>
    <t>INC000001315735</t>
  </si>
  <si>
    <t>Asset re-tag</t>
  </si>
  <si>
    <t>INC000001315697</t>
  </si>
  <si>
    <t>Hardware Upgrade - RAM</t>
  </si>
  <si>
    <t>Laptop RAM</t>
  </si>
  <si>
    <t>masulaiman</t>
  </si>
  <si>
    <t>Mohammad.ASulaiman@rta.ae</t>
  </si>
  <si>
    <t>INC000001315685</t>
  </si>
  <si>
    <t>Keyboard issue</t>
  </si>
  <si>
    <t>Keyboard not working</t>
  </si>
  <si>
    <t>INC000001315616</t>
  </si>
  <si>
    <t>Benjamin</t>
  </si>
  <si>
    <t>bahwan_bkkumar</t>
  </si>
  <si>
    <t>Bahwan_Benjamin.Kumar@rta.ae</t>
  </si>
  <si>
    <t>INC000001315574</t>
  </si>
  <si>
    <t>INC000001315518</t>
  </si>
  <si>
    <t>Gholoom</t>
  </si>
  <si>
    <t>LIGholoom</t>
  </si>
  <si>
    <t>Latifa.Gholoom@rta.ae</t>
  </si>
  <si>
    <t>INC000001315479</t>
  </si>
  <si>
    <t>Request to configure License printer</t>
  </si>
  <si>
    <t>INC000001315410</t>
  </si>
  <si>
    <t>Reach Qaid</t>
  </si>
  <si>
    <t>Reach_QASaleh</t>
  </si>
  <si>
    <t>Reach_Qaid.Saleh@rta.ae</t>
  </si>
  <si>
    <t>Arunima</t>
  </si>
  <si>
    <t>Aravind</t>
  </si>
  <si>
    <t>cadd_aaaravind</t>
  </si>
  <si>
    <t>Cadd_Arunima.Aravind@rta.ae</t>
  </si>
  <si>
    <t>INC000001315394</t>
  </si>
  <si>
    <t>INC000001315380</t>
  </si>
  <si>
    <t>sahmalfalasi</t>
  </si>
  <si>
    <t>Shaikha.AAlfalasi@rta.ae</t>
  </si>
  <si>
    <t>INC000001315368</t>
  </si>
  <si>
    <t>Image creation for Notebook ThinkPad X1 2-in-1 Gen 10</t>
  </si>
  <si>
    <t>Image creation / Image modification</t>
  </si>
  <si>
    <t>INC000001315351</t>
  </si>
  <si>
    <t>INC000001315318</t>
  </si>
  <si>
    <t>INC000001315277</t>
  </si>
  <si>
    <t>INC000001315228</t>
  </si>
  <si>
    <t>Abdulaziz Aziz</t>
  </si>
  <si>
    <t>Shafic</t>
  </si>
  <si>
    <t>aashafic</t>
  </si>
  <si>
    <t>abdulaziz.shafic@rta.ae</t>
  </si>
  <si>
    <t>INC000001315185</t>
  </si>
  <si>
    <t>Anil</t>
  </si>
  <si>
    <t>Mohanan</t>
  </si>
  <si>
    <t>trans_anmohanan</t>
  </si>
  <si>
    <t>Trans_Anil.Mohanan@rta.ae</t>
  </si>
  <si>
    <t>INC000001315176</t>
  </si>
  <si>
    <t>RAS Feb 2026 - Device is disconnected</t>
  </si>
  <si>
    <t>cadd_mskhan</t>
  </si>
  <si>
    <t>Cadd_Muhammad.Khan@rta.ae</t>
  </si>
  <si>
    <t>INC000001315169</t>
  </si>
  <si>
    <t>RAS Feb 2026 - Asset is identified disconnected_G+2</t>
  </si>
  <si>
    <t>INC000001315167</t>
  </si>
  <si>
    <t>PC Slowness Issue - RAM upgrade</t>
  </si>
  <si>
    <t>MMOAbbas</t>
  </si>
  <si>
    <t>Marwan.Issa@rta.ae</t>
  </si>
  <si>
    <t>INC000001315155</t>
  </si>
  <si>
    <t>[HPWJA] Magenta Cartridge Supply Threshold HP Color LaserJet MFP E87750 HP Only, HP Only\W</t>
  </si>
  <si>
    <t>INC000001315011</t>
  </si>
  <si>
    <t>Not receiving SMS/OTP</t>
  </si>
  <si>
    <t>INC000001314915</t>
  </si>
  <si>
    <t>[HPWJA] Cyan Supply Threshold HP DesignJet T1700dr PostScript HP Only, HP Only\Localy Conn</t>
  </si>
  <si>
    <t>INC000001314911</t>
  </si>
  <si>
    <t>[HPWJA] Black Cartridge Supply Threshold HP Color LaserJet MFP M577 HP Only, HP Only\Model</t>
  </si>
  <si>
    <t>INC000001314910</t>
  </si>
  <si>
    <t>[HPWJA] Yellow Cartridge Supply Threshold HP Color LaserJet MFP E87750 HP Only, HP Only\Wi</t>
  </si>
  <si>
    <t>INC000001314902</t>
  </si>
  <si>
    <t>AlSaffar</t>
  </si>
  <si>
    <t>MS Visio (RE)</t>
  </si>
  <si>
    <t>ahalsaffar</t>
  </si>
  <si>
    <t>ahmed.alsaffar@rta.ae</t>
  </si>
  <si>
    <t>INC000001314809</t>
  </si>
  <si>
    <t>New Laptop Request_ECC</t>
  </si>
  <si>
    <t>skalhammadi</t>
  </si>
  <si>
    <t>Shaikha.KAlhammadi@rta.ae</t>
  </si>
  <si>
    <t>INC000001314805</t>
  </si>
  <si>
    <t>Temporary Ipad/tablet  request</t>
  </si>
  <si>
    <t>INC000001314788</t>
  </si>
  <si>
    <t>Alrahmani</t>
  </si>
  <si>
    <t>shaalrahmani</t>
  </si>
  <si>
    <t>Shaikha.HAlrahmani@rta.ae</t>
  </si>
  <si>
    <t>INC000001314778</t>
  </si>
  <si>
    <t>naaljaziri</t>
  </si>
  <si>
    <t>Noora.Aljaziri@rta.ae</t>
  </si>
  <si>
    <t>Badran</t>
  </si>
  <si>
    <t>mabadran</t>
  </si>
  <si>
    <t>mohammad.badran@rta.ae</t>
  </si>
  <si>
    <t>INC000001314660</t>
  </si>
  <si>
    <t>Nezar</t>
  </si>
  <si>
    <t>Elmeliegy</t>
  </si>
  <si>
    <t>LinkedIn Access issue</t>
  </si>
  <si>
    <t>nmelmeliegy</t>
  </si>
  <si>
    <t>Nezar.Elmeliegy@rta.ae</t>
  </si>
  <si>
    <t>INC000001314611</t>
  </si>
  <si>
    <t>Restoration of Screen Recording Functionality  is not working</t>
  </si>
  <si>
    <t>System File Missing Error</t>
  </si>
  <si>
    <t>INC000001314605</t>
  </si>
  <si>
    <t>Alexis</t>
  </si>
  <si>
    <t>Biller</t>
  </si>
  <si>
    <t>techm_asbiller</t>
  </si>
  <si>
    <t>Techm_Alexis.Biller@rta.ae</t>
  </si>
  <si>
    <t>INC000001314409</t>
  </si>
  <si>
    <t>Zaid</t>
  </si>
  <si>
    <t>Lafi</t>
  </si>
  <si>
    <t>HDMI cable request_G+2</t>
  </si>
  <si>
    <t>zalafi</t>
  </si>
  <si>
    <t>Zaid.Lafi@rta.ae</t>
  </si>
  <si>
    <t>INC000001314395</t>
  </si>
  <si>
    <t>Asset collection request_Oud Metha Bus Station - Maintenance Office</t>
  </si>
  <si>
    <t>Salah</t>
  </si>
  <si>
    <t>INC000001314225</t>
  </si>
  <si>
    <t>INC000001314203</t>
  </si>
  <si>
    <t>INC000001314134</t>
  </si>
  <si>
    <t>INC000001314125</t>
  </si>
  <si>
    <t>SMOAli</t>
  </si>
  <si>
    <t>Saeed.Ali@rta.ae</t>
  </si>
  <si>
    <t>INC000001314106</t>
  </si>
  <si>
    <t>Laptop Mouse Issue "Repeated Issue" INC000001201897 &amp; INC000001138197</t>
  </si>
  <si>
    <t>Moamen</t>
  </si>
  <si>
    <t>Abdullh</t>
  </si>
  <si>
    <t>mmabdullh</t>
  </si>
  <si>
    <t>Moamen.Abdullh@rta.ae</t>
  </si>
  <si>
    <t>INC000001313971</t>
  </si>
  <si>
    <t>Allayadath</t>
  </si>
  <si>
    <t>Request for 2 temporary laptops</t>
  </si>
  <si>
    <t>191550 \ 191575 \ 12493</t>
  </si>
  <si>
    <t>ikutty</t>
  </si>
  <si>
    <t>Ibrahim.kuttyav@rta.ae</t>
  </si>
  <si>
    <t>INC000001313837</t>
  </si>
  <si>
    <t>Ahmed Amin</t>
  </si>
  <si>
    <t>Mohammed Ahmed  Al Zarooni</t>
  </si>
  <si>
    <t>Wireless Mouse</t>
  </si>
  <si>
    <t>aazarooni</t>
  </si>
  <si>
    <t>ahmed.alzarooni@rta.ae</t>
  </si>
  <si>
    <t>INC000001313720</t>
  </si>
  <si>
    <t>Yaquob</t>
  </si>
  <si>
    <t>Merza</t>
  </si>
  <si>
    <t>CSC Alert - Scan Failure Detected - 08022026-04</t>
  </si>
  <si>
    <t>yemerza</t>
  </si>
  <si>
    <t>Yaquob.Merza@rta.ae</t>
  </si>
  <si>
    <t>INC000001313719</t>
  </si>
  <si>
    <t>Sahar Ahmed</t>
  </si>
  <si>
    <t>Fikry</t>
  </si>
  <si>
    <t>191544 \ 191569</t>
  </si>
  <si>
    <t>safikry</t>
  </si>
  <si>
    <t>sahar.fikry@rta.ae</t>
  </si>
  <si>
    <t>INC000001313460</t>
  </si>
  <si>
    <t>Zari</t>
  </si>
  <si>
    <t>Laptop_Abu Hail Bus station</t>
  </si>
  <si>
    <t>kizari</t>
  </si>
  <si>
    <t>Khalid.Zari@RTA.ae</t>
  </si>
  <si>
    <t>INC000001313451</t>
  </si>
  <si>
    <t>INC000001313362</t>
  </si>
  <si>
    <t>Amro Moustafa</t>
  </si>
  <si>
    <t>??? ?????? ?????? ?????????? ?? ??????</t>
  </si>
  <si>
    <t>asalah</t>
  </si>
  <si>
    <t>amro.salah@rta.ae</t>
  </si>
  <si>
    <t>INC000001313322</t>
  </si>
  <si>
    <t>Asset transfer</t>
  </si>
  <si>
    <t>INC000001313288</t>
  </si>
  <si>
    <t>Asset retag request</t>
  </si>
  <si>
    <t>INC000001313271</t>
  </si>
  <si>
    <t>Windows Hello PIN and Fingerprint option disappear</t>
  </si>
  <si>
    <t>INC000001313249</t>
  </si>
  <si>
    <t>Fadhlani</t>
  </si>
  <si>
    <t>HABFadhlani</t>
  </si>
  <si>
    <t>Hussain.AFadhlani@rta.ae</t>
  </si>
  <si>
    <t>INC000001313237</t>
  </si>
  <si>
    <t>Nishad</t>
  </si>
  <si>
    <t>Muhamed</t>
  </si>
  <si>
    <t>Temporary Laptop request</t>
  </si>
  <si>
    <t>ncmohamed</t>
  </si>
  <si>
    <t>nishad.mohamed@rta.ae</t>
  </si>
  <si>
    <t>INC000001313167</t>
  </si>
  <si>
    <t>INC000001313120</t>
  </si>
  <si>
    <t>INC000001313066</t>
  </si>
  <si>
    <t>Desktop replacement with laptop</t>
  </si>
  <si>
    <t>191566 \ 12519</t>
  </si>
  <si>
    <t>Amyabdulla</t>
  </si>
  <si>
    <t>Abbas.Abdulla@rta.ae</t>
  </si>
  <si>
    <t>INC000001313065</t>
  </si>
  <si>
    <t>Khuwaidam</t>
  </si>
  <si>
    <t>FOLLOW UP - Employee transfer as of Thursday, 23/10/2025</t>
  </si>
  <si>
    <t>TJKhuwaidam</t>
  </si>
  <si>
    <t>Tariq.Khuwaidam@rta.ae</t>
  </si>
  <si>
    <t>INC000001313010</t>
  </si>
  <si>
    <t>Laptop_G+2</t>
  </si>
  <si>
    <t>INC000001313005</t>
  </si>
  <si>
    <t>Yuseff</t>
  </si>
  <si>
    <t>emyuseff</t>
  </si>
  <si>
    <t>Ebrahim.Yuseff@rta.ae</t>
  </si>
  <si>
    <t>INC000001312437</t>
  </si>
  <si>
    <t>Alharthy</t>
  </si>
  <si>
    <t>Outlook configuration - migrated to 365</t>
  </si>
  <si>
    <t>HSAlharthy</t>
  </si>
  <si>
    <t>Hani.Alharthy@rta.ae</t>
  </si>
  <si>
    <t>INC000001312002</t>
  </si>
  <si>
    <t>CSC Alert: VPN user ("MSALTAMIMI") access from outside the approved country - 06022026-03</t>
  </si>
  <si>
    <t>INC000001311997</t>
  </si>
  <si>
    <t>mmabdulrahman</t>
  </si>
  <si>
    <t>Marwan.Abdulrahman@rta.ae</t>
  </si>
  <si>
    <t>INC000001311996</t>
  </si>
  <si>
    <t>Hala</t>
  </si>
  <si>
    <t>Almakt</t>
  </si>
  <si>
    <t>haalmakt</t>
  </si>
  <si>
    <t>Hala.Almakt@rta.ae</t>
  </si>
  <si>
    <t>INC000001311963</t>
  </si>
  <si>
    <t>INC000001311855</t>
  </si>
  <si>
    <t>samalik</t>
  </si>
  <si>
    <t>Sayed.Malik@rta.ae</t>
  </si>
  <si>
    <t>INC000001311854</t>
  </si>
  <si>
    <t>Kutty K. Hydrose Kutty</t>
  </si>
  <si>
    <t>IKKutty</t>
  </si>
  <si>
    <t>Ibrahim.kutty@rta.ae</t>
  </si>
  <si>
    <t>INC000001311759</t>
  </si>
  <si>
    <t>Asset return request for resigned user</t>
  </si>
  <si>
    <t>Resigned user</t>
  </si>
  <si>
    <t>Asset return</t>
  </si>
  <si>
    <t>MEAAlsuwaidi</t>
  </si>
  <si>
    <t>Meera.Alsuwaidi@rta.ae</t>
  </si>
  <si>
    <t>INC000001311687</t>
  </si>
  <si>
    <t>????????</t>
  </si>
  <si>
    <t>AJUAbdulla</t>
  </si>
  <si>
    <t>Amna.JAbdulla@rta.ae</t>
  </si>
  <si>
    <t>INC000001311574</t>
  </si>
  <si>
    <t>Arunkumar</t>
  </si>
  <si>
    <t>Manisekar</t>
  </si>
  <si>
    <t>Data transfer and asset return</t>
  </si>
  <si>
    <t>ammanisekar</t>
  </si>
  <si>
    <t>Arunkumar.Manisekar@rta.ae</t>
  </si>
  <si>
    <t>INC000001311327</t>
  </si>
  <si>
    <t>khalil</t>
  </si>
  <si>
    <t>Aldebsi</t>
  </si>
  <si>
    <t>Resigned user Asset collection</t>
  </si>
  <si>
    <t>kraldebsi</t>
  </si>
  <si>
    <t>khalil.Aldebsi@rta.ae</t>
  </si>
  <si>
    <t>INC000001310938</t>
  </si>
  <si>
    <t>Jarpula</t>
  </si>
  <si>
    <t>bahwan_pjjarpula</t>
  </si>
  <si>
    <t>Bahwan_Prasad.Jarpula@rta.ae</t>
  </si>
  <si>
    <t>INC000001310904</t>
  </si>
  <si>
    <t>Asset collection_PTA</t>
  </si>
  <si>
    <t>INC000001310365</t>
  </si>
  <si>
    <t>PC Login issue</t>
  </si>
  <si>
    <t>AMOAlbloushi</t>
  </si>
  <si>
    <t>Abdallah.Albloushi@rta.ae</t>
  </si>
  <si>
    <t>INC000001310292</t>
  </si>
  <si>
    <t>Basem</t>
  </si>
  <si>
    <t>Torky</t>
  </si>
  <si>
    <t>191502 \ 12506</t>
  </si>
  <si>
    <t>batorky</t>
  </si>
  <si>
    <t>Basem.Torky@rta.ae</t>
  </si>
  <si>
    <t>INC000001310045</t>
  </si>
  <si>
    <t>INC000001310041</t>
  </si>
  <si>
    <t>INC000001309894</t>
  </si>
  <si>
    <t>Raeisi</t>
  </si>
  <si>
    <t>AMRaeisi</t>
  </si>
  <si>
    <t>Abdulrahman.Raeisi@rta.ae</t>
  </si>
  <si>
    <t>INC000001309857</t>
  </si>
  <si>
    <t>INC000001309724</t>
  </si>
  <si>
    <t>Laptop slowness issue</t>
  </si>
  <si>
    <t>INC000001309024</t>
  </si>
  <si>
    <t>Nexthink: Proactive Report _Check battery</t>
  </si>
  <si>
    <t>INC000001307784</t>
  </si>
  <si>
    <t>Isleem</t>
  </si>
  <si>
    <t>okool_zhisleem</t>
  </si>
  <si>
    <t>Okool_Zakarya.Isleem@rta.ae</t>
  </si>
  <si>
    <t>INC000001306905</t>
  </si>
  <si>
    <t>Request to provide 5 laptops for Security Operations Center</t>
  </si>
  <si>
    <t>jhalhashemi</t>
  </si>
  <si>
    <t>Jamal.Alhashemi@rta.ae</t>
  </si>
  <si>
    <t>INC000001306863</t>
  </si>
  <si>
    <t>Diyaaeldin</t>
  </si>
  <si>
    <t>Temporary Laptop replacement</t>
  </si>
  <si>
    <t>191457 \ 12495</t>
  </si>
  <si>
    <t>damohammed</t>
  </si>
  <si>
    <t>Diyaaeldin.Mohammed@rta.ae</t>
  </si>
  <si>
    <t>INC000001305314</t>
  </si>
  <si>
    <t>INC000001305267</t>
  </si>
  <si>
    <t>Hardware Replacement - Monitor</t>
  </si>
  <si>
    <t>191343 \ 12488</t>
  </si>
  <si>
    <t>INC000001304131</t>
  </si>
  <si>
    <t>PC Slowness Issue_G+2</t>
  </si>
  <si>
    <t>INC000001303458</t>
  </si>
  <si>
    <t>Alahmad</t>
  </si>
  <si>
    <t>Laptop replacement_G+2</t>
  </si>
  <si>
    <t>191400 \ 12489</t>
  </si>
  <si>
    <t>srsl_akalahmad</t>
  </si>
  <si>
    <t>Srsl_Ahmad.Alahmad@rta.ae</t>
  </si>
  <si>
    <t>INC000001302276</t>
  </si>
  <si>
    <t>Salma</t>
  </si>
  <si>
    <t>Arabi</t>
  </si>
  <si>
    <t>syarabi</t>
  </si>
  <si>
    <t>Salma.Arabi@rta.ae</t>
  </si>
  <si>
    <t>INC000001301894</t>
  </si>
  <si>
    <t>RAS Jan 2025 - Device is disconnected  RTA-I144835 RTA-I178237</t>
  </si>
  <si>
    <t>INC000001301102</t>
  </si>
  <si>
    <t>Yassin</t>
  </si>
  <si>
    <t>FOLLOW UP - Software Installing Request</t>
  </si>
  <si>
    <t>World_OMYassin</t>
  </si>
  <si>
    <t>World_Omer.Yassin@rta.ae</t>
  </si>
  <si>
    <t>INC000001299304</t>
  </si>
  <si>
    <t>Upgrade to Windows 11 Request</t>
  </si>
  <si>
    <t>Windows 10 upgrade</t>
  </si>
  <si>
    <t>INC000001299234</t>
  </si>
  <si>
    <t>Alsahra Pooli</t>
  </si>
  <si>
    <t>Mohideen Sadam Hussain-contractor</t>
  </si>
  <si>
    <t>191232 \ 12505</t>
  </si>
  <si>
    <t>alsahra_pssadamhussa</t>
  </si>
  <si>
    <t>Alsahra_Poolimohamedmohideen.Sadamhussain@rta.ae</t>
  </si>
  <si>
    <t>INC000001298782</t>
  </si>
  <si>
    <t>Asif</t>
  </si>
  <si>
    <t>Kannu</t>
  </si>
  <si>
    <t>aakannu</t>
  </si>
  <si>
    <t>Asif.Kannu@rta.ae</t>
  </si>
  <si>
    <t>INC000001296323</t>
  </si>
  <si>
    <t>Desktop replacement_Deira Plate Factory - Cutting room</t>
  </si>
  <si>
    <t>191204 \ 12483</t>
  </si>
  <si>
    <t>INC000001295701</t>
  </si>
  <si>
    <t>Almukhayet</t>
  </si>
  <si>
    <t>3 Laptops request</t>
  </si>
  <si>
    <t>aabalmukhayet</t>
  </si>
  <si>
    <t>Abdulrahman.AAlmukhayet@rta.ae</t>
  </si>
  <si>
    <t>INC000001295682</t>
  </si>
  <si>
    <t>Arif</t>
  </si>
  <si>
    <t>Al Shehi</t>
  </si>
  <si>
    <t>unable to access passenger_activities_pta@rta.ae</t>
  </si>
  <si>
    <t>arashehi</t>
  </si>
  <si>
    <t>Arif.Alshehi@rta.ae</t>
  </si>
  <si>
    <t>INC000001294384</t>
  </si>
  <si>
    <t>Unable to update BIOS in the T14 Gen5 AMD laptop</t>
  </si>
  <si>
    <t>BIOS Issue</t>
  </si>
  <si>
    <t>191043 /  191055</t>
  </si>
  <si>
    <t>INC000001293220</t>
  </si>
  <si>
    <t>Avaya Tarek Mohamed</t>
  </si>
  <si>
    <t>Issue post window 11 Migration</t>
  </si>
  <si>
    <t>Avaya_TRAbdallah</t>
  </si>
  <si>
    <t>Avaya_Tarekmohamed.Abdallah@rta.ae</t>
  </si>
  <si>
    <t>INC000001290141</t>
  </si>
  <si>
    <t>Zia Ul Haq</t>
  </si>
  <si>
    <t>Sarwar</t>
  </si>
  <si>
    <t>Broken screen_G+2</t>
  </si>
  <si>
    <t>191534 \ 12504</t>
  </si>
  <si>
    <t>zsarwar</t>
  </si>
  <si>
    <t>Zia.Sarwar@rta.ae</t>
  </si>
  <si>
    <t>INC000001283394</t>
  </si>
  <si>
    <t>Protiviti Prashant</t>
  </si>
  <si>
    <t>Sharma</t>
  </si>
  <si>
    <t>Asset Refreshment Plan -2025_Laptop Dec-Week 2_G+2</t>
  </si>
  <si>
    <t>190754 \ 12465</t>
  </si>
  <si>
    <t>Protiviti_PSSharma</t>
  </si>
  <si>
    <t>Protiviti_Prashant.Sharma@rta.ae</t>
  </si>
  <si>
    <t>INC000001278734</t>
  </si>
  <si>
    <t>190913 \ 12469</t>
  </si>
  <si>
    <t>Resolution</t>
  </si>
  <si>
    <t>Resolution Categorization Tier 3</t>
  </si>
  <si>
    <t>Resolution Categorization Tier 2</t>
  </si>
  <si>
    <t>Resolution Categorization Tier 1</t>
  </si>
  <si>
    <t>Impact*</t>
  </si>
  <si>
    <t>Urgency*</t>
  </si>
  <si>
    <t>2-Significant/Large</t>
  </si>
  <si>
    <t>2-High</t>
  </si>
  <si>
    <t>Smart traffic settings has been configured on ms edge as per the request</t>
  </si>
  <si>
    <t>4-Minor/Localized</t>
  </si>
  <si>
    <t>4-Low</t>
  </si>
  <si>
    <t>Email has been configured on Smart phone</t>
  </si>
  <si>
    <t>eccddcab account has been unlocked</t>
  </si>
  <si>
    <t>3-Moderate/Limited</t>
  </si>
  <si>
    <t>3-Medium</t>
  </si>
  <si>
    <t>The account has been unlocked successfully as requested.</t>
  </si>
  <si>
    <t>Old password has been removed from credential manager</t>
  </si>
  <si>
    <t>User said it works properly. no need support</t>
  </si>
  <si>
    <t>Configured system URL on Microsoft Edge as below steps :  1/  In Edge settings.  2/  Go to default browser.  3/ Then go to Internet Explorer compatibility.  4/  Then add " Smart  Traffic Link" to internet Explorer mode pages.  5/ Enabled internet Explorer mode and chose it allow.  6/  Restart the browser to take effects.</t>
  </si>
  <si>
    <t>we accessed the device and mapped the Generic ID successfully in the user outlook</t>
  </si>
  <si>
    <t>Re -Map Share Folder</t>
  </si>
  <si>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</si>
  <si>
    <t>Unable To Access Specific URL</t>
  </si>
  <si>
    <t>Internet / Intranet Issues</t>
  </si>
  <si>
    <t>shared folder has been successfully mapped</t>
  </si>
  <si>
    <t>Old Password saved in “password vault” of user’s profile has been removed and restart outlook to take effects.</t>
  </si>
  <si>
    <t>Outlook Configuration Issue</t>
  </si>
  <si>
    <t>Device Driver Issue</t>
  </si>
  <si>
    <t>Educate user how to use MS authenticator app to open outlook.</t>
  </si>
  <si>
    <t>MS Office 365 has been activated on the user machine successfully</t>
  </si>
  <si>
    <t>MS Office Professional</t>
  </si>
  <si>
    <t>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t>
  </si>
  <si>
    <t>The Outlook has been configured successfully as requested.</t>
  </si>
  <si>
    <t>We accessed remotely and configured the VPN for the user. Successfully connected.</t>
  </si>
  <si>
    <t>We accessed remotely and guided the user on how to configure the Oracle for Automation system accessing.</t>
  </si>
  <si>
    <t>Guided user with resetting Adobe account password using self-service features Successfully</t>
  </si>
  <si>
    <t>We did manual archive and rasied a ticket for Data Archival team to enable EV access.</t>
  </si>
  <si>
    <t>we disabled the Ivanti VPN as long as the user is connected through RTA Network then the issue got solved.</t>
  </si>
  <si>
    <t>Google Chrome Issue</t>
  </si>
  <si>
    <t>The PST for calendar archiving has been created successfully.</t>
  </si>
  <si>
    <t>VPN has been configured on user machine successfully</t>
  </si>
  <si>
    <t>We accessed remotely and configured the MS Office 365</t>
  </si>
  <si>
    <t>As per the request, SMS with Reset Password self-services URL has been shared with the user.</t>
  </si>
  <si>
    <t>The Outlook has been configured successfully.</t>
  </si>
  <si>
    <t>The account has been unlocked successfully.</t>
  </si>
  <si>
    <t>issue got resolved after resetting the adobe acrobat reader password</t>
  </si>
  <si>
    <t>Old Passwordsaved in “password vault” of user’s profile from  windows credential option</t>
  </si>
  <si>
    <t>Docking Station Issue</t>
  </si>
  <si>
    <t>Request to activate office 365 license in excel app: - Go to file. - Office account. - Sign in. - Enter username@rta.ae - Enter password. - click option to sign in to all MS apps.</t>
  </si>
  <si>
    <t>As per the request, SMS with Unlock Account self-services URL has been shared with the user.</t>
  </si>
  <si>
    <t>As per the request, SMS with Unlock self-services URL has been shared with the user.</t>
  </si>
  <si>
    <t>user was informed that he was already added to the MS office 365 incense group</t>
  </si>
  <si>
    <t>checked with the user User is already having an O365 license assigned</t>
  </si>
  <si>
    <t>MS Office 2013 Professional</t>
  </si>
  <si>
    <t>1-Extensive/Widespread</t>
  </si>
  <si>
    <t>1-Critical</t>
  </si>
  <si>
    <t>Closed as per user confirmation.</t>
  </si>
  <si>
    <t>The account "BSMaintenance" has been unlocked successfully.</t>
  </si>
  <si>
    <t>- C Partition has been freed by 50+ GB, Full scan started.</t>
  </si>
  <si>
    <t>Required registry fix has been applied to the affected PC.  No further action require</t>
  </si>
  <si>
    <t>The account "ec3 itservicedesk" has been unlocked successfully.</t>
  </si>
  <si>
    <t>Antivirus has been updated and VPN connected and working fine .</t>
  </si>
  <si>
    <t>Oracle Authenticator reset and reconfigured .</t>
  </si>
  <si>
    <t>Internet POP UP</t>
  </si>
  <si>
    <t>New VPN Access</t>
  </si>
  <si>
    <t>VPN has been configured and connected successfully</t>
  </si>
  <si>
    <t>Guide user to login RTA email Mona.Alamari@RTA.ae</t>
  </si>
  <si>
    <t>Unlocked generic account (BSMaintenance) has been done</t>
  </si>
  <si>
    <t>Location has been enabled &amp; user is able to punch out</t>
  </si>
  <si>
    <t>Enable EV in outlook add-ins setting</t>
  </si>
  <si>
    <t>Unlocked account has been done. User faced multiply times locked account</t>
  </si>
  <si>
    <t>The issue was resolved after removing the temporary files, running the disk cleanup process, and fixing the OS issue using the command DISM /Online /Cleanup-Image /RestoreHealth.</t>
  </si>
  <si>
    <t>- The laptop is already restarted automatically after the update and it's working fine now.</t>
  </si>
  <si>
    <t>Intranet Issues</t>
  </si>
  <si>
    <t>- Run disk cleanup utility / cleared all temporary files and temporary internet files and cookies. - Check event viewer logs. - C Drive is having free space and functioning well - Deleted Tepm files  - %tepm%</t>
  </si>
  <si>
    <t>- After checking found the issue is with Java. - Reset Java settings, - Cleared the IE / Edge history. - Reinstalled Java. - Reconfigured IE mode. checked and works fine.</t>
  </si>
  <si>
    <t>E-Traffic Issue</t>
  </si>
  <si>
    <t>Configured the user's profile as requested.</t>
  </si>
  <si>
    <t>configured the paper printer as a default printer for the user.</t>
  </si>
  <si>
    <t>Printer Re-Configuration(RE)</t>
  </si>
  <si>
    <t>we set the Adobe Acrobat as a default app and we installed the latest updates for it.</t>
  </si>
  <si>
    <t>The laptop and charger have been tested and are working properly. After connecting the charger to another socket, it functioned without any issues.  The user will open a separate ticket with the Building and Facilities team to repair the faulty electrical socket.</t>
  </si>
  <si>
    <t>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t>
  </si>
  <si>
    <t>From sign in option click in reset password then enter the verification code and create new account password.</t>
  </si>
  <si>
    <t>- Run disk cleanup utility / cleared all temporary files and temporary internet files and cookies. - Check event viewer logs. - Deleted Tepm files  - %tepm% - Run SFC /Scannow  , found corrupt files and successfully repaired them.</t>
  </si>
  <si>
    <t>Reconfigured VPN successfully through LogMeIn</t>
  </si>
  <si>
    <t>Clear cache browser has been done Reset &amp; update browser  GPupdate /force</t>
  </si>
  <si>
    <t>MS Office 365 has been activated on user machine Successfully</t>
  </si>
  <si>
    <t>VPN has been configured and connected.</t>
  </si>
  <si>
    <t>configured vpn for the user successfully</t>
  </si>
  <si>
    <t>The data has been copied through Section Shared folder</t>
  </si>
  <si>
    <t>Copy / Transfer Data</t>
  </si>
  <si>
    <t>account has been successfully unlocked</t>
  </si>
  <si>
    <t>VPN profile was successfully unlocked</t>
  </si>
  <si>
    <t>- Change in Preferences (Acrobat/Desktop Apps):  - Go to Edit &gt; Preferences &gt; Language (or International in some versions) and selected preferred application language.</t>
  </si>
  <si>
    <t>We uninstalled the existing Adobe Acrobat PRO and installed another version and updated it.</t>
  </si>
  <si>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7. Re-install Chrome.</t>
  </si>
  <si>
    <t>Guide the user to login to Automation system with Oracle Authenticator.</t>
  </si>
  <si>
    <t>The VPN has been configured successfully.</t>
  </si>
  <si>
    <t>VPN has been successfully configured</t>
  </si>
  <si>
    <t>The MS Teams add-in has been configured and is now visible in the Outlook app.</t>
  </si>
  <si>
    <t>As per the request, SMS with Reset Password self-services URL has been shared with the user</t>
  </si>
  <si>
    <t>configured the user's profile as requested.</t>
  </si>
  <si>
    <t>User Account has been unlocked</t>
  </si>
  <si>
    <t>User raised a replacement request due to performance issue. Troubleshooted the performance issue with below steps.  - Disabled unnecessary startup items and services  - Ran disk cleanup utility and cleared all temporary files. - Disabled unnecessary tasks in task scheduler. - Disabled Windows apps from running in the background.  - Ran SFC /scannow utility. - Ran DISM utility. - Ran chkdsk utility. - Updated Device Drivers to latest.  checked and confirmed by the user it is working fine.  hence closing the ticket.</t>
  </si>
  <si>
    <t>Password Reset SOP Sent to User by SMS,User Confirm On the same Hence ticket closed</t>
  </si>
  <si>
    <t>Request has been Completed Through Remote Access,User Confirm On the same Hence ticket closed</t>
  </si>
  <si>
    <t>Outlook Reconfiguration</t>
  </si>
  <si>
    <t>Require registry fix has been pushed to the affected device.. no further action require</t>
  </si>
  <si>
    <t>SOP -SMS Sent to User ,User Confirm On the same Hence ticket Closed.</t>
  </si>
  <si>
    <t>Request has been Completed Through Phone,User Confirm On the same Hence ticket Closed.</t>
  </si>
  <si>
    <t>ec3_itservicedesk account has been unlocked</t>
  </si>
  <si>
    <t>Enabled the PC Location Services as requested.</t>
  </si>
  <si>
    <t>The system BIOS has been successfully reset, and following a restart, the system is now operating normally with all driver updates completed. This maintenance ensures that the hardware configurations are aligned and the latest software optimizations are in place to maintain system stability and performance.</t>
  </si>
  <si>
    <t>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t>
  </si>
  <si>
    <t>Smart traffic configuration has been configured in Ms edge</t>
  </si>
  <si>
    <t>- Requested deice (E-Signature) is not part of IT service catalogue hence ITD can’t provide it, - Sent email to inform her with the same.  - Hence closing the ticket.</t>
  </si>
  <si>
    <t>Smart Device</t>
  </si>
  <si>
    <t>Outlook has been successfully configured and activated as requested.</t>
  </si>
  <si>
    <t>The issue was resolved by using a different Python version</t>
  </si>
  <si>
    <t>VPN has been configured successfully.</t>
  </si>
  <si>
    <t>The Outlook has been configured as requested.</t>
  </si>
  <si>
    <t>Java 8 already installed in the machine</t>
  </si>
  <si>
    <t>Java Runtime Environment</t>
  </si>
  <si>
    <t>The software has been installed successfully as requested</t>
  </si>
  <si>
    <t>user confirmed over the phone call that the issue got solved already</t>
  </si>
  <si>
    <t>MS outlook was set to default when opening saved emails</t>
  </si>
  <si>
    <t>Resolved by sign out from MS Teams and sign in again</t>
  </si>
  <si>
    <t>IPad Issue</t>
  </si>
  <si>
    <t>Please note that your system " RTA-PTA-TAM-209" has been moved to USB Block exception Group.</t>
  </si>
  <si>
    <t>USB Access Unblocking</t>
  </si>
  <si>
    <t>USB</t>
  </si>
  <si>
    <t>Guided user with saving the email as a PDF file Successfully</t>
  </si>
  <si>
    <t>Reset Oracle account has been done</t>
  </si>
  <si>
    <t>smart traffic has been successfully configured</t>
  </si>
  <si>
    <t>Please note that your system "rta-cho-sam-067 " has been moved to USB Block exception Group.</t>
  </si>
  <si>
    <t>we did reset for the VPN and configured it successfully</t>
  </si>
  <si>
    <t>We configured the VPN successfully</t>
  </si>
  <si>
    <t>we accessed remotely and did gpupdate /force and cleared the browser data then the issue got solved</t>
  </si>
  <si>
    <t>- The SIM card has been reinserted to the iPad and it's working fine now.</t>
  </si>
  <si>
    <t>Network Card Issue</t>
  </si>
  <si>
    <t>Wireless Network Issues</t>
  </si>
  <si>
    <t>Outlook  has been configured on the user machine successfully</t>
  </si>
  <si>
    <t>Guided the user with resetting her account password using the self-service link</t>
  </si>
  <si>
    <t>1/  In Edge settings.  2/  Go to default browser.  3/ Then go to Internet Explorer compatibility.  4/  Then add " " to internet Explorer mode pages.  5/ Enabled internet Explorer mode and chose it allow.  6/  Restart the browser to take effects.</t>
  </si>
  <si>
    <t>- Cleared unwanted items.  - User doesn't have access to EV.  - Created a local PST file. - Manually archived some emails to a local PST -&gt; user has around 300 MB Free now.  - User will call us back once he get EV access to restore emails.</t>
  </si>
  <si>
    <t>Received confirmation from user over phone that the issue got resolved</t>
  </si>
  <si>
    <t>Deleted browser data and did gpupdate /force</t>
  </si>
  <si>
    <t>User is able to access the share folder</t>
  </si>
  <si>
    <t>we accessed remotely and configured the VPN</t>
  </si>
  <si>
    <t>Guided user to connect to VPN successfully.</t>
  </si>
  <si>
    <t>Reset is done &amp; user will be able to punch in /out from different device</t>
  </si>
  <si>
    <t>this request already duplicated with INC000001320244</t>
  </si>
  <si>
    <t>Laptop Replacement With Laptop</t>
  </si>
  <si>
    <t>Old password has been removed from credential manager    Old ost has been removed issue resolved: -click on view-check on (Hidden Item) -Go to C drive-users-user login ID-app-Microsoft-outlook-remove old ost</t>
  </si>
  <si>
    <t>account was successfully unlocked</t>
  </si>
  <si>
    <t>Guided user to configure Microsoft MFA, configured MS Outlook and MS Teams Successfully.</t>
  </si>
  <si>
    <t>Myrta has bee installed in her mobile and working fine and the location has been activated on her laptop</t>
  </si>
  <si>
    <t>Unfortunately using OneDrive software is not an approved service within RTA as of now, user can request to use secure RTA SFTP as alternative through the automation</t>
  </si>
  <si>
    <t>HDMI Cable is provided to User</t>
  </si>
  <si>
    <t>PUTTY has been installed successfully on user's machine (RTA-CTS-ITD-500)</t>
  </si>
  <si>
    <t>password has been successfully reset</t>
  </si>
  <si>
    <t>Password Reset</t>
  </si>
  <si>
    <t>ticket INC000001318358 was raised for the same request.  hence closing this ticket.</t>
  </si>
  <si>
    <t>The laptop has extended as requested</t>
  </si>
  <si>
    <t>the user is working remotely today  the Network cable has been connected to the socket and it is ready to use</t>
  </si>
  <si>
    <t>Messaging and collaboration</t>
  </si>
  <si>
    <t>Require registry fix has been pushed to the affected device.. No further action require</t>
  </si>
  <si>
    <t>all temp folders and files have been deleted  all temp user folder have been deleted  the user has 44GB as free space now in partition C</t>
  </si>
  <si>
    <t>C Drive is cleaned now 41 GB is free size</t>
  </si>
  <si>
    <t>there was 490 GB in the HD as unlocated space , it is added to the partition C the windows has been upgraded to windows 11 successfully</t>
  </si>
  <si>
    <t>19 GB freed from the user machine in the C drive.</t>
  </si>
  <si>
    <t>Cleaned up the space in C drive and user is having space in C Drive now</t>
  </si>
  <si>
    <t>VPN has been configured as per the request .</t>
  </si>
  <si>
    <t>The Account has been unlocked successfully.</t>
  </si>
  <si>
    <t>Account has been unlocked successfully.</t>
  </si>
  <si>
    <t>The account "CC Information Team" has been unlocked successfully.</t>
  </si>
  <si>
    <t>Outlook has been configured successfully.</t>
  </si>
  <si>
    <t>Email Forwarding</t>
  </si>
  <si>
    <t>Email Forwarding has been revoked as per the 30days approval is completed.</t>
  </si>
  <si>
    <t>SOP - SMS Sent to User ,User Confirm On the same Hence ticket Closed.</t>
  </si>
  <si>
    <t>we accessed remotely and configured the VPN for the user. We guided the user and it had been successfully connected to VPN</t>
  </si>
  <si>
    <t>The Print Screen feature has been configured successfully after modifying the default apps in Settings.</t>
  </si>
  <si>
    <t>The VPN has been configured successfully</t>
  </si>
  <si>
    <t>in excel app: - Go to file. - Office account. - Sign in. - Enter username@rta.ae - Enter password. - click option to sign in to all MS apps.</t>
  </si>
  <si>
    <t>Generic Id BSMaintenance has been unlocked.</t>
  </si>
  <si>
    <t>User account ec3_itservicedesk has been Unlocked</t>
  </si>
  <si>
    <t>- Run disk cleanup utility / cleared all temporary files and temporary internet files and cookies. - Check event viewer logs. - PC Restarted - Deleted Tepm files  - %tepm% - Run SFC /Scannow  no issue has found</t>
  </si>
  <si>
    <t>- C Partition has been freed, and Full scan has been started.</t>
  </si>
  <si>
    <t>Guided user with accessing Outlook app from his PC Successfully</t>
  </si>
  <si>
    <t>According to the email received from the CSC team, no further action is required; the  ticket has been closed</t>
  </si>
  <si>
    <t>After replace the new pc the shortcut of in new desktop not found but all files inside the D drive, deleted the old shortcut and created the new shortcut, now user can access the files from desktop through shortcut.</t>
  </si>
  <si>
    <t>Resolved by disjoining the laptop from the domain and joining again, the user now can login without any issues</t>
  </si>
  <si>
    <t>We cleared browser data and cashes, configured the oracle authenticator then the issue solved.</t>
  </si>
  <si>
    <t>clear creditiality and close reopen outlook add user and password again</t>
  </si>
  <si>
    <t>Outlook Not Responding</t>
  </si>
  <si>
    <t>As per concerned team update, Shared folder access has been granted to the user.  Folder Path: \\rta.global\fileserver001\Share1$\Strategy and Corporate Performance\Internal\Corporate Performance Section\E 2025\RAA Folder Owner: mhalzehmi Folder Access:  User Name	Type Of Access	Duration Of Access	Expiry Date okandi	Read And Write	Temporary	30?/6?/2026 12:00 ?   Please note that the subject ticket will be closed.</t>
  </si>
  <si>
    <t>Network Folder Access</t>
  </si>
  <si>
    <t>Informed user that access has been provided to mthalji</t>
  </si>
  <si>
    <t>As per concerned team update, Share folder access provided temporary as pert the request.   Path : \\rta.global\fileserver001\Share1$\Strategy and Corporate Performance\Internal\Corporate Performance Section\E 2025\PTA User: malmutawa Approver:Ayesha Buti Mubarak Hareb Almutawa  Please note that the subject ticket will be closed.</t>
  </si>
  <si>
    <t>Keyboard Not Working</t>
  </si>
  <si>
    <t>we accessed remotely and configured the VPN on the user device</t>
  </si>
  <si>
    <t>Guided user to scan QR Configured VPN successfully through LogMeIn</t>
  </si>
  <si>
    <t>Unlocked account has been done from selfService</t>
  </si>
  <si>
    <t>Configured VPN successfully through LogMeIn</t>
  </si>
  <si>
    <t>In the signature table was added by mistake &amp; it been removed</t>
  </si>
  <si>
    <t>Issue has been solved redarding PDf</t>
  </si>
  <si>
    <t>user was educated on how to configure Oracle authenticator</t>
  </si>
  <si>
    <t>password was successfully reset</t>
  </si>
  <si>
    <t>User  VPN Account has been unlocked , Please try Reconnect</t>
  </si>
  <si>
    <t>Unlock VPN (fmalzarooni) Request has been Completed ,User Confirm On the same Hence ticket Closed.</t>
  </si>
  <si>
    <t>Oracle Mobile Authenticator Request has been Completed Through Phone,User Confirm On the same Hence ticket Closed.</t>
  </si>
  <si>
    <t>RTA Email in Personal Smart Device</t>
  </si>
  <si>
    <t>The password has been reset successfully and shared privately.</t>
  </si>
  <si>
    <t>The VPN connection has been reconfigured successfully.</t>
  </si>
  <si>
    <t>Reset VPN QR code Request has been Completed ,User Confirm On the same Hence ticket Closed.</t>
  </si>
  <si>
    <t>Issue Resolved Through Remote Access,User Confirm On the same Hence ticket closed  -Cleare cach  -reset browser  -remove temp -remove old password in credentail manager  -gpupdate /force -ipconfig /flushdns</t>
  </si>
  <si>
    <t>VPN has been connected and working fine</t>
  </si>
  <si>
    <t>Required registry fix has been pushed to the affected devices.. No further action require</t>
  </si>
  <si>
    <t>VPN account have been configured and connected.</t>
  </si>
  <si>
    <t>Share folder has been remapped  \\rta.global\fileserver001\Share5$\CTSS\TSG\</t>
  </si>
  <si>
    <t>AV Symantec has been updated using live update option.</t>
  </si>
  <si>
    <t>Based on user response. We will continue to monitor the system and report if any such alerts are received again. Hence ticket closed</t>
  </si>
  <si>
    <t>According to the received confirmation from the relevant team, and the user response ticket has been closed</t>
  </si>
  <si>
    <t>According to the user respond and confirmation received over email from the relevant team the ticket is closed</t>
  </si>
  <si>
    <t>- Repaired MS Office Online  - User has confirmed the solution; hence, ticket closed</t>
  </si>
  <si>
    <t>Assisted user with unlocking his account using self-service link successfully</t>
  </si>
  <si>
    <t>Delete unwanted software's from control panel / empty recycle bin / disable windows search indexing   disable browser plug in / run registry cleaner   Remove old user's profiles from C drive   Shrink space from D drive and added to C drive   restart the machine</t>
  </si>
  <si>
    <t>to be Closed as Duplicate with INC000001317730</t>
  </si>
  <si>
    <t>- Full scan completed and 0 file infected.</t>
  </si>
  <si>
    <t>Gray Ink Cartridge has been replaced</t>
  </si>
  <si>
    <t>Duplicate Ticket INC000001318998</t>
  </si>
  <si>
    <t>Reset password has been done from SelfService</t>
  </si>
  <si>
    <t>Power Bi Desktop has been updated</t>
  </si>
  <si>
    <t>Email from SMD -Unfortunately, OneDrive is not approved service within RTA as of now</t>
  </si>
  <si>
    <t>Unlock account has been done.  Account is getting locked from email service</t>
  </si>
  <si>
    <t>We did the configuration successfully and it is successfully connected.</t>
  </si>
  <si>
    <t>Cleaned the temp files, disk cleanup, and clear the cache files and restarted the device and working normal.</t>
  </si>
  <si>
    <t>The request has been completed after copying the data from the old profile to the new one. The user was guided to raise an email restoration request to retrieve all emails from the old account to the new account.</t>
  </si>
  <si>
    <t>User is unable to reset password via self-service, password has been reset and shared privately</t>
  </si>
  <si>
    <t>we guided the user on how to reset the Adobe Acrobat Pro password and then the issue got solved.</t>
  </si>
  <si>
    <t>Reset has been done so user will be able to punch from the new device</t>
  </si>
  <si>
    <t>update the licene and sign in again</t>
  </si>
  <si>
    <t>we have reviewed the details with the IT Asset team. current laptop is 3 years and 8 months old. As per the ITD policy, devices are eligible for replacement after 5 years of use. the current laptop has been fixed by changing the battery and repaired the screen edge</t>
  </si>
  <si>
    <t>Helping user throw phone to change lock to  (on) from back side   Restart the scanner , tested by user working fine</t>
  </si>
  <si>
    <t>N/W Scanner Issues</t>
  </si>
  <si>
    <t>Scanner</t>
  </si>
  <si>
    <t>The request has been completed after modifying the registry key.</t>
  </si>
  <si>
    <t>request will be closed as it's duplicated with ticket No. INC000001314439</t>
  </si>
  <si>
    <t>Asset Collection</t>
  </si>
  <si>
    <t>We did reset for the Oracle authenticator and successfully the Automation got opened after that</t>
  </si>
  <si>
    <t>Ivanti has been uninstalled   New Ivanti has been installed and the issue solved</t>
  </si>
  <si>
    <t>The request has been completed by setting Microsoft Outlook as the default app for .msg files and Adobe Reader as the default app for .pdf files.</t>
  </si>
  <si>
    <t>New cable handed to user in operation</t>
  </si>
  <si>
    <t>user will check for future meetings and if same is happening he will revert back</t>
  </si>
  <si>
    <t>Browser has been configured successfully.</t>
  </si>
  <si>
    <t>taskmanager - app history - adobe end task - cmd gpupdate /force</t>
  </si>
  <si>
    <t>Resolved by reset the network setting, restart the system. And now it's connected to RTAWLAN</t>
  </si>
  <si>
    <t>as per user email, the username has been activated. So, you can close the ticket.  Thanks for your cooperation…</t>
  </si>
  <si>
    <t>Request For Generic ID Creation</t>
  </si>
  <si>
    <t>Unable To Send / Receive Mails</t>
  </si>
  <si>
    <t>guided user to reset password through link in sms</t>
  </si>
  <si>
    <t>We regret to inform you that based on the update from ITD, your request for iPad has not been approved as you are not eligible for a iPad as per the ITD Smart Devices Request Guidelines, CEOs, Executive Directors, Department Directors, Deputy Directors, Acting directors, CEO Office Managers and QHSE Office Managers are eligible for receiving tablet device.</t>
  </si>
  <si>
    <t>The user's laptop is configured for screen duplication.</t>
  </si>
  <si>
    <t>laptop drivers have been updated and mouse is working fine</t>
  </si>
  <si>
    <t>Reapplied the permission by Server team &amp; user is able to receive email</t>
  </si>
  <si>
    <t>AV Defenition has been updated successfully.</t>
  </si>
  <si>
    <t>the Laptop age is 4Y,9M  an Email has been sent to the user to reopen a new Ticket after 3 months</t>
  </si>
  <si>
    <t>User AD account has been unlocked</t>
  </si>
  <si>
    <t>VPN account has been configured and connected.</t>
  </si>
  <si>
    <t>We have pushed the required registry fix to the affected device.. No further action required</t>
  </si>
  <si>
    <t>According to the confirmation received over email from the relevant team hence closing the ticket</t>
  </si>
  <si>
    <t>- 180+GB has been freed from the C partition, and Full scan started.</t>
  </si>
  <si>
    <t>Received email confirmation from user that VPN access has been confirmed; hence, ticket closed</t>
  </si>
  <si>
    <t>Other</t>
  </si>
  <si>
    <t>Based on user confirmation, the relevant team over email, the ticket has been closed</t>
  </si>
  <si>
    <t>VPN access has been provided, user was informed, no assistance is required hence closing the ticket.</t>
  </si>
  <si>
    <t>Three reminder calls were made to the user with no response. As per the process, the ticket will be closed.  Should you need any assistance in the meantime please call us on the following number Tel: +971(4) 290-5858-Option 4 We assure you of our best attention at all times</t>
  </si>
  <si>
    <t>Informed the user, That should to contact with admin team for telephone line request Admin Support Center asc@rta.ae    Please note that the subject ticket will be canceled.</t>
  </si>
  <si>
    <t>3 reminders have been sent to the user with no response; as per process, the ticket will be closed.</t>
  </si>
  <si>
    <t>Based on update from ITD, We regret to inform you that your request can not be processed, Please note that as per RTA policy terms and conditions your request for external monitor request is not approved .</t>
  </si>
  <si>
    <t>IPAD retagged process has been done</t>
  </si>
  <si>
    <t>Laptop has been provided to the user. CMDB updated</t>
  </si>
  <si>
    <t>Laptop Request</t>
  </si>
  <si>
    <t>New Joiner Request</t>
  </si>
  <si>
    <t>Unfortunately SMD has not approved the request with below comment "We recommend using a named individual account for BMC in line with the standard naming convention, ensuring a single person is accountable. Since the sheet identifies only one primary owner the account intended shall never be generic, the user should instead be assigned a named access account with the appropriate scope."</t>
  </si>
  <si>
    <t>User has only R/W access and not modify access to edit any files</t>
  </si>
  <si>
    <t>Shared Folder Permission Issue</t>
  </si>
  <si>
    <t>This is an duplicate request already received same request for this same user #INC000001318077, working on this ticket.</t>
  </si>
  <si>
    <t>The Scanner returned to store and CMDB updated.</t>
  </si>
  <si>
    <t>Mapped shared folder for the user \\rta.global\fileserver001\RTA\TRA\Road Dept\Prequalification_Road Facilities- Electro-Mechanical</t>
  </si>
  <si>
    <t>Unable To Access Shared Folder</t>
  </si>
  <si>
    <t>User is getting locked out from Exchange Server (outlook)</t>
  </si>
  <si>
    <t>Received confirmation from user over email that the issue got resolved</t>
  </si>
  <si>
    <t>Inform user to login with atalmalik@rta.ae</t>
  </si>
  <si>
    <t>User turned of the laptop before the scan got completed. User is having space in C Drive now. WHile tried to run full scan already one active scan is running in background.</t>
  </si>
  <si>
    <t>Required registry fix has been pushed to the affected device.. No further action require</t>
  </si>
  <si>
    <t>Phishrod reporter plug-in  has been installed on the user's machine</t>
  </si>
  <si>
    <t>User confirmed the issue had been solved.</t>
  </si>
  <si>
    <t>The Microsoft account has been successfully reset. MS Authenticator was installed on the mobile device and synchronized via QR code. Furthermore, Outlook has been properly configured and tested on the mobile app. Verified that all services are synchronized and working as expected.</t>
  </si>
  <si>
    <t>Power cable and HDMI cable has been provided to the user</t>
  </si>
  <si>
    <t>Informed user that that request for mobile workstation is non-standard hardware which is not available on our IT Service catalogue. Please send an official memo to ITD through Tarasul system to proceed further.</t>
  </si>
  <si>
    <t>Laptop Replacement With Work Station</t>
  </si>
  <si>
    <t>PC slowness issue  KBA00013671  New Laptop Replacement Request are opened INC000001318675</t>
  </si>
  <si>
    <t>Fully scanned the endpoint with AV and deleted the quarantined items. Cleared the cache and Temp files. Ran full system virus scan and no risks were found.</t>
  </si>
  <si>
    <t>RAM has been upgraded and working fine</t>
  </si>
  <si>
    <t>RAM</t>
  </si>
  <si>
    <t>A confirmation email has been attached for the asset collection as the user is currently working on a laptop, which serves as her primary system, eliminating the need to maintain an extra desktop. The separate request for the asset collection has been documented under ticket INC000001321073; therefore, all necessary actions have been completed and this ticket is now resolved.</t>
  </si>
  <si>
    <t>New ticket # INC000001320382 is raised for laptop replacementNew ticket # INC000001320382 is raised for laptop replacement</t>
  </si>
  <si>
    <t>Please note that there is a Ticket # INC000001321538  is raised for desktop replacement. New desktop will be released based on the same. hence closing this ticket.</t>
  </si>
  <si>
    <t>alternate solution to open MKV files, you can use a media plyer</t>
  </si>
  <si>
    <t>Laptop RAM upgraded to 16gb as requested.</t>
  </si>
  <si>
    <t>Required registry fix has been pushed to the affected device.. No further action required</t>
  </si>
  <si>
    <t>New laptop has been configured and handed to the user</t>
  </si>
  <si>
    <t>Network Port Issue</t>
  </si>
  <si>
    <t>Based on update from ITD, We regret to inform you that your request can not be processed,  Please note that as per RTA policy terms and conditions your request for external monitor request is not approved.</t>
  </si>
  <si>
    <t>Laptop battery has been replaced with new one by AMC team</t>
  </si>
  <si>
    <t>The shared folders have been mapped successfully.</t>
  </si>
  <si>
    <t>user will raise new request to be sent to his manager directly</t>
  </si>
  <si>
    <t>Ethernet Cable has been provided to User</t>
  </si>
  <si>
    <t>Replaced the docking station and is working</t>
  </si>
  <si>
    <t>Ipad Charging Cable was provided to user.</t>
  </si>
  <si>
    <t>Informed user that request for monitor has been exceptionally approved by ITD. However budget transfer is required.  Budget required for 24 inch monitor : AED 950/-  Account name: ATS IT Equipment – Monitor Account Number: 21604 Budget Transfer should be from CAPEX to CAPEX Estimated delivery lead time - 3-4 weeks Please mention the ticket number in budget transfer system.  Note: We will close the ticket and once the budget is transferred we will reopen the ticket.</t>
  </si>
  <si>
    <t>Called user he confirmed LAN is working fine   Used Related K-base as near one to issue</t>
  </si>
  <si>
    <t>LAN Issue</t>
  </si>
  <si>
    <t>The new 2 TB SSD has been upgraded and data cloning was completed.</t>
  </si>
  <si>
    <t>HDD</t>
  </si>
  <si>
    <t>Assets has been returned to store</t>
  </si>
  <si>
    <t>Asset Return</t>
  </si>
  <si>
    <t>the assets has been returned to store</t>
  </si>
  <si>
    <t>Closed as per CSC confirmation.</t>
  </si>
  <si>
    <t>Full scan by Symantec has been completed today. No virus found</t>
  </si>
  <si>
    <t>Retagged the ipad as requested.</t>
  </si>
  <si>
    <t>Autodesk AutoCAD 2026 has been installed to user laptop</t>
  </si>
  <si>
    <t>AutoCAD</t>
  </si>
  <si>
    <t>The C Drive now has free space and the machine is working fine</t>
  </si>
  <si>
    <t>This desktop was already replaced with Asset refreshment plan with new desktop #INC000001312457, the old desktop will sent to store.</t>
  </si>
  <si>
    <t>- Drivers updated, and old data transferred from C Partition to D Partition</t>
  </si>
  <si>
    <t>GP updated. RTA-Devices with CPU issues due to multitasking, No further action is required</t>
  </si>
  <si>
    <t>Cleaned up system cache files, updated the drivers, run sfc /scannow and rebooted the system. It's working properly</t>
  </si>
  <si>
    <t>assested the user with the configuration after he is migrated to office 365 account</t>
  </si>
  <si>
    <t>User confirmed after login MicroStation is working fine</t>
  </si>
  <si>
    <t>Microstation</t>
  </si>
  <si>
    <t>3 Reminders has been sent to user with no response, as per process ticket will be closed.</t>
  </si>
  <si>
    <t>Network Folder Creation</t>
  </si>
  <si>
    <t>retagged the laptop usership to the new user as requested.</t>
  </si>
  <si>
    <t>Laptop Memory has been upgraded to 16GB</t>
  </si>
  <si>
    <t>Laptop returned to user , backup unit collected by amc team to 4a</t>
  </si>
  <si>
    <t>3 reminders without respond, will proceed with ticket closure</t>
  </si>
  <si>
    <t>Install</t>
  </si>
  <si>
    <t>Software</t>
  </si>
  <si>
    <t>Issue resolved, machine was reimaged with a fresh OS. Data was copied and the profile was set for the user.</t>
  </si>
  <si>
    <t>user is not responding to phone calls and emails 3 reminder emails were sent to user without response, hence ticket will be closed</t>
  </si>
  <si>
    <t>New Printer Configuration</t>
  </si>
  <si>
    <t>RTA standard image is created for Lenovo ThinkPad X1 2-in-1 Gen 10 laptop.</t>
  </si>
  <si>
    <t>Image Creation / Image Modification</t>
  </si>
  <si>
    <t>Adobe Acrobat Professional has been installed on the user machine</t>
  </si>
  <si>
    <t>EDMS has been installed on the user machine</t>
  </si>
  <si>
    <t>Adobe Acrobat Adobe Acrobat Professional has been installed and activated on the user laptop</t>
  </si>
  <si>
    <t>Disconnected asset was collected and returned as requested.</t>
  </si>
  <si>
    <t>The memory of the user's laptop has been upgraded to 16 GB</t>
  </si>
  <si>
    <t>Replaced magenta toner of the printer.</t>
  </si>
  <si>
    <t>No respond after 3 reminders, will proceed with ticket closure</t>
  </si>
  <si>
    <t>Toner has been replaced successfully</t>
  </si>
  <si>
    <t>Toner / Cartridge Leakage</t>
  </si>
  <si>
    <t>Replaced Black toner for the printer</t>
  </si>
  <si>
    <t>Replaced Yellow toner of the printer.</t>
  </si>
  <si>
    <t>MS Visio</t>
  </si>
  <si>
    <t>Deployed the new laptop for the user as requested.</t>
  </si>
  <si>
    <t>Provided the temporary iPads as requetsed</t>
  </si>
  <si>
    <t>Their is no responds from the user after send three reminders. hence to closing the ticket as per process.</t>
  </si>
  <si>
    <t>User does not respond to phone calls or emails.  3 reminder emails were sent to user without response, hence ticket will be closed as per the process</t>
  </si>
  <si>
    <t>IntelliJ IDE has been installed as requested</t>
  </si>
  <si>
    <t>provided the HDMI cable,  checked and works.</t>
  </si>
  <si>
    <t>All approved RMF report keyboards and mouses have been successfully collected and returned to the IT store, and the inventory has been updated accordingly; therefore, hence resolving the ticket.</t>
  </si>
  <si>
    <t>Wired keyboard has been provided to the user</t>
  </si>
  <si>
    <t>Adobe Acrobat Professional installed to user laptop</t>
  </si>
  <si>
    <t>Request # INC000001318648 has been submitted to replace the laptop</t>
  </si>
  <si>
    <t>2 laptops used for 2 days and sent back to store</t>
  </si>
  <si>
    <t>As per the confirmation email received from the IT Store Team, the system RTA-PTA-TAM-053 has been officially collected according to the RMF for Request ID: INC000000885651.  Since the equipment is now in the custody of the IT Store and the verification process is complete, we are resolving this ticket.</t>
  </si>
  <si>
    <t>- GIVEN the Laptop LENOVO THINKPAD X13 2 IN 1 G5  - Installed the RTA Image of Windows 11 Enterprise  - Installed Lenovo System Updates  - Downloaded and installed critical BIOS update  - Configured Microsoft Outlook   - Downloaded and installed Microsoft teams  - IT Assets database have been updated</t>
  </si>
  <si>
    <t>The laptop has been fully configured and successfully deployed to the user, with the user profile created and all necessary applications properly set up to ensure the system is working fine. All software environment settings have been verified for compatibility, and the device is now operational and ready for the user's daily tasks without any further issues. CMDB updated as well, hence resolving the ticket.</t>
  </si>
  <si>
    <t>User doesn't respond to phone calls or emails.   3 reminder emails were sent to user without response, hence ticket will be closed as per the process</t>
  </si>
  <si>
    <t>iPad has been provided to the new user. CMDB updated</t>
  </si>
  <si>
    <t>The asset has been successfully transferred to the appropriate users, and the remaining asset belonging to the user will be returned to the warehouse based on ticket number INC000001314441</t>
  </si>
  <si>
    <t>Asset Re-Tag</t>
  </si>
  <si>
    <t>Resolved by removing the account from MS Authenticator App and reconfigure the fingerprint without adding pin or adding the authenticator account</t>
  </si>
  <si>
    <t>Temporary Laptop has been provided to user</t>
  </si>
  <si>
    <t>Adobe Acrobat Professional installed to user Laptop</t>
  </si>
  <si>
    <t>3 Reminders has been sent to user with no response, as per process ticket will be closed. Should you need any assistance in the meantime please call us on the following number Tel: +971(4) 290-5858-Option 4 We assure you of our best attention at all times</t>
  </si>
  <si>
    <t>the Desktop has been replaced with a New Laptop successfully</t>
  </si>
  <si>
    <t>Desktop Replacement With Laptop</t>
  </si>
  <si>
    <t>CMDB updated. CMDB updated. CMDB updated.</t>
  </si>
  <si>
    <t>Deployed the laptop for the new joiner as requested.</t>
  </si>
  <si>
    <t>Power PI desktop installed to user</t>
  </si>
  <si>
    <t>User has confirmed MS Authenticator app account has been configured and user able to connect to outlook.</t>
  </si>
  <si>
    <t>CSC confirmed to close the ticket</t>
  </si>
  <si>
    <t>AutoCad 2026 has been installed to user workstation</t>
  </si>
  <si>
    <t>AutoCAD 2026 has been installed to user workstation</t>
  </si>
  <si>
    <t>The data transferred to the new laptop and the old laptop returned to store</t>
  </si>
  <si>
    <t>Laptop returned to the store. Monitor re-tagged to another user. CMDB updated</t>
  </si>
  <si>
    <t>Asset returned partially, CMDB updated.</t>
  </si>
  <si>
    <t>There is no respond from user after sent three remainder  hence closing the ticket</t>
  </si>
  <si>
    <t>Temporary laptop has been provided to the user, confogured user profile</t>
  </si>
  <si>
    <t>As per last update from security team ,user department should raise new RISK in GRC system to install the software and same already SMD looped concerned engineer from SMD to advise.  (As per the provided response, Security risk assessment has to be conducted inclduing the requested point treatment plan.)  Currently ,we are closing the ticket, once RISK will be raised, please let us know the new RISK No# to raise new ticket for the request .</t>
  </si>
  <si>
    <t>Laptop battery has been replaced successfully</t>
  </si>
  <si>
    <t>Dear IT Support,   I can see that the user's MFA is not set. Please guide the user to configure the authenticator.  Please follow the below steps after connecting the laptop to an open network like Mobile Hotspot or Home WiFi to configure the MFA.   	1. Launch Chrome and paste the following link in the address bar:           https://ettisal.rta.ae/vpn  	2. Enter your username and password. 	3. A QR code will be displayed on the screen. 	4. Open the Oracle Authenticator app on your mobile device. 	5. Tap the + icon         6. Scan the QR code, enter the 6-digit code, and click Sign In. (Ignore the error message that gets displayed after the Sign In)</t>
  </si>
  <si>
    <t>the 5 Laptops have been handed over to Abdelwaheed Gafar</t>
  </si>
  <si>
    <t>a new related  follow-up ticket will be logged on the approved collection/ revised expiry date.</t>
  </si>
  <si>
    <t>Follow-up/Extension</t>
  </si>
  <si>
    <t>Asset returned to the store. CMDB updated</t>
  </si>
  <si>
    <t>The monitor has been replaced successfully, and it is now functioning properly.</t>
  </si>
  <si>
    <t>Monitor Replacement With Monitor</t>
  </si>
  <si>
    <t>Replaced the laptop for the user as requested.</t>
  </si>
  <si>
    <t>User infomred that the issue has been resolved and can close the request</t>
  </si>
  <si>
    <t>Request for Restore Emails/Files/Folders</t>
  </si>
  <si>
    <t>Backup Restoration</t>
  </si>
  <si>
    <t>Both users informed that they use the monitors. No need to return to the store</t>
  </si>
  <si>
    <t>this Ticket will be close ,as a new related follow-up ticket will be logged on the approved collection/ revised expiry date.</t>
  </si>
  <si>
    <t>Thank you for the update, i will go ahead and close the incident as per user confirmation.</t>
  </si>
  <si>
    <t>Windows 10 Upgrade</t>
  </si>
  <si>
    <t>Laptop has been provided to the user. Desktop returned to the store. CMDB updated</t>
  </si>
  <si>
    <t>We regret to inform you that currently SMD approved to install the software on server machine only not client laptop  Hence closing the ticket</t>
  </si>
  <si>
    <t>The system has been successfully replaced with a new desktop, and all data migration from the previous unit is complete. The CMDB has been updated to reflect the new hardware details, and the old system has been collected and returned to the IT store; therefore, this ticket is now resolved.</t>
  </si>
  <si>
    <t>Desktop Replacement With Desktop</t>
  </si>
  <si>
    <t>Three Lenovo Thinkpad T14 Gen1 has been provided to the consultants   The consultants are as follows:  •	Neil Richard Morris-Contractor Arup_Neil.Morris@rta.ae •	Rakesh Arvind Patel-Contractor Arup_Rakesh.Patel@rta.ae •	Benoit Maurice Lery-Contractor Arup_Benoit.Lery@rta.ae</t>
  </si>
  <si>
    <t>- Access to passenger_activities_pta@rta.ae has been granted. - Below 2 shared mailboxes has been removed successfully.: CTA Team, Licensing Emergency Team</t>
  </si>
  <si>
    <t>Mailbox Issue - Server Level</t>
  </si>
  <si>
    <t>Latest Jan 2026 month patch has been pushed to the affected device and we are observing the status..</t>
  </si>
  <si>
    <t>Broken screen returned to store, CMDB UPDATED for the returned asset. New Monitor provided as it was recommended by AMC team. CMDB UPDATED.</t>
  </si>
  <si>
    <t>Monitor Not Working</t>
  </si>
  <si>
    <t>- Due to user workload, he is not able to provide the laptop for replacement,  - Agreed to close the ticket, and once he finish the current projects he will raise a repalcement request.  - Coorcdianted with concerned teamthe new laptop was collected and returned to store.</t>
  </si>
  <si>
    <t>Organization</t>
  </si>
  <si>
    <t>Corporate ID</t>
  </si>
  <si>
    <t>Reported Source</t>
  </si>
  <si>
    <t>Email</t>
  </si>
  <si>
    <t>USER TO CONFIRM</t>
  </si>
  <si>
    <t>Direct Input</t>
  </si>
  <si>
    <t>Automated Resolution Reported</t>
  </si>
  <si>
    <t>No Further Action Required</t>
  </si>
  <si>
    <t>Phone</t>
  </si>
  <si>
    <t>Web</t>
  </si>
  <si>
    <t>V0031997</t>
  </si>
  <si>
    <t>V006613</t>
  </si>
  <si>
    <t>Customer Follow-Up Required</t>
  </si>
  <si>
    <t>Asset Collection from Stores</t>
  </si>
  <si>
    <t>Self Service</t>
  </si>
  <si>
    <t>V0029932</t>
  </si>
  <si>
    <t>V0025440</t>
  </si>
  <si>
    <t>Local Site Action Required</t>
  </si>
  <si>
    <t>V0032781</t>
  </si>
  <si>
    <t>Client Action Required</t>
  </si>
  <si>
    <t>Please note that your system " rta-cho-ceo-080 " has been moved to USB Block exception Group.</t>
  </si>
  <si>
    <t>The issue was resolved after the user changed the password, as it had expired.</t>
  </si>
  <si>
    <t>V0026352</t>
  </si>
  <si>
    <t>V001626</t>
  </si>
  <si>
    <t>V0033310</t>
  </si>
  <si>
    <t>V006357</t>
  </si>
  <si>
    <t>Please note that the generic ID password has been reset and shared with you over SMS</t>
  </si>
  <si>
    <t>V0030588</t>
  </si>
  <si>
    <t>V004724</t>
  </si>
  <si>
    <t>Support Contact Hold</t>
  </si>
  <si>
    <t>Pending for Software Approval</t>
  </si>
  <si>
    <t>Guide user to add "from" from outlook option</t>
  </si>
  <si>
    <t>V0030409</t>
  </si>
  <si>
    <t>Pending for Team Lead Approval</t>
  </si>
  <si>
    <t>Pending for ITD Approval</t>
  </si>
  <si>
    <t>The laptop charger was keeps ON while disconnect also its on after reset the laptop the charger was connected.</t>
  </si>
  <si>
    <t>Informed the user that As per policy, Headphone is not part of ITD service catalog. Hence ITD does not provide the same.  Please note that the subject ticket will be closed.</t>
  </si>
  <si>
    <t>V0024178</t>
  </si>
  <si>
    <t>V001296</t>
  </si>
  <si>
    <t>V0034733</t>
  </si>
  <si>
    <t>V0033895</t>
  </si>
  <si>
    <t>V0034741</t>
  </si>
  <si>
    <t>V0026362</t>
  </si>
  <si>
    <t>V0031695</t>
  </si>
  <si>
    <t>V0017130</t>
  </si>
  <si>
    <t>V0027433</t>
  </si>
  <si>
    <t>V0031255</t>
  </si>
  <si>
    <t>V0034477</t>
  </si>
  <si>
    <t>Pending for Stocks/Spares</t>
  </si>
  <si>
    <t>V0010984</t>
  </si>
  <si>
    <t>V0034622</t>
  </si>
  <si>
    <t>V0034185</t>
  </si>
  <si>
    <t>V0034087</t>
  </si>
  <si>
    <t>V0013246</t>
  </si>
  <si>
    <t>V0031111</t>
  </si>
  <si>
    <t>V0025357</t>
  </si>
  <si>
    <t>V0030591</t>
  </si>
  <si>
    <t>V0025284</t>
  </si>
  <si>
    <t>V0024624</t>
  </si>
  <si>
    <t>V0030770</t>
  </si>
  <si>
    <t>V0031559</t>
  </si>
  <si>
    <t>V0033801</t>
  </si>
  <si>
    <t>V0025214</t>
  </si>
  <si>
    <t>V0025011</t>
  </si>
  <si>
    <t>V0031936</t>
  </si>
  <si>
    <t>V0030410</t>
  </si>
  <si>
    <t>V0031254</t>
  </si>
  <si>
    <t>V0011783</t>
  </si>
  <si>
    <t>V0010799</t>
  </si>
  <si>
    <t>Client Hold</t>
  </si>
  <si>
    <t>V0032366</t>
  </si>
  <si>
    <t>V0033351</t>
  </si>
  <si>
    <t>The requester was informed to contact the department security champion</t>
  </si>
  <si>
    <t>V00431</t>
  </si>
  <si>
    <t>V0026077</t>
  </si>
  <si>
    <t>V0032861</t>
  </si>
  <si>
    <t>V0030110</t>
  </si>
  <si>
    <t>V0027508</t>
  </si>
  <si>
    <t>V0025288</t>
  </si>
  <si>
    <t>V0010923</t>
  </si>
  <si>
    <t>V0033216</t>
  </si>
  <si>
    <t>Checked and found USB C-1port loose connection and laptop not charging; identified a problem with the motherboard and replaced the motherboard by AMC team.</t>
  </si>
  <si>
    <t>V009535</t>
  </si>
  <si>
    <t>V009668</t>
  </si>
  <si>
    <t>V0034751</t>
  </si>
  <si>
    <t>user has been informed that access has been provided</t>
  </si>
  <si>
    <t>V0033128</t>
  </si>
  <si>
    <t>V009534</t>
  </si>
  <si>
    <t>V004709</t>
  </si>
  <si>
    <t>V0033215</t>
  </si>
  <si>
    <t>V003711</t>
  </si>
  <si>
    <t>V0033800</t>
  </si>
  <si>
    <t>V0027400</t>
  </si>
  <si>
    <t>V0034233</t>
  </si>
  <si>
    <t>V0024655</t>
  </si>
  <si>
    <t>V0034606</t>
  </si>
  <si>
    <t>V0034623</t>
  </si>
  <si>
    <t>V0034659</t>
  </si>
  <si>
    <t>V0031246</t>
  </si>
  <si>
    <t>V0033924</t>
  </si>
  <si>
    <t>V0025199</t>
  </si>
  <si>
    <t>V0025190</t>
  </si>
  <si>
    <t>V0012494</t>
  </si>
  <si>
    <t>V0011067</t>
  </si>
  <si>
    <t>V0046</t>
  </si>
  <si>
    <t>V0031560</t>
  </si>
  <si>
    <t>V002243</t>
  </si>
  <si>
    <t>V004501</t>
  </si>
  <si>
    <t>V0033920</t>
  </si>
  <si>
    <t>V0033324</t>
  </si>
  <si>
    <t>V0025410</t>
  </si>
  <si>
    <t>V0032627</t>
  </si>
  <si>
    <t>V0025192</t>
  </si>
  <si>
    <t>V0030814</t>
  </si>
  <si>
    <t>V0025947</t>
  </si>
  <si>
    <t>we accessed remotely and configured the VPN. "Successfully Connected"</t>
  </si>
  <si>
    <t>V002118</t>
  </si>
  <si>
    <t>V0033785</t>
  </si>
  <si>
    <t>V0010337</t>
  </si>
  <si>
    <t>V0029747</t>
  </si>
  <si>
    <t>V00969</t>
  </si>
  <si>
    <t>V0025191</t>
  </si>
  <si>
    <t>V0034676</t>
  </si>
  <si>
    <t>I called the user and informed him to contact his department coordinator or supervisor to update the mobile number from their side, as the request requires section manager approval. The user does not have a valid email account, and he acknowledged the information and 2 reminders call to check but he doesn't answer.</t>
  </si>
  <si>
    <t>V006271</t>
  </si>
  <si>
    <t>V0028040</t>
  </si>
  <si>
    <t>V0030741</t>
  </si>
  <si>
    <t>V0033776</t>
  </si>
  <si>
    <t>V003332</t>
  </si>
  <si>
    <t>Visual studio 2017  has been installed successfully  CMDB updated</t>
  </si>
  <si>
    <t>V0033126</t>
  </si>
  <si>
    <t>ARC GIS Issue</t>
  </si>
  <si>
    <t>V0029921</t>
  </si>
  <si>
    <t>V004239</t>
  </si>
  <si>
    <t>V0033799</t>
  </si>
  <si>
    <t>V0032080</t>
  </si>
  <si>
    <t>V006650</t>
  </si>
  <si>
    <t>V0032492</t>
  </si>
  <si>
    <t>Request For New Email Account</t>
  </si>
  <si>
    <t>V0012834</t>
  </si>
  <si>
    <t>V0025973</t>
  </si>
  <si>
    <t>V0025237</t>
  </si>
  <si>
    <t>V0026105</t>
  </si>
  <si>
    <t>Corporate Administrative Support Services</t>
  </si>
  <si>
    <t>Strategy &amp; Corporate Governance</t>
  </si>
  <si>
    <t>Licensing Agency</t>
  </si>
  <si>
    <t>Corporate Technology Support Services</t>
  </si>
  <si>
    <t>Public Transport Agency</t>
  </si>
  <si>
    <t>Rail Agency</t>
  </si>
  <si>
    <t>Traffic and Roads Agency</t>
  </si>
  <si>
    <t>Executive Affairs</t>
  </si>
  <si>
    <t>Agency</t>
  </si>
  <si>
    <t>Vendor Group+</t>
  </si>
  <si>
    <t>Customer Site</t>
  </si>
  <si>
    <t>Approve/Reject Based On</t>
  </si>
  <si>
    <t>Individual Transfers</t>
  </si>
  <si>
    <t>Dubai</t>
  </si>
  <si>
    <t>Muhaisnah - OCC ROOM</t>
  </si>
  <si>
    <t>DEIRA -GOLD SOUQ BUS STATION</t>
  </si>
  <si>
    <t>UMM RAMOOL NEW HQ 6A</t>
  </si>
  <si>
    <t>Dubai  -</t>
  </si>
  <si>
    <t>UMM RAMOOL - G+2 BUILDING</t>
  </si>
  <si>
    <t>UMM RAMOOL NEW HQ 2C</t>
  </si>
  <si>
    <t>UMM RAMOOL NEW HQ 4C -RAIL AGENCY</t>
  </si>
  <si>
    <t>UMM RAMOOL</t>
  </si>
  <si>
    <t>UMM RAMOOL NEW HQ 5C</t>
  </si>
  <si>
    <t>MUHAISNAH -MAIN BUILDING</t>
  </si>
  <si>
    <t>UMM RAMOOL - NEW HQ</t>
  </si>
  <si>
    <t>UMM RAMOOL NEW HQ 9C</t>
  </si>
  <si>
    <t>UMM RAMOOL -CUSTOMER SERVICE CENTER BLDG</t>
  </si>
  <si>
    <t>UMM RAMOOL NEW HQ 3C</t>
  </si>
  <si>
    <t>UMM RAMOOL NEW HQ 10C</t>
  </si>
  <si>
    <t>UMM RAMOOL NEW HQ 7C</t>
  </si>
  <si>
    <t>,NEW HQ UMM RAMOOL</t>
  </si>
  <si>
    <t>UMM RAMOOL -OLD STORE</t>
  </si>
  <si>
    <t>UMM RAMOOL NEW HQ 1A</t>
  </si>
  <si>
    <t>UMM RAMOOL NEW HQ 5C -LICENSING CEO OFFICE  and  LICENSING Q</t>
  </si>
  <si>
    <t>Licensing</t>
  </si>
  <si>
    <t>AL AWEER DEPOT</t>
  </si>
  <si>
    <t>DEIRA -ITS DEIRA</t>
  </si>
  <si>
    <t>UMM RAMOOL NEW HQ 8C</t>
  </si>
  <si>
    <t>Deira (Licensing ) Customer Service Center</t>
  </si>
  <si>
    <t>UMM RAMOOL NEW HQ 2A</t>
  </si>
  <si>
    <t>UMM RAMOOL NEW HQ 9A</t>
  </si>
  <si>
    <t>RTA HQ Main BUilding, Second floor</t>
  </si>
  <si>
    <t>Licensing Department - Deira</t>
  </si>
  <si>
    <t>UMM RAMOOL NEW HQ 6C</t>
  </si>
  <si>
    <t>Public transport agency</t>
  </si>
  <si>
    <t>UMM RAMOOL -BLOCK A</t>
  </si>
  <si>
    <t>UMM RAMOOL NEW HQ 5A -ITD AND UAFC</t>
  </si>
  <si>
    <t>MUHAISNAH -PTP BUILDING</t>
  </si>
  <si>
    <t>AL MANARA Customer Service Center</t>
  </si>
  <si>
    <t>AL BARSHA -LICENSING</t>
  </si>
  <si>
    <t>Dubai Driving Liecens institute</t>
  </si>
  <si>
    <t>UMM RAMOOL NEW HQ 2C - MARKETING AND CORPORATE COMMUNICATION</t>
  </si>
  <si>
    <t>UMM RAMOOL NEW HQ 7B</t>
  </si>
  <si>
    <t>UMM RAMOOL -MAIN BUILDING</t>
  </si>
  <si>
    <t>UMM RAMOOL NEW HQ 3B</t>
  </si>
  <si>
    <t>Dubai Police Licensing</t>
  </si>
  <si>
    <t>UMM RAMOOL -BLOCK B</t>
  </si>
  <si>
    <t>UMM RAMOOL NEW HQ 5A</t>
  </si>
  <si>
    <t>UMM RAMOOL NEW HQ 4C</t>
  </si>
  <si>
    <t>AL KHAWNEEJ BUS DEPOT</t>
  </si>
  <si>
    <t>DEIRA -BUS STATION</t>
  </si>
  <si>
    <t>UMM RAMOOL - HQ block C</t>
  </si>
  <si>
    <t>JEBEL ALI -DUBAI INDUSTRIAL CITY</t>
  </si>
  <si>
    <t>NEW HQ 2C</t>
  </si>
  <si>
    <t>UMM RAMOOL  HQ 2A</t>
  </si>
  <si>
    <t>UMM RAMOOL NEW HQ 1A - METRO ARBITRATION TEAM</t>
  </si>
  <si>
    <t>SABKHA -BUS STATION</t>
  </si>
  <si>
    <t>RAS AL KHAIMAH SALIK</t>
  </si>
  <si>
    <t>UMM RAMOOL NEW HQ 2B</t>
  </si>
  <si>
    <t>Al Aweer Depot</t>
  </si>
  <si>
    <t>UMM RAMOOL -  HQ</t>
  </si>
  <si>
    <t>V0033937</t>
  </si>
  <si>
    <t>V0033212</t>
  </si>
  <si>
    <t>V0011368</t>
  </si>
  <si>
    <t>UMM RAMOOL NEW HQ 7A -CONTRACT AND PURCHASING</t>
  </si>
  <si>
    <t>V0034760</t>
  </si>
  <si>
    <t>AL RUWAYYA -AL RUWAYYA BUS DEPOT</t>
  </si>
  <si>
    <t>V0031598</t>
  </si>
  <si>
    <t>V001060</t>
  </si>
  <si>
    <t>V0010982</t>
  </si>
  <si>
    <t>HQ Block A 5th Floor</t>
  </si>
  <si>
    <t>V0024979</t>
  </si>
  <si>
    <t>MUHAISNAH -DUBAI TAXI OLD BUILDING</t>
  </si>
  <si>
    <t>V0032670</t>
  </si>
  <si>
    <t>Business Justifications</t>
  </si>
  <si>
    <t>V0066</t>
  </si>
  <si>
    <t>V0030680</t>
  </si>
  <si>
    <t>Dubai ITS Centre - Al Barsha</t>
  </si>
  <si>
    <t>V0031450</t>
  </si>
  <si>
    <t>V002966</t>
  </si>
  <si>
    <t>V0013060</t>
  </si>
  <si>
    <t>UMM RAMOOL -PMS BLOCK</t>
  </si>
  <si>
    <t>V0032710</t>
  </si>
  <si>
    <t>V0012792</t>
  </si>
  <si>
    <t>V0032718</t>
  </si>
  <si>
    <t>RTA Higher Managment Approval</t>
  </si>
  <si>
    <t>New HQ-Block A Ground Floor</t>
  </si>
  <si>
    <t>Medical Condition / Medical report</t>
  </si>
  <si>
    <t>V0033130</t>
  </si>
  <si>
    <t>ITSD Section Manager Approval</t>
  </si>
  <si>
    <t>V0032677</t>
  </si>
  <si>
    <t>Memo/Budget</t>
  </si>
  <si>
    <t>V0025194</t>
  </si>
  <si>
    <t>V004983</t>
  </si>
  <si>
    <t>V0012908</t>
  </si>
  <si>
    <t>V002669</t>
  </si>
  <si>
    <t>V006372</t>
  </si>
  <si>
    <t>Excecutive Affairs</t>
  </si>
  <si>
    <t>Count of Incident ID*+</t>
  </si>
  <si>
    <t>Row Labels</t>
  </si>
  <si>
    <t>Grand Total</t>
  </si>
  <si>
    <t>SD Closed Ticket</t>
  </si>
  <si>
    <t>SD Opened Ticket</t>
  </si>
  <si>
    <t>Onsite Closed Ticket</t>
  </si>
  <si>
    <t>Onsite Open Ticket</t>
  </si>
  <si>
    <t xml:space="preserve">Open Ticket </t>
  </si>
  <si>
    <t>Closed Ticket</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</si>
</sst>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9"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chart>
    <c:title>
      <c:tx>
        <c:rich>
          <a:bodyPr rot="0" vert="horz"/>
          <a:lstStyle/>
          <a:p>
            <a:pPr>
              <a:defRPr b="1"/>
            </a:pPr>
            <a:r>
              <a:rPr lang="en-US" sz="1200" b="1" i="0" u="none" strike="noStrike" kern="1200" baseline="0" dirty="0">
                <a:solidFill>
                  <a:prstClr val="black"/>
                </a:solidFill>
              </a:rPr>
              <a:t>Chart Title</a:t>
            </a:r>
          </a:p>
        </c:rich>
      </c:tx>
      <c:layout>
        <c:manualLayout>
          <c:xMode val="edge"/>
          <c:yMode val="edge"/>
          <c:x val="0.29599309693959169"/>
          <c:y val="5.4644808743169397E-2"/>
        </c:manualLayout>
      </c:layout>
      <c:overlay val="0"/>
      <c:spPr>
        <a:noFill/>
        <a:ln>
          <a:noFill/>
        </a:ln>
        <a:effectLst/>
      </c:spPr>
    </c:title>
    <c:autoTitleDeleted val="0"/>
    <c:plotArea>
      <c:layout>
        <c:manualLayout>
          <c:layoutTarget val="inner"/>
          <c:xMode val="edge"/>
          <c:yMode val="edge"/>
          <c:x val="0.13260929824787593"/>
          <c:y val="8.7553478983034908E-2"/>
          <c:w val="0.86739070175212407"/>
          <c:h val="0.48948313617995165"/>
        </c:manualLayout>
      </c:layout>
      <c:barChart>
        <c:barDir val="col"/>
        <c:grouping val="clustered"/>
        <c:varyColors val="0"/>
        <c:ser>
          <c:idx val="0"/>
          <c:order val="0"/>
          <c:tx>
            <c:strRef>
              <c:f>'pivot open'!$F$2</c:f>
              <c:strCache>
                <c:ptCount val="1"/>
                <c:pt idx="0">
                  <c:v>Open Ticket </c:v>
                </c:pt>
              </c:strCache>
            </c:strRef>
          </c:tx>
          <c:spPr>
            <a:solidFill>
              <a:srgbClr val="171C8F"/>
            </a:solidFill>
            <a:ln>
              <a:noFill/>
            </a:ln>
            <a:effectLst/>
            <a:scene3d>
              <a:camera prst="orthographicFront"/>
              <a:lightRig rig="threePt" dir="t"/>
            </a:scene3d>
            <a:sp3d>
              <a:bevelT/>
            </a:sp3d>
          </c:spPr>
          <c:invertIfNegative val="0"/>
          <c:dLbls>
            <c:spPr>
              <a:noFill/>
              <a:ln>
                <a:noFill/>
              </a:ln>
              <a:effectLst/>
            </c:spPr>
            <c:txPr>
              <a:bodyPr rot="0" vert="horz"/>
              <a:lstStyle/>
              <a:p>
                <a:pPr>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open'!$E$3:$E$11</c:f>
              <c:strCache>
                <c:ptCount val="9"/>
                <c:pt idx="0">
                  <c:v>Corporate Administrative Support Services</c:v>
                </c:pt>
                <c:pt idx="1">
                  <c:v>Public Transport Agency</c:v>
                </c:pt>
                <c:pt idx="2">
                  <c:v>Traffic and Roads Agency</c:v>
                </c:pt>
                <c:pt idx="3">
                  <c:v>Corporate Technology Support Services</c:v>
                </c:pt>
                <c:pt idx="4">
                  <c:v>Strategy &amp; Corporate Governance</c:v>
                </c:pt>
                <c:pt idx="5">
                  <c:v>Licensing Agency</c:v>
                </c:pt>
                <c:pt idx="6">
                  <c:v>Rail Agency</c:v>
                </c:pt>
                <c:pt idx="7">
                  <c:v>Excecutive Affairs</c:v>
                </c:pt>
                <c:pt idx="8">
                  <c:v>Parkin</c:v>
                </c:pt>
              </c:strCache>
            </c:strRef>
          </c:cat>
          <c:val>
            <c:numRef>
              <c:f>'pivot open'!$F$3:$F$11</c:f>
              <c:numCache>
                <c:formatCode>General</c:formatCode>
                <c:ptCount val="9"/>
                <c:pt idx="0">
                  <c:v>112</c:v>
                </c:pt>
                <c:pt idx="1">
                  <c:v>82</c:v>
                </c:pt>
                <c:pt idx="2">
                  <c:v>75</c:v>
                </c:pt>
                <c:pt idx="3">
                  <c:v>67</c:v>
                </c:pt>
                <c:pt idx="4">
                  <c:v>55</c:v>
                </c:pt>
                <c:pt idx="5">
                  <c:v>45</c:v>
                </c:pt>
                <c:pt idx="6">
                  <c:v>19</c:v>
                </c:pt>
                <c:pt idx="7">
                  <c:v>17</c:v>
                </c:pt>
                <c:pt idx="8">
                  <c:v>7</c:v>
                </c:pt>
              </c:numCache>
            </c:numRef>
          </c:val>
          <c:extLst xmlns:c16r2="http://schemas.microsoft.com/office/drawing/2015/06/chart">
            <c:ext xmlns:c16="http://schemas.microsoft.com/office/drawing/2014/chart" uri="{C3380CC4-5D6E-409C-BE32-E72D297353CC}">
              <c16:uniqueId val="{00000003-1AE9-4C25-9763-B2A1FB867C44}"/>
            </c:ext>
          </c:extLst>
        </c:ser>
        <c:ser>
          <c:idx val="1"/>
          <c:order val="1"/>
          <c:tx>
            <c:strRef>
              <c:f>'pivot open'!$G$2</c:f>
              <c:strCache>
                <c:ptCount val="1"/>
                <c:pt idx="0">
                  <c:v>Closed Ticket</c:v>
                </c:pt>
              </c:strCache>
            </c:strRef>
          </c:tx>
          <c:spPr>
            <a:gradFill>
              <a:gsLst>
                <a:gs pos="0">
                  <a:srgbClr val="5C6988"/>
                </a:gs>
                <a:gs pos="74000">
                  <a:srgbClr val="5B9BD5">
                    <a:lumMod val="45000"/>
                    <a:lumOff val="55000"/>
                  </a:srgbClr>
                </a:gs>
                <a:gs pos="83000">
                  <a:srgbClr val="5B9BD5">
                    <a:lumMod val="45000"/>
                    <a:lumOff val="55000"/>
                  </a:srgbClr>
                </a:gs>
                <a:gs pos="100000">
                  <a:srgbClr val="5B9BD5">
                    <a:lumMod val="30000"/>
                    <a:lumOff val="70000"/>
                  </a:srgbClr>
                </a:gs>
              </a:gsLst>
              <a:lin ang="5400000" scaled="1"/>
            </a:gradFill>
            <a:ln>
              <a:noFill/>
            </a:ln>
            <a:effectLst/>
            <a:scene3d>
              <a:camera prst="orthographicFront"/>
              <a:lightRig rig="threePt" dir="t"/>
            </a:scene3d>
            <a:sp3d>
              <a:bevelT/>
            </a:sp3d>
          </c:spPr>
          <c:invertIfNegative val="0"/>
          <c:dLbls>
            <c:spPr>
              <a:noFill/>
              <a:ln>
                <a:noFill/>
              </a:ln>
              <a:effectLst/>
            </c:spPr>
            <c:txPr>
              <a:bodyPr rot="0" vert="horz"/>
              <a:lstStyle/>
              <a:p>
                <a:pPr>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open'!$E$3:$E$11</c:f>
              <c:strCache>
                <c:ptCount val="9"/>
                <c:pt idx="0">
                  <c:v>Corporate Administrative Support Services</c:v>
                </c:pt>
                <c:pt idx="1">
                  <c:v>Public Transport Agency</c:v>
                </c:pt>
                <c:pt idx="2">
                  <c:v>Traffic and Roads Agency</c:v>
                </c:pt>
                <c:pt idx="3">
                  <c:v>Corporate Technology Support Services</c:v>
                </c:pt>
                <c:pt idx="4">
                  <c:v>Strategy &amp; Corporate Governance</c:v>
                </c:pt>
                <c:pt idx="5">
                  <c:v>Licensing Agency</c:v>
                </c:pt>
                <c:pt idx="6">
                  <c:v>Rail Agency</c:v>
                </c:pt>
                <c:pt idx="7">
                  <c:v>Excecutive Affairs</c:v>
                </c:pt>
                <c:pt idx="8">
                  <c:v>Parkin</c:v>
                </c:pt>
              </c:strCache>
            </c:strRef>
          </c:cat>
          <c:val>
            <c:numRef>
              <c:f>'pivot open'!$G$3:$G$11</c:f>
              <c:numCache>
                <c:formatCode>General</c:formatCode>
                <c:ptCount val="9"/>
                <c:pt idx="0">
                  <c:v>123</c:v>
                </c:pt>
                <c:pt idx="1">
                  <c:v>88</c:v>
                </c:pt>
                <c:pt idx="2">
                  <c:v>79</c:v>
                </c:pt>
                <c:pt idx="3">
                  <c:v>79</c:v>
                </c:pt>
                <c:pt idx="4">
                  <c:v>57</c:v>
                </c:pt>
                <c:pt idx="5">
                  <c:v>48</c:v>
                </c:pt>
                <c:pt idx="6">
                  <c:v>25</c:v>
                </c:pt>
                <c:pt idx="7">
                  <c:v>22</c:v>
                </c:pt>
                <c:pt idx="8">
                  <c:v>7</c:v>
                </c:pt>
              </c:numCache>
            </c:numRef>
          </c:val>
          <c:extLst xmlns:c16r2="http://schemas.microsoft.com/office/drawing/2015/06/chart">
            <c:ext xmlns:c16="http://schemas.microsoft.com/office/drawing/2014/chart" uri="{C3380CC4-5D6E-409C-BE32-E72D297353CC}">
              <c16:uniqueId val="{00000005-1AE9-4C25-9763-B2A1FB867C44}"/>
            </c:ext>
          </c:extLst>
        </c:ser>
        <c:dLbls>
          <c:showLegendKey val="0"/>
          <c:showVal val="0"/>
          <c:showCatName val="0"/>
          <c:showSerName val="0"/>
          <c:showPercent val="0"/>
          <c:showBubbleSize val="0"/>
        </c:dLbls>
        <c:gapWidth val="219"/>
        <c:overlap val="-27"/>
        <c:axId val="274806912"/>
        <c:axId val="273571736"/>
      </c:barChart>
      <c:catAx>
        <c:axId val="2748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73571736"/>
        <c:crosses val="autoZero"/>
        <c:auto val="1"/>
        <c:lblAlgn val="ctr"/>
        <c:lblOffset val="100"/>
        <c:noMultiLvlLbl val="0"/>
      </c:catAx>
      <c:valAx>
        <c:axId val="273571736"/>
        <c:scaling>
          <c:orientation val="minMax"/>
        </c:scaling>
        <c:delete val="0"/>
        <c:axPos val="l"/>
        <c:numFmt formatCode="General" sourceLinked="1"/>
        <c:majorTickMark val="out"/>
        <c:minorTickMark val="none"/>
        <c:tickLblPos val="nextTo"/>
        <c:spPr>
          <a:noFill/>
          <a:ln>
            <a:noFill/>
          </a:ln>
          <a:effectLst/>
        </c:spPr>
        <c:txPr>
          <a:bodyPr rot="-60000000" vert="horz"/>
          <a:lstStyle/>
          <a:p>
            <a:pPr>
              <a:defRPr/>
            </a:pPr>
            <a:endParaRPr lang="en-US"/>
          </a:p>
        </c:txPr>
        <c:crossAx val="274806912"/>
        <c:crosses val="autoZero"/>
        <c:crossBetween val="between"/>
      </c:valAx>
    </c:plotArea>
    <c:legend>
      <c:legendPos val="b"/>
      <c:overlay val="0"/>
      <c:spPr>
        <a:noFill/>
        <a:ln>
          <a:noFill/>
        </a:ln>
        <a:effectLst/>
      </c:spPr>
      <c:txPr>
        <a:bodyPr rot="0" vert="horz"/>
        <a:lstStyle/>
        <a:p>
          <a:pPr>
            <a:defRPr/>
          </a:pPr>
          <a:endParaRPr lang="en-US"/>
        </a:p>
      </c:txPr>
    </c:legend>
    <c:plotVisOnly val="1"/>
    <c:dispBlanksAs val="gap"/>
    <c:showDLblsOverMax val="0"/>
    <c:extLst xmlns:c16r2="http://schemas.microsoft.com/office/drawing/2015/06/chart"/>
  </c:chart>
  <c:spPr>
    <a:noFill/>
    <a:ln w="9525" cap="flat" cmpd="sng" algn="ctr">
      <a:solidFill>
        <a:sysClr val="window" lastClr="FFFFFF">
          <a:lumMod val="50000"/>
        </a:sys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closed by SD vs Onsite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spPr>
            <a:scene3d>
              <a:camera prst="orthographicFront"/>
              <a:lightRig rig="threePt" dir="t"/>
            </a:scene3d>
            <a:sp3d>
              <a:bevelT/>
            </a:sp3d>
          </c:spPr>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a:sp3d>
            </c:spPr>
            <c:extLst xmlns:c16r2="http://schemas.microsoft.com/office/drawing/2015/06/chart">
              <c:ext xmlns:c16="http://schemas.microsoft.com/office/drawing/2014/chart" uri="{C3380CC4-5D6E-409C-BE32-E72D297353CC}">
                <c16:uniqueId val="{00000001-C553-41B6-B6C2-1288F2FE73D4}"/>
              </c:ext>
            </c:extLst>
          </c:dPt>
          <c:dPt>
            <c:idx val="1"/>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a:sp3d>
            </c:spPr>
            <c:extLst xmlns:c16r2="http://schemas.microsoft.com/office/drawing/2015/06/chart">
              <c:ext xmlns:c16="http://schemas.microsoft.com/office/drawing/2014/chart" uri="{C3380CC4-5D6E-409C-BE32-E72D297353CC}">
                <c16:uniqueId val="{00000003-C553-41B6-B6C2-1288F2FE73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6r2="http://schemas.microsoft.com/office/drawing/2015/06/chart">
              <c:ext xmlns:c15="http://schemas.microsoft.com/office/drawing/2012/chart" uri="{CE6537A1-D6FC-4f65-9D91-7224C49458BB}"/>
            </c:extLst>
          </c:dLbls>
          <c:cat>
            <c:strRef>
              <c:f>Consolidated!$I$2:$I$3</c:f>
              <c:strCache>
                <c:ptCount val="2"/>
                <c:pt idx="0">
                  <c:v>SD Closed Ticket</c:v>
                </c:pt>
                <c:pt idx="1">
                  <c:v>Onsite Closed Ticket</c:v>
                </c:pt>
              </c:strCache>
            </c:strRef>
          </c:cat>
          <c:val>
            <c:numRef>
              <c:f>Consolidated!$J$2:$J$3</c:f>
              <c:numCache>
                <c:formatCode>General</c:formatCode>
                <c:ptCount val="2"/>
                <c:pt idx="0">
                  <c:v>349</c:v>
                </c:pt>
                <c:pt idx="1">
                  <c:v>179</c:v>
                </c:pt>
              </c:numCache>
            </c:numRef>
          </c:val>
          <c:extLst xmlns:c16r2="http://schemas.microsoft.com/office/drawing/2015/06/chart">
            <c:ext xmlns:c16="http://schemas.microsoft.com/office/drawing/2014/chart" uri="{C3380CC4-5D6E-409C-BE32-E72D297353CC}">
              <c16:uniqueId val="{00000004-C553-41B6-B6C2-1288F2FE73D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SD from 19th to 25th Feb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a:scene3d>
              <a:camera prst="orthographicFront"/>
              <a:lightRig rig="threePt" dir="t"/>
            </a:scene3d>
            <a:sp3d>
              <a:bevelT/>
            </a:sp3d>
          </c:spPr>
          <c:invertIfNegative val="0"/>
          <c:dPt>
            <c:idx val="0"/>
            <c:invertIfNegative val="0"/>
            <c:bubble3D val="0"/>
            <c:spPr>
              <a:solidFill>
                <a:srgbClr val="0070C0"/>
              </a:solidFill>
              <a:ln>
                <a:noFill/>
              </a:ln>
              <a:effectLst/>
              <a:scene3d>
                <a:camera prst="orthographicFront"/>
                <a:lightRig rig="threePt" dir="t"/>
              </a:scene3d>
              <a:sp3d>
                <a:bevelT/>
              </a:sp3d>
            </c:spPr>
            <c:extLst xmlns:c16r2="http://schemas.microsoft.com/office/drawing/2015/06/chart">
              <c:ext xmlns:c16="http://schemas.microsoft.com/office/drawing/2014/chart" uri="{C3380CC4-5D6E-409C-BE32-E72D297353CC}">
                <c16:uniqueId val="{00000001-3892-4FE6-8530-F465FB926076}"/>
              </c:ext>
            </c:extLst>
          </c:dPt>
          <c:dPt>
            <c:idx val="1"/>
            <c:invertIfNegative val="0"/>
            <c:bubble3D val="0"/>
            <c:spPr>
              <a:solidFill>
                <a:schemeClr val="bg2">
                  <a:lumMod val="75000"/>
                </a:schemeClr>
              </a:solidFill>
              <a:ln>
                <a:noFill/>
              </a:ln>
              <a:effectLst/>
              <a:scene3d>
                <a:camera prst="orthographicFront"/>
                <a:lightRig rig="threePt" dir="t"/>
              </a:scene3d>
              <a:sp3d>
                <a:bevelT/>
              </a:sp3d>
            </c:spPr>
            <c:extLst xmlns:c16r2="http://schemas.microsoft.com/office/drawing/2015/06/chart">
              <c:ext xmlns:c16="http://schemas.microsoft.com/office/drawing/2014/chart" uri="{C3380CC4-5D6E-409C-BE32-E72D297353CC}">
                <c16:uniqueId val="{00000003-3892-4FE6-8530-F465FB926076}"/>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Consolidated!$A$3:$A$4</c:f>
              <c:strCache>
                <c:ptCount val="2"/>
                <c:pt idx="0">
                  <c:v>SD Opened Ticket</c:v>
                </c:pt>
                <c:pt idx="1">
                  <c:v>SD Closed Ticket</c:v>
                </c:pt>
              </c:strCache>
            </c:strRef>
          </c:cat>
          <c:val>
            <c:numRef>
              <c:f>Consolidated!$B$3:$B$4</c:f>
              <c:numCache>
                <c:formatCode>General</c:formatCode>
                <c:ptCount val="2"/>
                <c:pt idx="0">
                  <c:v>363</c:v>
                </c:pt>
                <c:pt idx="1">
                  <c:v>349</c:v>
                </c:pt>
              </c:numCache>
            </c:numRef>
          </c:val>
          <c:extLst xmlns:c16r2="http://schemas.microsoft.com/office/drawing/2015/06/chart">
            <c:ext xmlns:c16="http://schemas.microsoft.com/office/drawing/2014/chart" uri="{C3380CC4-5D6E-409C-BE32-E72D297353CC}">
              <c16:uniqueId val="{00000004-3892-4FE6-8530-F465FB926076}"/>
            </c:ext>
          </c:extLst>
        </c:ser>
        <c:dLbls>
          <c:showLegendKey val="0"/>
          <c:showVal val="0"/>
          <c:showCatName val="0"/>
          <c:showSerName val="0"/>
          <c:showPercent val="0"/>
          <c:showBubbleSize val="0"/>
        </c:dLbls>
        <c:gapWidth val="219"/>
        <c:overlap val="-27"/>
        <c:axId val="318209584"/>
        <c:axId val="274204264"/>
      </c:barChart>
      <c:catAx>
        <c:axId val="31820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04264"/>
        <c:crosses val="autoZero"/>
        <c:auto val="1"/>
        <c:lblAlgn val="ctr"/>
        <c:lblOffset val="100"/>
        <c:noMultiLvlLbl val="0"/>
      </c:catAx>
      <c:valAx>
        <c:axId val="274204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095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Onsite 19th to 25th Feb 2026</a:t>
            </a:r>
            <a:endParaRPr lang="en-US"/>
          </a:p>
        </c:rich>
      </c:tx>
      <c:overlay val="0"/>
      <c:spPr>
        <a:noFill/>
        <a:ln>
          <a:noFill/>
        </a:ln>
        <a:effectLst/>
      </c:spPr>
    </c:title>
    <c:autoTitleDeleted val="0"/>
    <c:plotArea>
      <c:layout/>
      <c:barChart>
        <c:barDir val="col"/>
        <c:grouping val="clustered"/>
        <c:varyColors val="0"/>
        <c:ser>
          <c:idx val="0"/>
          <c:order val="0"/>
          <c:spPr>
            <a:solidFill>
              <a:schemeClr val="accent1"/>
            </a:solidFill>
            <a:ln>
              <a:noFill/>
            </a:ln>
            <a:effectLst/>
            <a:scene3d>
              <a:camera prst="orthographicFront"/>
              <a:lightRig rig="threePt" dir="t"/>
            </a:scene3d>
            <a:sp3d>
              <a:bevelT/>
            </a:sp3d>
          </c:spPr>
          <c:invertIfNegative val="0"/>
          <c:dPt>
            <c:idx val="0"/>
            <c:invertIfNegative val="0"/>
            <c:bubble3D val="0"/>
            <c:spPr>
              <a:solidFill>
                <a:srgbClr val="0070C0"/>
              </a:solidFill>
              <a:ln>
                <a:noFill/>
              </a:ln>
              <a:effectLst/>
              <a:scene3d>
                <a:camera prst="orthographicFront"/>
                <a:lightRig rig="threePt" dir="t"/>
              </a:scene3d>
              <a:sp3d>
                <a:bevelT/>
              </a:sp3d>
            </c:spPr>
            <c:extLst xmlns:c16r2="http://schemas.microsoft.com/office/drawing/2015/06/chart">
              <c:ext xmlns:c16="http://schemas.microsoft.com/office/drawing/2014/chart" uri="{C3380CC4-5D6E-409C-BE32-E72D297353CC}">
                <c16:uniqueId val="{00000001-47CF-4BC6-9884-EAB1307A800F}"/>
              </c:ext>
            </c:extLst>
          </c:dPt>
          <c:dPt>
            <c:idx val="1"/>
            <c:invertIfNegative val="0"/>
            <c:bubble3D val="0"/>
            <c:spPr>
              <a:solidFill>
                <a:schemeClr val="bg2">
                  <a:lumMod val="75000"/>
                </a:schemeClr>
              </a:solidFill>
              <a:ln>
                <a:noFill/>
              </a:ln>
              <a:effectLst/>
              <a:scene3d>
                <a:camera prst="orthographicFront"/>
                <a:lightRig rig="threePt" dir="t"/>
              </a:scene3d>
              <a:sp3d>
                <a:bevelT/>
              </a:sp3d>
            </c:spPr>
            <c:extLst xmlns:c16r2="http://schemas.microsoft.com/office/drawing/2015/06/chart">
              <c:ext xmlns:c16="http://schemas.microsoft.com/office/drawing/2014/chart" uri="{C3380CC4-5D6E-409C-BE32-E72D297353CC}">
                <c16:uniqueId val="{00000003-47CF-4BC6-9884-EAB1307A800F}"/>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Consolidated!$A$13:$A$14</c:f>
              <c:strCache>
                <c:ptCount val="2"/>
                <c:pt idx="0">
                  <c:v>Onsite Open Ticket</c:v>
                </c:pt>
                <c:pt idx="1">
                  <c:v>Onsite Closed Ticket</c:v>
                </c:pt>
              </c:strCache>
            </c:strRef>
          </c:cat>
          <c:val>
            <c:numRef>
              <c:f>Consolidated!$B$13:$B$14</c:f>
              <c:numCache>
                <c:formatCode>General</c:formatCode>
                <c:ptCount val="2"/>
                <c:pt idx="0">
                  <c:v>116</c:v>
                </c:pt>
                <c:pt idx="1">
                  <c:v>179</c:v>
                </c:pt>
              </c:numCache>
            </c:numRef>
          </c:val>
          <c:extLst xmlns:c16r2="http://schemas.microsoft.com/office/drawing/2015/06/chart">
            <c:ext xmlns:c16="http://schemas.microsoft.com/office/drawing/2014/chart" uri="{C3380CC4-5D6E-409C-BE32-E72D297353CC}">
              <c16:uniqueId val="{00000004-47CF-4BC6-9884-EAB1307A800F}"/>
            </c:ext>
          </c:extLst>
        </c:ser>
        <c:dLbls>
          <c:showLegendKey val="0"/>
          <c:showVal val="0"/>
          <c:showCatName val="0"/>
          <c:showSerName val="0"/>
          <c:showPercent val="0"/>
          <c:showBubbleSize val="0"/>
        </c:dLbls>
        <c:gapWidth val="219"/>
        <c:overlap val="-27"/>
        <c:axId val="274203088"/>
        <c:axId val="274206616"/>
      </c:barChart>
      <c:catAx>
        <c:axId val="27420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06616"/>
        <c:crosses val="autoZero"/>
        <c:auto val="1"/>
        <c:lblAlgn val="ctr"/>
        <c:lblOffset val="100"/>
        <c:noMultiLvlLbl val="0"/>
      </c:catAx>
      <c:valAx>
        <c:axId val="274206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03088"/>
        <c:crosses val="autoZero"/>
        <c:crossBetween val="between"/>
      </c:valAx>
    </c:plotArea>
    <c:plotVisOnly val="1"/>
    <c:dispBlanksAs val="gap"/>
    <c:showDLblsOverMax val="0"/>
    <c:extLst xmlns:c16r2="http://schemas.microsoft.com/office/drawing/2015/06/char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200025</xdr:colOff>
      <xdr:row>5</xdr:row>
      <xdr:rowOff>9525</xdr:rowOff>
    </xdr:from>
    <xdr:to>
      <xdr:col>15</xdr:col>
      <xdr:colOff>504825</xdr:colOff>
      <xdr:row>19</xdr:row>
      <xdr:rowOff>85725</xdr:rowOff>
    </xdr:to>
    <xdr:graphicFrame macro="">
      <xdr:nvGraphicFramePr>
        <xdr:cNvPr id="3" name="Chart 2">
          <a:extLst>
            <a:ext uri="{FF2B5EF4-FFF2-40B4-BE49-F238E27FC236}">
              <a16:creationId xmlns="" xmlns:a16="http://schemas.microsoft.com/office/drawing/2014/main" id="{8FD7094B-A430-3CD5-D318-1F8F8B8B2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228600</xdr:colOff>
      <xdr:row>3</xdr:row>
      <xdr:rowOff>28575</xdr:rowOff>
    </xdr:from>
    <xdr:to>
      <xdr:col>17</xdr:col>
      <xdr:colOff>304800</xdr:colOff>
      <xdr:row>17</xdr:row>
      <xdr:rowOff>41275</xdr:rowOff>
    </xdr:to>
    <xdr:graphicFrame macro="">
      <xdr:nvGraphicFramePr>
        <xdr:cNvPr id="2" name="Chart 1">
          <a:extLst>
            <a:ext uri="{FF2B5EF4-FFF2-40B4-BE49-F238E27FC236}">
              <a16:creationId xmlns="" xmlns:a16="http://schemas.microsoft.com/office/drawing/2014/main" id="{B876B34F-D8F3-4502-B0EA-61A2F9214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301625</xdr:colOff>
      <xdr:row>1</xdr:row>
      <xdr:rowOff>6349</xdr:rowOff>
    </xdr:from>
    <xdr:to>
      <xdr:col>7</xdr:col>
      <xdr:colOff>558800</xdr:colOff>
      <xdr:row>9</xdr:row>
      <xdr:rowOff>53974</xdr:rowOff>
    </xdr:to>
    <xdr:graphicFrame macro="">
      <xdr:nvGraphicFramePr>
        <xdr:cNvPr id="3" name="Chart 2">
          <a:extLst>
            <a:ext uri="{FF2B5EF4-FFF2-40B4-BE49-F238E27FC236}">
              <a16:creationId xmlns="" xmlns:a16="http://schemas.microsoft.com/office/drawing/2014/main" id="{168969A5-0BD0-4A8D-B4B1-D9718BD81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333375</xdr:colOff>
      <xdr:row>10</xdr:row>
      <xdr:rowOff>95250</xdr:rowOff>
    </xdr:from>
    <xdr:to>
      <xdr:col>7</xdr:col>
      <xdr:colOff>542925</xdr:colOff>
      <xdr:row>18</xdr:row>
      <xdr:rowOff>42861</xdr:rowOff>
    </xdr:to>
    <xdr:graphicFrame macro="">
      <xdr:nvGraphicFramePr>
        <xdr:cNvPr id="4" name="Chart 3">
          <a:extLst>
            <a:ext uri="{FF2B5EF4-FFF2-40B4-BE49-F238E27FC236}">
              <a16:creationId xmlns="" xmlns:a16="http://schemas.microsoft.com/office/drawing/2014/main" id="{8BB61AE4-7307-4938-8977-A8DDE1290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Techm Deepthi Satheesan" refreshedDate="46079.457164814812" createdVersion="8" refreshedVersion="8" minRefreshableVersion="3" recordCount="479">
  <cacheSource type="worksheet">
    <worksheetSource ref="A1:AE480" sheet="Open"/>
  </cacheSource>
  <cacheFields count="31">
    <cacheField name="Incident ID*+" numFmtId="0">
      <sharedItems/>
    </cacheField>
    <cacheField name="Incident Type*" numFmtId="0">
      <sharedItems/>
    </cacheField>
    <cacheField name="First Name+" numFmtId="0">
      <sharedItems/>
    </cacheField>
    <cacheField name="Last Name+" numFmtId="0">
      <sharedItems/>
    </cacheField>
    <cacheField name="Summary*" numFmtId="0">
      <sharedItems/>
    </cacheField>
    <cacheField name="Submit Date" numFmtId="22">
      <sharedItems containsSemiMixedTypes="0" containsNonDate="0" containsDate="1" containsString="0" minDate="2026-02-19T00:29:30" maxDate="2026-02-25T22:56:32"/>
    </cacheField>
    <cacheField name="Department" numFmtId="0">
      <sharedItems containsBlank="1"/>
    </cacheField>
    <cacheField name="Organization" numFmtId="0">
      <sharedItems containsBlank="1"/>
    </cacheField>
    <cacheField name="Agency" numFmtId="0">
      <sharedItems count="9">
        <s v="Corporate Administrative Support Services"/>
        <s v="Strategy &amp; Corporate Governance"/>
        <s v="Excecutive Affairs"/>
        <s v="Licensing Agency"/>
        <s v="Corporate Technology Support Services"/>
        <s v="Public Transport Agency"/>
        <s v="Rail Agency"/>
        <s v="Traffic and Roads Agency"/>
        <s v="Parkin"/>
      </sharedItems>
    </cacheField>
    <cacheField name="Assigned Group*+" numFmtId="0">
      <sharedItems/>
    </cacheField>
    <cacheField name="Assignee+" numFmtId="0">
      <sharedItems/>
    </cacheField>
    <cacheField name="Operational Categorization Tier 1+" numFmtId="0">
      <sharedItems/>
    </cacheField>
    <cacheField name="Operational Categorization Tier 2" numFmtId="0">
      <sharedItems/>
    </cacheField>
    <cacheField name="Operational Categorization Tier 3" numFmtId="0">
      <sharedItems containsBlank="1"/>
    </cacheField>
    <cacheField name="Priority*" numFmtId="0">
      <sharedItems/>
    </cacheField>
    <cacheField name="Last Modified Date" numFmtId="22">
      <sharedItems containsSemiMixedTypes="0" containsNonDate="0" containsDate="1" containsString="0" minDate="2026-02-22T02:07:42" maxDate="2026-02-26T10:10:36"/>
    </cacheField>
    <cacheField name="Last Resolved Date" numFmtId="0">
      <sharedItems containsNonDate="0" containsDate="1" containsString="0" containsBlank="1" minDate="2026-02-19T00:29:41" maxDate="2026-02-26T10:10:34"/>
    </cacheField>
    <cacheField name="Status*" numFmtId="0">
      <sharedItems/>
    </cacheField>
    <cacheField name="Resolution" numFmtId="0">
      <sharedItems containsBlank="1" longText="1"/>
    </cacheField>
    <cacheField name="VIP" numFmtId="0">
      <sharedItems/>
    </cacheField>
    <cacheField name="Submitter*" numFmtId="0">
      <sharedItems/>
    </cacheField>
    <cacheField name="Resolution Categorization Tier 1" numFmtId="0">
      <sharedItems containsBlank="1"/>
    </cacheField>
    <cacheField name="Resolution Categorization Tier 2" numFmtId="0">
      <sharedItems containsBlank="1"/>
    </cacheField>
    <cacheField name="Resolution Categorization Tier 3" numFmtId="0">
      <sharedItems containsBlank="1"/>
    </cacheField>
    <cacheField name="Corporate ID" numFmtId="0">
      <sharedItems containsBlank="1" containsMixedTypes="1" containsNumber="1" containsInteger="1" minValue="350" maxValue="15981"/>
    </cacheField>
    <cacheField name="Reported Source" numFmtId="0">
      <sharedItems/>
    </cacheField>
    <cacheField name="Status Reason" numFmtId="0">
      <sharedItems containsBlank="1"/>
    </cacheField>
    <cacheField name="Contact Sensitivity" numFmtId="0">
      <sharedItems/>
    </cacheField>
    <cacheField name="Customer Login ID" numFmtId="0">
      <sharedItems/>
    </cacheField>
    <cacheField name="Internet E-mail" numFmtId="0">
      <sharedItems/>
    </cacheField>
    <cacheField name="SLM Real Time 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Techm Deepthi Satheesan" refreshedDate="46079.457428587964" createdVersion="8" refreshedVersion="8" minRefreshableVersion="3" recordCount="528">
  <cacheSource type="worksheet">
    <worksheetSource ref="A1:AN529" sheet="Closed"/>
  </cacheSource>
  <cacheFields count="40">
    <cacheField name="Incident ID*+" numFmtId="0">
      <sharedItems/>
    </cacheField>
    <cacheField name="Incident Type*" numFmtId="0">
      <sharedItems/>
    </cacheField>
    <cacheField name="First Name+" numFmtId="0">
      <sharedItems/>
    </cacheField>
    <cacheField name="Last Name+" numFmtId="0">
      <sharedItems/>
    </cacheField>
    <cacheField name="Submit Date" numFmtId="22">
      <sharedItems containsSemiMixedTypes="0" containsNonDate="0" containsDate="1" containsString="0" minDate="2025-12-10T08:34:50" maxDate="2026-02-25T22:56:32"/>
    </cacheField>
    <cacheField name="Department" numFmtId="0">
      <sharedItems containsBlank="1"/>
    </cacheField>
    <cacheField name="Organization" numFmtId="0">
      <sharedItems containsBlank="1"/>
    </cacheField>
    <cacheField name="Agency" numFmtId="0">
      <sharedItems count="9">
        <s v="Corporate Administrative Support Services"/>
        <s v="Strategy &amp; Corporate Governance"/>
        <s v="Traffic and Roads Agency"/>
        <s v="Corporate Technology Support Services"/>
        <s v="Public Transport Agency"/>
        <s v="Executive Affairs"/>
        <s v="Rail Agency"/>
        <s v="Licensing Agency"/>
        <s v="Parkin"/>
      </sharedItems>
    </cacheField>
    <cacheField name="Summary*" numFmtId="0">
      <sharedItems/>
    </cacheField>
    <cacheField name="Assignee+" numFmtId="0">
      <sharedItems/>
    </cacheField>
    <cacheField name="Assigned Group*+" numFmtId="0">
      <sharedItems/>
    </cacheField>
    <cacheField name="Vendor Group+" numFmtId="0">
      <sharedItems containsNonDate="0" containsString="0" containsBlank="1"/>
    </cacheField>
    <cacheField name="Status Reason" numFmtId="0">
      <sharedItems/>
    </cacheField>
    <cacheField name="Status Reason2" numFmtId="0">
      <sharedItems containsNonDate="0" containsString="0" containsBlank="1"/>
    </cacheField>
    <cacheField name="Impact*" numFmtId="0">
      <sharedItems/>
    </cacheField>
    <cacheField name="Urgency*" numFmtId="0">
      <sharedItems/>
    </cacheField>
    <cacheField name="Customer Site" numFmtId="0">
      <sharedItems containsBlank="1"/>
    </cacheField>
    <cacheField name="Operational Categorization Tier 1+" numFmtId="0">
      <sharedItems/>
    </cacheField>
    <cacheField name="Operational Categorization Tier 2" numFmtId="0">
      <sharedItems/>
    </cacheField>
    <cacheField name="Operational Categorization Tier 3" numFmtId="0">
      <sharedItems/>
    </cacheField>
    <cacheField name="Last Resolved Date" numFmtId="22">
      <sharedItems containsSemiMixedTypes="0" containsNonDate="0" containsDate="1" containsString="0" minDate="2026-02-19T00:07:34" maxDate="2026-02-25T23:22:19"/>
    </cacheField>
    <cacheField name="VIP" numFmtId="0">
      <sharedItems/>
    </cacheField>
    <cacheField name="SLM Real Time Status" numFmtId="0">
      <sharedItems/>
    </cacheField>
    <cacheField name="Reported Source" numFmtId="0">
      <sharedItems/>
    </cacheField>
    <cacheField name="Resolution" numFmtId="0">
      <sharedItems longText="1"/>
    </cacheField>
    <cacheField name="Status*" numFmtId="0">
      <sharedItems/>
    </cacheField>
    <cacheField name="VIP2" numFmtId="0">
      <sharedItems/>
    </cacheField>
    <cacheField name="Submitter*" numFmtId="0">
      <sharedItems/>
    </cacheField>
    <cacheField name="Priority*" numFmtId="0">
      <sharedItems/>
    </cacheField>
    <cacheField name="Resolution Categorization Tier 1" numFmtId="0">
      <sharedItems/>
    </cacheField>
    <cacheField name="Resolution Categorization Tier 2" numFmtId="0">
      <sharedItems/>
    </cacheField>
    <cacheField name="Resolution Categorization Tier 3" numFmtId="0">
      <sharedItems/>
    </cacheField>
    <cacheField name="Status*2" numFmtId="0">
      <sharedItems/>
    </cacheField>
    <cacheField name="Corporate ID" numFmtId="0">
      <sharedItems containsBlank="1" containsMixedTypes="1" containsNumber="1" containsInteger="1" minValue="350" maxValue="15978"/>
    </cacheField>
    <cacheField name="Approve/Reject Based On" numFmtId="0">
      <sharedItems containsBlank="1"/>
    </cacheField>
    <cacheField name="GRP System ID" numFmtId="0">
      <sharedItems containsBlank="1" containsMixedTypes="1" containsNumber="1" containsInteger="1" minValue="12446" maxValue="191766"/>
    </cacheField>
    <cacheField name="Individual Transfers" numFmtId="0">
      <sharedItems containsSemiMixedTypes="0" containsString="0" containsNumber="1" containsInteger="1" minValue="0" maxValue="34"/>
    </cacheField>
    <cacheField name="Contact Sensitivity" numFmtId="0">
      <sharedItems/>
    </cacheField>
    <cacheField name="Customer Login ID" numFmtId="0">
      <sharedItems/>
    </cacheField>
    <cacheField name="Internet E-mai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
  <r>
    <s v="INC000001321966"/>
    <s v="User Service Request"/>
    <s v="Omran"/>
    <s v="Almaazmi"/>
    <s v="Smart traffic edge configuration request"/>
    <d v="2026-02-25T22:56:32"/>
    <s v="Customer Happiness"/>
    <s v="RTA"/>
    <x v="0"/>
    <s v="Service Desk"/>
    <s v="Techm Omer Mohamed"/>
    <s v="Desktop"/>
    <s v="RTA Standard Application installation Request"/>
    <s v="MS Edge"/>
    <s v="Low"/>
    <d v="2026-02-25T22:58:47"/>
    <d v="2026-02-25T22:58:22"/>
    <s v="Resolved"/>
    <s v="Smart traffic settings has been configured on ms edge as per the request"/>
    <s v="No"/>
    <s v="Techm_OFMohamed"/>
    <s v="Desktop"/>
    <s v="RTA Standard Application installation Request"/>
    <s v="MS Edge"/>
    <n v="15896"/>
    <s v="Phone"/>
    <s v="USER TO CONFIRM"/>
    <s v="Standard"/>
    <s v="oyalmaazmi"/>
    <s v="Omran.Almaazmi@rta.ae"/>
    <s v="Within the Service Target"/>
  </r>
  <r>
    <s v="INC000001321965"/>
    <s v="User Service Request"/>
    <s v="Amna"/>
    <s v="Alameri"/>
    <s v="Email configuration on cell phone"/>
    <d v="2026-02-25T22:55:03"/>
    <s v="Safety &amp; Risk Regulation and Planning"/>
    <s v="RTA"/>
    <x v="1"/>
    <s v="Service Desk"/>
    <s v="Techm Omer Mohamed"/>
    <s v="Desktop"/>
    <s v="Personal Device Support"/>
    <s v="Personal Smart Phone"/>
    <s v="Low"/>
    <d v="2026-02-25T22:57:41"/>
    <d v="2026-02-25T22:57:39"/>
    <s v="Resolved"/>
    <s v="Email has been configured on Smart phone"/>
    <s v="No"/>
    <s v="Techm_OFMohamed"/>
    <s v="Desktop"/>
    <s v="Personal Device Support"/>
    <s v="Personal Smart Phone"/>
    <n v="14513"/>
    <s v="Phone"/>
    <s v="USER TO CONFIRM"/>
    <s v="Standard"/>
    <s v="AARAlameri"/>
    <s v="Amna.AAlameri@rta.ae"/>
    <s v="Within the Service Target"/>
  </r>
  <r>
    <s v="INC000001321926"/>
    <s v="User Service Request"/>
    <s v="Stewart"/>
    <s v="Fernandes"/>
    <s v="unlock account request"/>
    <d v="2026-02-25T18:58:36"/>
    <s v="Enterprise Command &amp; Control"/>
    <s v="RTA"/>
    <x v="1"/>
    <s v="Service Desk"/>
    <s v="Techm Omer Mohamed"/>
    <s v="Desktop"/>
    <s v="Profile"/>
    <s v="Account Lock Out"/>
    <s v="Low"/>
    <d v="2026-02-25T19:01:14"/>
    <d v="2026-02-25T19:00:07"/>
    <s v="Resolved"/>
    <s v="eccddcab account has been unlocked"/>
    <s v="No"/>
    <s v="Techm_OFMohamed"/>
    <s v="Desktop"/>
    <s v="Profile"/>
    <s v="Account Lock Out"/>
    <s v="V0029932"/>
    <s v="Phone"/>
    <s v="USER TO CONFIRM"/>
    <s v="Standard"/>
    <s v="cns_sffernandes"/>
    <s v="Cns_Stewart.Fernandes@rta.ae"/>
    <s v="Within the Service Target"/>
  </r>
  <r>
    <s v="INC000001321908"/>
    <s v="User Service Request"/>
    <s v="Mahmoud"/>
    <s v="Eldsouky Kande-Contractor"/>
    <s v="Return Desktop"/>
    <d v="2026-02-25T16:28:53"/>
    <s v="Administration Services"/>
    <s v="RTA"/>
    <x v="0"/>
    <s v="OnSite  EUS"/>
    <s v="Mohamed Mustaq Ali"/>
    <s v="Desktop"/>
    <s v="Asset collection"/>
    <s v="Asset collection"/>
    <s v="Low"/>
    <d v="2026-02-26T09:44:19"/>
    <m/>
    <s v="Pending"/>
    <m/>
    <s v="No"/>
    <s v="techm_maalhammadi"/>
    <s v="Desktop"/>
    <s v="Asset Collection"/>
    <s v="Asset Collection"/>
    <s v="V0025440"/>
    <s v="Email"/>
    <s v="Local Site Action Required"/>
    <s v="Standard"/>
    <s v="apex_mmeldsoukykande"/>
    <s v="Apex_Mahmoud.Eldsoukykande@rta.ae"/>
    <s v="Within the Service Target"/>
  </r>
  <r>
    <s v="INC000001321875"/>
    <s v="User Service Request"/>
    <s v="Sara"/>
    <s v="Al Mudharreb"/>
    <s v="Temporary USB Unblocking"/>
    <d v="2026-02-25T14:52:49"/>
    <s v="DG, Chairman of the Board of Executive Directors Office"/>
    <s v="RTA"/>
    <x v="2"/>
    <s v="Service Desk"/>
    <s v="Ismael Ismael"/>
    <s v="Incident"/>
    <s v="Self-service"/>
    <s v="Mendix"/>
    <s v="Low"/>
    <d v="2026-02-26T08:53:55"/>
    <m/>
    <s v="Pending"/>
    <s v="Please note that your system &quot; rta-cho-ceo-080 &quot; has been moved to USB Block exception Group."/>
    <s v="Yes"/>
    <s v="mendix"/>
    <m/>
    <m/>
    <m/>
    <n v="7457"/>
    <s v="Self Service"/>
    <s v="Client Action Required"/>
    <s v="Sensitive"/>
    <s v="smalmudharreb"/>
    <s v="Sara.AlMudharreb@RTA.ae"/>
    <s v="Within the Service Target"/>
  </r>
  <r>
    <s v="INC000001321872"/>
    <s v="User Service Restoration"/>
    <s v="Alia"/>
    <s v="Ahli"/>
    <s v="Windows Updates Issue"/>
    <d v="2026-02-25T14:38:11"/>
    <s v="Drivers Licensing"/>
    <s v="RTA"/>
    <x v="3"/>
    <s v="SCCM-Nexthink Support"/>
    <s v="Surjeet Samanta"/>
    <s v="Desktop"/>
    <s v="OS Issue"/>
    <s v="Startup Error Message"/>
    <s v="Medium"/>
    <d v="2026-02-26T10:06:43"/>
    <m/>
    <s v="In Progress"/>
    <m/>
    <s v="No"/>
    <s v="techm_ajalbasata"/>
    <m/>
    <m/>
    <m/>
    <n v="14725"/>
    <s v="Phone"/>
    <m/>
    <s v="Standard"/>
    <s v="AJUAhli"/>
    <s v="Alia.Ahli@rta.ae"/>
    <s v="Within the Service Target"/>
  </r>
  <r>
    <s v="INC000001321861"/>
    <s v="User Service Restoration"/>
    <s v="Naelini"/>
    <s v="Saeid"/>
    <s v="VPN Issue"/>
    <d v="2026-02-25T14:14:18"/>
    <s v="Information Technology"/>
    <s v="RTA"/>
    <x v="4"/>
    <s v="Service Desk"/>
    <s v="Mohamed Alajlani"/>
    <s v="Desktop"/>
    <s v="Configuration"/>
    <s v="VPN Troubleshooting"/>
    <s v="Medium"/>
    <d v="2026-02-26T08:12:34"/>
    <d v="2026-02-26T08:12:04"/>
    <s v="Resolved"/>
    <s v="The issue was resolved after the user changed the password, as it had expired."/>
    <s v="No"/>
    <s v="techm_myalajlani"/>
    <s v="Desktop"/>
    <s v="Configuration"/>
    <s v="VPN Troubleshooting"/>
    <s v="V0026352"/>
    <s v="Email"/>
    <s v="USER TO CONFIRM"/>
    <s v="Standard"/>
    <s v="zutari_nssaeid"/>
    <s v="Zutari_Naelini.Saeid@rta.ae"/>
    <s v="Within the Service Target"/>
  </r>
  <r>
    <s v="INC000001321852"/>
    <s v="User Service Request"/>
    <s v="Amal"/>
    <s v="Almheiri"/>
    <s v="unlock account request"/>
    <d v="2026-02-25T13:57:35"/>
    <s v="Innovation &amp; Pioneering"/>
    <s v="RTA"/>
    <x v="1"/>
    <s v="Service Desk"/>
    <s v="Mohamed Alajlani"/>
    <s v="Desktop"/>
    <s v="Profile"/>
    <s v="Account Lock Out"/>
    <s v="Low"/>
    <d v="2026-02-25T13:59:41"/>
    <d v="2026-02-25T13:58:01"/>
    <s v="Resolved"/>
    <s v="The account has been unlocked successfully as requested."/>
    <s v="No"/>
    <s v="techm_myalajlani"/>
    <s v="Desktop"/>
    <s v="Profile"/>
    <s v="Account Lock Out"/>
    <n v="15885"/>
    <s v="Phone"/>
    <s v="USER TO CONFIRM"/>
    <s v="Standard"/>
    <s v="aalalmheiri"/>
    <s v="Amal.Almheiri@rta.ae"/>
    <s v="Within the Service Target"/>
  </r>
  <r>
    <s v="INC000001321847"/>
    <s v="User Service Request"/>
    <s v="Essa"/>
    <s v="Alblooshi"/>
    <s v="Asset collection for the resigned user."/>
    <d v="2026-02-25T13:50:54"/>
    <s v="Passengers Transport Activities Monitoring"/>
    <s v="RTA"/>
    <x v="5"/>
    <s v="OnSite  EUS"/>
    <s v="Techm Ahmad Khantomany"/>
    <s v="Desktop"/>
    <s v="Asset collection"/>
    <s v="Asset collection"/>
    <s v="Low"/>
    <d v="2026-02-25T13:53:32"/>
    <m/>
    <s v="In Progress"/>
    <m/>
    <s v="No"/>
    <s v="techm_ajalbasata"/>
    <s v="Desktop"/>
    <s v="Asset Collection"/>
    <s v="Asset Collection"/>
    <n v="15371"/>
    <s v="Phone"/>
    <m/>
    <s v="Standard"/>
    <s v="ejalblooshi"/>
    <s v="Essa.Alblooshi@rta.ae"/>
    <s v="Within the Service Target"/>
  </r>
  <r>
    <s v="INC000001321829"/>
    <s v="User Service Request"/>
    <s v="Haitham"/>
    <s v="Mohamed"/>
    <s v="Software Installing Request"/>
    <d v="2026-02-25T13:26:38"/>
    <s v="Marine"/>
    <s v="RTA"/>
    <x v="5"/>
    <s v="Service Desk"/>
    <s v="Techm Ghaya Hamad"/>
    <s v="Incident"/>
    <s v="Self-service"/>
    <s v="Mendix"/>
    <s v="Low"/>
    <d v="2026-02-25T16:09:27"/>
    <m/>
    <s v="In Progress"/>
    <m/>
    <s v="No"/>
    <s v="mendix"/>
    <m/>
    <m/>
    <m/>
    <n v="6245"/>
    <s v="Self Service"/>
    <m/>
    <s v="Standard"/>
    <s v="hamohamed"/>
    <s v="Haitham.Mohamed@rta.ae"/>
    <s v="Within the Service Target"/>
  </r>
  <r>
    <s v="INC000001321815"/>
    <s v="User Service Restoration"/>
    <s v="Ultimate Nada"/>
    <s v="Abulaila"/>
    <s v="Disk C Drive Full"/>
    <d v="2026-02-25T13:49:12"/>
    <s v="Commercial Transport Activities"/>
    <s v="RTA"/>
    <x v="3"/>
    <s v="OnSite  EUS"/>
    <s v="Techm Omer Idris"/>
    <s v="Desktop"/>
    <s v="Disk Space"/>
    <s v="Low Disk Space(RE)"/>
    <s v="Medium"/>
    <d v="2026-02-26T09:51:28"/>
    <m/>
    <s v="Pending"/>
    <m/>
    <s v="No"/>
    <s v="techm_myalajlani"/>
    <m/>
    <m/>
    <m/>
    <s v="V006357"/>
    <s v="Phone"/>
    <s v="Local Site Action Required"/>
    <s v="Standard"/>
    <s v="Ultimate_NMAbulaila"/>
    <s v="Ultimate_Nada.Abulaila@rta.ae"/>
    <s v="Within the Service Target"/>
  </r>
  <r>
    <s v="INC000001321808"/>
    <s v="User Service Request"/>
    <s v="Shamsa"/>
    <s v="Alzaabi"/>
    <s v="Brouwer configuration"/>
    <d v="2026-02-25T13:07:48"/>
    <s v="Customer Happiness"/>
    <s v="RTA"/>
    <x v="0"/>
    <s v="Service Desk"/>
    <s v="Aryam Juma Mohammad Albasata Albasata"/>
    <s v="Application"/>
    <s v="Application Access &amp; Permission"/>
    <s v="Application Access &amp; Permission"/>
    <s v="Low"/>
    <d v="2026-02-26T06:54:00"/>
    <m/>
    <s v="Pending"/>
    <m/>
    <s v="No"/>
    <s v="techm_maalneil"/>
    <m/>
    <m/>
    <m/>
    <n v="11813"/>
    <s v="Email"/>
    <s v="Client Action Required"/>
    <s v="Standard"/>
    <s v="smalzaabi"/>
    <s v="Shamsa.Alzaabi@rta.ae"/>
    <s v="Within the Service Target"/>
  </r>
  <r>
    <s v="INC000001321806"/>
    <s v="User Service Request"/>
    <s v="Marwa"/>
    <s v="Gahalla"/>
    <s v="GI Password reset"/>
    <d v="2026-02-25T13:02:22"/>
    <s v="Planning &amp; Business Development"/>
    <s v="RTA"/>
    <x v="5"/>
    <s v="Service Desk"/>
    <s v="Techm Abdalbagee Hamed"/>
    <s v="Desktop"/>
    <s v="Profile"/>
    <s v="Password reset(RE)"/>
    <s v="Low"/>
    <d v="2026-02-25T13:20:41"/>
    <m/>
    <s v="In Progress"/>
    <s v="Please note that the generic ID password has been reset and shared with you over SMS"/>
    <s v="No"/>
    <s v="techm_maalneil"/>
    <s v="Desktop"/>
    <s v="Profile"/>
    <s v="Password Reset"/>
    <n v="9907"/>
    <s v="Email"/>
    <m/>
    <s v="Standard"/>
    <s v="mmgahalla"/>
    <s v="Marwa.Gahalla@RTA.ae"/>
    <s v="Within the Service Target"/>
  </r>
  <r>
    <s v="INC000001321801"/>
    <s v="User Service Restoration"/>
    <s v="Shaikha"/>
    <s v="Ali"/>
    <s v="Outlook issue-Enterprise vault"/>
    <d v="2026-02-25T12:52:51"/>
    <s v="Marketing &amp; Corporate Communication"/>
    <s v="RTA"/>
    <x v="0"/>
    <s v="Service Desk"/>
    <s v="Techm Ghaya Hamad"/>
    <s v="Desktop"/>
    <s v="Mail Box Issue"/>
    <s v="Login Issue"/>
    <s v="Medium"/>
    <d v="2026-02-25T13:44:24"/>
    <d v="2026-02-25T13:44:18"/>
    <s v="Resolved"/>
    <s v="Old password has been removed from credential manager"/>
    <s v="No"/>
    <s v="Techm_NRMohamed"/>
    <s v="Desktop"/>
    <s v="Mail Box Issue"/>
    <s v="Login Issue"/>
    <n v="15906"/>
    <s v="Email"/>
    <s v="USER TO CONFIRM"/>
    <s v="Standard"/>
    <s v="seali"/>
    <s v="Shaikha.Ali@rta.ae"/>
    <s v="Within the Service Target"/>
  </r>
  <r>
    <s v="INC000001321797"/>
    <s v="User Service Request"/>
    <s v="Vijendar"/>
    <s v="Alivelli"/>
    <s v="Asset collection for the resigned user."/>
    <d v="2026-02-25T12:49:41"/>
    <s v="Enterprise Command &amp; Control"/>
    <s v="RTA"/>
    <x v="1"/>
    <s v="OnSite  EUS"/>
    <s v="Techm Osama Abdullatif"/>
    <s v="Desktop"/>
    <s v="Asset collection"/>
    <s v="Asset collection"/>
    <s v="Low"/>
    <d v="2026-02-26T08:13:56"/>
    <m/>
    <s v="Pending"/>
    <m/>
    <s v="No"/>
    <s v="techm_maalneil"/>
    <s v="Desktop"/>
    <s v="Asset Collection"/>
    <s v="Asset Collection"/>
    <s v="V0030588"/>
    <s v="Email"/>
    <s v="Client Action Required"/>
    <s v="Standard"/>
    <s v="cns_vralivelli"/>
    <s v="Cns_Vijendar.Alivelli@rta.ae"/>
    <s v="Within the Service Target"/>
  </r>
  <r>
    <s v="INC000001321786"/>
    <s v="User Service Request"/>
    <s v="Sara"/>
    <s v="Alblooshi"/>
    <s v="Laptop"/>
    <d v="2026-02-25T12:41:22"/>
    <s v="Rail Planning &amp; Projects Development"/>
    <s v="RTA"/>
    <x v="6"/>
    <s v="OnSite  EUS"/>
    <s v="Techm Omer Idris"/>
    <s v="Incident"/>
    <s v="Self-service"/>
    <s v="Mendix"/>
    <s v="Low"/>
    <d v="2026-02-25T12:44:17"/>
    <m/>
    <s v="In Progress"/>
    <m/>
    <s v="No"/>
    <s v="mendix"/>
    <m/>
    <m/>
    <m/>
    <n v="14569"/>
    <s v="Self Service"/>
    <m/>
    <s v="Standard"/>
    <s v="SYAlblooshi"/>
    <s v="Sara.YAlblooshi@rta.ae"/>
    <s v="Within the Service Target"/>
  </r>
  <r>
    <s v="INC000001321785"/>
    <s v="User Service Request"/>
    <s v="Mahmoud"/>
    <s v="Eldsouky Kande-Contractor"/>
    <s v="External Monitor"/>
    <d v="2026-02-25T12:40:52"/>
    <s v="Administration Services"/>
    <s v="RTA"/>
    <x v="0"/>
    <s v="OnSite  EUS"/>
    <s v="Mohamed Mustaq Ali"/>
    <s v="Incident"/>
    <s v="Self-service"/>
    <s v="Mendix"/>
    <s v="Low"/>
    <d v="2026-02-26T06:54:00"/>
    <m/>
    <s v="Pending"/>
    <m/>
    <s v="No"/>
    <s v="mendix"/>
    <m/>
    <m/>
    <m/>
    <s v="V0025440"/>
    <s v="Self Service"/>
    <s v="Local Site Action Required"/>
    <s v="Standard"/>
    <s v="apex_mmeldsoukykande"/>
    <s v="Apex_Mahmoud.Eldsoukykande@rta.ae"/>
    <s v="Within the Service Target"/>
  </r>
  <r>
    <s v="INC000001321766"/>
    <s v="User Service Restoration"/>
    <s v="Hind"/>
    <s v="Hassan"/>
    <s v="Monitor Issue"/>
    <d v="2026-02-25T12:18:29"/>
    <s v="Human Resources &amp; Development"/>
    <s v="RTA"/>
    <x v="0"/>
    <s v="Service Desk"/>
    <s v="Techm Ghaya Hamad"/>
    <s v="Desktop"/>
    <s v="Peripherals"/>
    <s v="Monitor"/>
    <s v="Medium"/>
    <d v="2026-02-25T13:28:19"/>
    <d v="2026-02-25T13:28:18"/>
    <s v="Resolved"/>
    <s v="User said it works properly. no need support"/>
    <s v="No"/>
    <s v="Techm_GAHamad"/>
    <s v="Desktop"/>
    <s v="Peripherals"/>
    <s v="Monitor"/>
    <n v="15899"/>
    <s v="Phone"/>
    <s v="USER TO CONFIRM"/>
    <s v="Standard"/>
    <s v="hsohassan"/>
    <s v="Hind.Hassan@rta.ae"/>
    <s v="Within the Service Target"/>
  </r>
  <r>
    <s v="INC000001321757"/>
    <s v="User Service Restoration"/>
    <s v="Thribuvandas"/>
    <s v="Thrilogen"/>
    <s v="MS Teams Issue"/>
    <d v="2026-02-25T12:06:08"/>
    <s v="Traffic"/>
    <s v="RTA"/>
    <x v="7"/>
    <s v="Service Desk"/>
    <s v="Ismael Ismael"/>
    <s v="Desktop"/>
    <s v="RTA Non standard application  Incidents"/>
    <s v="MS Teams"/>
    <s v="Medium"/>
    <d v="2026-02-25T12:08:15"/>
    <d v="2026-02-25T12:07:10"/>
    <s v="Resolved"/>
    <e v="#NAME?"/>
    <s v="No"/>
    <s v="techm_iaismael"/>
    <s v="Desktop"/>
    <s v="RTA Non standard application  Incidents"/>
    <s v="MS Teams"/>
    <n v="15882"/>
    <s v="Phone"/>
    <s v="USER TO CONFIRM"/>
    <s v="Standard"/>
    <s v="tvthrilogen"/>
    <s v="Thribuvandas.Thrilogen@rta.ae"/>
    <s v="Within the Service Target"/>
  </r>
  <r>
    <s v="INC000001321754"/>
    <s v="User Service Request"/>
    <s v="Amal"/>
    <s v="Suliman"/>
    <s v="User Education"/>
    <d v="2026-02-25T12:06:46"/>
    <s v="Development &amp; Corporate Performance"/>
    <s v="RTA"/>
    <x v="1"/>
    <s v="Service Desk"/>
    <s v="Techm Ghaya Hamad"/>
    <s v="Desktop"/>
    <s v="User Education"/>
    <s v="User Education"/>
    <s v="Low"/>
    <d v="2026-02-26T09:36:52"/>
    <d v="2026-02-26T09:36:50"/>
    <s v="Resolved"/>
    <s v="Guide user to add &quot;from&quot; from outlook option"/>
    <s v="No"/>
    <s v="Techm_GAHamad"/>
    <s v="Desktop"/>
    <s v="User Education"/>
    <s v="User Education"/>
    <n v="2850"/>
    <s v="Phone"/>
    <s v="USER TO CONFIRM"/>
    <s v="Standard"/>
    <s v="aasuliman"/>
    <s v="Amal.Suliman@rta.ae"/>
    <s v="Within the Service Target"/>
  </r>
  <r>
    <s v="INC000001321751"/>
    <s v="User Service Restoration"/>
    <s v="Alaa"/>
    <s v="Alhusseini"/>
    <s v="Laptop battery Issue"/>
    <d v="2026-02-25T11:56:07"/>
    <s v="Buses"/>
    <s v="RTA"/>
    <x v="5"/>
    <s v="OnSite  EUS"/>
    <s v="Techm Ahmad Khantomany"/>
    <s v="Desktop"/>
    <s v="Peripherals"/>
    <s v="Extended Batteries for laptop"/>
    <s v="Medium"/>
    <d v="2026-02-26T06:53:59"/>
    <m/>
    <s v="Pending"/>
    <m/>
    <s v="No"/>
    <s v="Techm_GAHamad"/>
    <m/>
    <m/>
    <m/>
    <n v="13086"/>
    <s v="Phone"/>
    <s v="Client Action Required"/>
    <s v="Standard"/>
    <s v="ASAlhusseini"/>
    <s v="Alaa.Alhusseini@rta.ae"/>
    <s v="Within the Service Target"/>
  </r>
  <r>
    <s v="INC000001321747"/>
    <s v="User Service Request"/>
    <s v="Faten"/>
    <s v="AlShamsi"/>
    <s v="Request to configure MS edge in IE mode to use E-traffic"/>
    <d v="2026-02-25T11:53:07"/>
    <s v="Customer Happiness"/>
    <s v="RTA"/>
    <x v="0"/>
    <s v="Service Desk"/>
    <s v="Techm Abdalbagee Hamed"/>
    <s v="Desktop"/>
    <s v="RTA Standard Application installation Request"/>
    <s v="MS Edge"/>
    <s v="Low"/>
    <d v="2026-02-25T11:53:24"/>
    <d v="2026-02-25T11:53:21"/>
    <s v="Resolved"/>
    <s v="Configured system URL on Microsoft Edge as below steps :  1/  In Edge settings.  2/  Go to default browser.  3/ Then go to Internet Explorer compatibility.  4/  Then add &quot; Smart  Traffic Link&quot; to internet Explorer mode pages.  5/ Enabled internet Explorer mode and chose it allow.  6/  Restart the browser to take effects."/>
    <s v="No"/>
    <s v="Techm_AMHamed"/>
    <s v="Desktop"/>
    <s v="RTA Standard Application installation Request"/>
    <s v="MS Edge"/>
    <n v="13872"/>
    <s v="Phone"/>
    <s v="USER TO CONFIRM"/>
    <s v="Standard"/>
    <s v="FHAlshamsi"/>
    <s v="Faten.AlShamsi@RTA.ae"/>
    <s v="Within the Service Target"/>
  </r>
  <r>
    <s v="INC000001321742"/>
    <s v="User Service Request"/>
    <s v="Ihab Badie"/>
    <s v="Alsalamin"/>
    <s v="Generic ID Configuration Request &quot;AGF@rta.ae&quot;"/>
    <d v="2026-02-25T11:53:04"/>
    <s v="Technology Strategy &amp; Governance"/>
    <s v="RTA"/>
    <x v="4"/>
    <s v="Service Desk"/>
    <s v="Zain Alabedein Skheih"/>
    <s v="Desktop"/>
    <s v="Profile"/>
    <s v="Request for Generic ID Creation(RE)"/>
    <s v="Medium"/>
    <d v="2026-02-25T11:55:48"/>
    <d v="2026-02-25T11:54:58"/>
    <s v="Resolved"/>
    <s v="we accessed the device and mapped the Generic ID successfully in the user outlook"/>
    <s v="No"/>
    <s v="techm_ziskheih"/>
    <s v="Desktop"/>
    <s v="Profile"/>
    <s v="Re -Map Share Folder"/>
    <n v="12524"/>
    <s v="Phone"/>
    <s v="USER TO CONFIRM"/>
    <s v="Standard"/>
    <s v="IBAlSalamin"/>
    <s v="Ihab.AlSalamin@rta.ae"/>
    <s v="Within the Service Target"/>
  </r>
  <r>
    <s v="INC000001321739"/>
    <s v="User Service Request"/>
    <s v="Huda"/>
    <s v="Al-ali"/>
    <s v="Hardware Upgrade"/>
    <d v="2026-02-25T11:47:02"/>
    <s v="Dubai Rail CEO"/>
    <s v="RTA"/>
    <x v="6"/>
    <s v="OnSite  EUS"/>
    <s v="Techm Omer Idris"/>
    <s v="Incident"/>
    <s v="Self-service"/>
    <s v="Mendix"/>
    <s v="Low"/>
    <d v="2026-02-25T11:51:23"/>
    <m/>
    <s v="In Progress"/>
    <m/>
    <s v="No"/>
    <s v="mendix"/>
    <m/>
    <m/>
    <m/>
    <n v="12993"/>
    <s v="Self Service"/>
    <m/>
    <s v="Standard"/>
    <s v="HSAlali"/>
    <s v="Huda.Alali@rta.ae"/>
    <s v="Within the Service Target"/>
  </r>
  <r>
    <s v="INC000001321733"/>
    <s v="User Service Request"/>
    <s v="Moamin"/>
    <s v="Hameed Alsaleem"/>
    <s v="VPN reconfiguration Request"/>
    <d v="2026-02-25T11:44:38"/>
    <s v="Rail Planning &amp; Projects Development"/>
    <s v="RTA"/>
    <x v="6"/>
    <s v="Service Desk"/>
    <s v="Techm Ghaya Hamad"/>
    <s v="Desktop"/>
    <s v="Configuration"/>
    <s v="VPN Configuration"/>
    <s v="Low"/>
    <d v="2026-02-26T09:35:53"/>
    <d v="2026-02-26T09:35:47"/>
    <s v="Resolved"/>
    <s v="Configured VPN successfully through LogMeIn"/>
    <s v="No"/>
    <s v="Techm_GAHamad"/>
    <s v="Desktop"/>
    <s v="Configuration"/>
    <s v="VPN Configuration"/>
    <n v="4573"/>
    <s v="Phone"/>
    <s v="USER TO CONFIRM"/>
    <s v="Standard"/>
    <s v="mhAlsaleem"/>
    <s v="Moamin.Alsaleem@rta.ae"/>
    <s v="Within the Service Target"/>
  </r>
  <r>
    <s v="INC000001321728"/>
    <s v="User Service Request"/>
    <s v="Noora"/>
    <s v="Saeed Alzaabi"/>
    <s v="GI Access"/>
    <d v="2026-02-25T11:42:36"/>
    <s v="Commercial &amp; Investment"/>
    <s v="RTA"/>
    <x v="1"/>
    <s v="Service Desk"/>
    <s v="Muhammed Alneil"/>
    <s v="Application"/>
    <s v="Application Access &amp; Permission"/>
    <s v="Application Access &amp; Permission"/>
    <s v="Low"/>
    <d v="2026-02-26T08:56:15"/>
    <m/>
    <s v="Pending"/>
    <m/>
    <s v="No"/>
    <s v="techm_maalneil"/>
    <m/>
    <m/>
    <m/>
    <n v="5262"/>
    <s v="Email"/>
    <s v="Client Action Required"/>
    <s v="Standard"/>
    <s v="nsalzaabi"/>
    <s v="noora.alzaabi@rta.ae"/>
    <s v="Within the Service Target"/>
  </r>
  <r>
    <s v="INC000001321725"/>
    <s v="User Service Request"/>
    <s v="Mahmoud"/>
    <s v="Hassan"/>
    <s v="Software Installing Request"/>
    <d v="2026-02-25T11:39:24"/>
    <s v="Roads"/>
    <s v="RTA"/>
    <x v="7"/>
    <s v="OnSite  EUS"/>
    <s v="Ahmed Almeldeen"/>
    <s v="Incident"/>
    <s v="Self-service"/>
    <s v="Mendix"/>
    <s v="Low"/>
    <d v="2026-02-26T10:05:50"/>
    <m/>
    <s v="In Progress"/>
    <m/>
    <s v="No"/>
    <s v="mendix"/>
    <m/>
    <m/>
    <m/>
    <n v="15981"/>
    <s v="Self Service"/>
    <m/>
    <s v="Standard"/>
    <s v="malhassan"/>
    <s v="Mahmoud.Hassan@rta.ae"/>
    <s v="Within the Service Target"/>
  </r>
  <r>
    <s v="INC000001321724"/>
    <s v="User Service Restoration"/>
    <s v="Hussein"/>
    <s v="Saleh"/>
    <s v="Browser issue - keep asking for sign in"/>
    <d v="2026-02-25T11:45:30"/>
    <s v="Passengers Transport Activities Monitoring"/>
    <s v="RTA"/>
    <x v="5"/>
    <s v="Service Desk"/>
    <s v="Techm Abdalbagee Hamed"/>
    <s v="Desktop"/>
    <s v="Internet/Intranet Issues"/>
    <s v="Unable to access a specific URL(RE)"/>
    <s v="Medium"/>
    <d v="2026-02-25T11:51:34"/>
    <d v="2026-02-25T11:48:18"/>
    <s v="Resolved"/>
    <s v="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s v="No"/>
    <s v="Techm_AMHamed"/>
    <s v="Desktop"/>
    <s v="Internet / Intranet Issues"/>
    <s v="Unable To Access Specific URL"/>
    <n v="13457"/>
    <s v="Phone"/>
    <s v="USER TO CONFIRM"/>
    <s v="Standard"/>
    <s v="HSSaleh"/>
    <s v="Hussein.Saleh@rta.ae"/>
    <s v="Within the Service Target"/>
  </r>
  <r>
    <s v="INC000001321710"/>
    <s v="User Service Request"/>
    <s v="Amar"/>
    <s v="Tewari"/>
    <s v="shared folder mapping request"/>
    <d v="2026-02-25T11:29:46"/>
    <s v="Information Technology"/>
    <s v="RTA"/>
    <x v="4"/>
    <s v="Service Desk"/>
    <s v="Ismael Ismael"/>
    <s v="Desktop"/>
    <s v="Profile"/>
    <s v="Re -map a share folder(RE)"/>
    <s v="Low"/>
    <d v="2026-02-25T11:30:06"/>
    <d v="2026-02-25T11:30:04"/>
    <s v="Resolved"/>
    <s v="shared folder has been successfully mapped"/>
    <s v="No"/>
    <s v="techm_iaismael"/>
    <s v="Desktop"/>
    <s v="Profile"/>
    <s v="Re -Map Share Folder"/>
    <n v="15898"/>
    <s v="Phone"/>
    <s v="USER TO CONFIRM"/>
    <s v="Standard"/>
    <s v="antewari"/>
    <s v="Amar.Tewari@rta.ae"/>
    <s v="Within the Service Target"/>
  </r>
  <r>
    <s v="INC000001321706"/>
    <s v="User Service Restoration"/>
    <s v="Noorah"/>
    <s v="Abdulla"/>
    <s v="Laptop not charging"/>
    <d v="2026-02-25T11:25:10"/>
    <s v="Administration Services"/>
    <s v="RTA"/>
    <x v="0"/>
    <s v="OnSite  EUS"/>
    <s v="Mohamed Mustaq Ali"/>
    <s v="Incident"/>
    <s v="Self-service"/>
    <s v="Mendix"/>
    <s v="Medium"/>
    <d v="2026-02-26T09:49:19"/>
    <d v="2026-02-26T09:49:17"/>
    <s v="Resolved"/>
    <s v="The laptop charger was keeps ON while disconnect also its on after reset the laptop the charger was connected."/>
    <s v="No"/>
    <s v="mendix"/>
    <s v="Desktop"/>
    <s v="PC Hardware Issue"/>
    <s v="Power Adaptor Issue"/>
    <n v="14346"/>
    <s v="Self Service"/>
    <s v="USER TO CONFIRM"/>
    <s v="Standard"/>
    <s v="NMOAbdulla"/>
    <s v="Noorah.Abdulla@rta.ae"/>
    <s v="Within the Service Target"/>
  </r>
  <r>
    <s v="INC000001321702"/>
    <s v="User Service Request"/>
    <s v="Mahmoud"/>
    <s v="Hassan"/>
    <s v="Audio Systems"/>
    <d v="2026-02-25T11:23:01"/>
    <s v="Roads"/>
    <s v="RTA"/>
    <x v="7"/>
    <s v="Service Desk"/>
    <s v="Maitha Alhammadi"/>
    <s v="Incident"/>
    <s v="Self-service"/>
    <s v="Mendix"/>
    <s v="Low"/>
    <d v="2026-02-26T10:06:46"/>
    <m/>
    <s v="Pending"/>
    <s v="Informed the user that As per policy, Headphone is not part of ITD service catalog. Hence ITD does not provide the same.  Please note that the subject ticket will be closed."/>
    <s v="No"/>
    <s v="mendix"/>
    <m/>
    <m/>
    <m/>
    <n v="15981"/>
    <s v="Self Service"/>
    <s v="Local Site Action Required"/>
    <s v="Standard"/>
    <s v="malhassan"/>
    <s v="Mahmoud.Hassan@rta.ae"/>
    <s v="Within the Service Target"/>
  </r>
  <r>
    <s v="INC000001321693"/>
    <s v="User Service Request"/>
    <s v="Wael Abdulbari"/>
    <s v="Yaqoub"/>
    <s v="Laptop"/>
    <d v="2026-02-25T11:13:14"/>
    <s v="Roads &amp; Facilities Maintenance"/>
    <s v="RTA"/>
    <x v="7"/>
    <s v="OnSite  EUS"/>
    <s v="Techm Vipin Ravindran"/>
    <s v="Incident"/>
    <s v="Self-service"/>
    <s v="Mendix"/>
    <s v="Low"/>
    <d v="2026-02-26T10:03:29"/>
    <m/>
    <s v="Pending"/>
    <m/>
    <s v="No"/>
    <s v="mendix"/>
    <m/>
    <m/>
    <m/>
    <n v="749"/>
    <s v="Self Service"/>
    <s v="Pending for Team Lead Approval"/>
    <s v="Standard"/>
    <s v="wayaqoub"/>
    <s v="wael.yaqoub@rta.ae"/>
    <s v="Within the Service Target"/>
  </r>
  <r>
    <s v="INC000001321666"/>
    <s v="User Service Restoration"/>
    <s v="Meera"/>
    <s v="Dawood"/>
    <s v="Outlook Issue - keep asking username and password"/>
    <d v="2026-02-25T10:54:23"/>
    <s v="Security &amp; Monitoring"/>
    <s v="RTA"/>
    <x v="2"/>
    <s v="Service Desk"/>
    <s v="Techm Abdalbagee Hamed"/>
    <s v="Desktop"/>
    <s v="Mail Client Issue"/>
    <s v="Outlook Configuration Issue(RE)"/>
    <s v="Medium"/>
    <d v="2026-02-25T10:56:30"/>
    <d v="2026-02-25T10:55:47"/>
    <s v="Resolved"/>
    <s v="Old Password saved in “password vault” of user’s profile has been removed and restart outlook to take effects."/>
    <s v="No"/>
    <s v="Techm_AMHamed"/>
    <s v="Desktop"/>
    <s v="Mail Client Issue"/>
    <s v="Outlook Configuration Issue"/>
    <n v="14932"/>
    <s v="Phone"/>
    <s v="USER TO CONFIRM"/>
    <s v="Standard"/>
    <s v="madawood"/>
    <s v="Meera.Dawood@rta.ae"/>
    <s v="Within the Service Target"/>
  </r>
  <r>
    <s v="INC000001321662"/>
    <s v="User Service Restoration"/>
    <s v="Fatma"/>
    <s v="Ahli"/>
    <s v="Laptop voice/audio issues"/>
    <d v="2026-02-25T10:49:16"/>
    <s v="Customer Happiness"/>
    <s v="RTA"/>
    <x v="0"/>
    <s v="OnSite  EUS"/>
    <s v="Ali Adam"/>
    <s v="Desktop"/>
    <s v="Audio and Video"/>
    <s v="Request for AV Devices (LED/LCD TVs &amp; audio)"/>
    <s v="Medium"/>
    <d v="2026-02-25T13:18:06"/>
    <d v="2026-02-25T13:18:02"/>
    <s v="Resolved"/>
    <e v="#NAME?"/>
    <s v="No"/>
    <s v="Techm_WAHassan"/>
    <s v="Desktop"/>
    <s v="OS Issue"/>
    <s v="Device Driver Issue"/>
    <n v="15978"/>
    <s v="Phone"/>
    <s v="USER TO CONFIRM"/>
    <s v="Standard"/>
    <s v="falahli"/>
    <s v="Fatma.AlAhli@rta.ae"/>
    <s v="Within the Service Target"/>
  </r>
  <r>
    <s v="INC000001321656"/>
    <s v="User Service Request"/>
    <s v="Assil"/>
    <s v="Bittar"/>
    <s v="Outlook configuration - migrated user"/>
    <d v="2026-02-25T10:45:29"/>
    <s v="Customer Happiness"/>
    <s v="RTA"/>
    <x v="0"/>
    <s v="Service Desk"/>
    <s v="Techm Abdalbagee Hamed"/>
    <s v="Desktop"/>
    <s v="Mail"/>
    <s v="Outlook Reconfiguration(RE)"/>
    <s v="Low"/>
    <d v="2026-02-25T10:48:25"/>
    <d v="2026-02-25T10:46:05"/>
    <s v="Resolved"/>
    <s v="Educate user how to use MS authenticator app to open outlook."/>
    <s v="No"/>
    <s v="Techm_AMHamed"/>
    <s v="Desktop"/>
    <s v="Mail"/>
    <s v="Outlook Reconfiguration(RE)"/>
    <n v="2942"/>
    <s v="Phone"/>
    <s v="USER TO CONFIRM"/>
    <s v="Sensitive"/>
    <s v="asbittar"/>
    <s v="Assil.Bittar@rta.ae"/>
    <s v="Within the Service Target"/>
  </r>
  <r>
    <s v="INC000001321643"/>
    <s v="User Service Request"/>
    <s v="Avaya Amanda"/>
    <s v="Rebello"/>
    <s v="MS Office 365 activation Request"/>
    <d v="2026-02-25T10:36:05"/>
    <s v="Customer Happiness"/>
    <s v="RTA"/>
    <x v="0"/>
    <s v="Service Desk"/>
    <s v="Techm Wahbaelrahman Hassan"/>
    <s v="Desktop"/>
    <s v="RTA Non standard application  Request"/>
    <s v="MS office professional(RE)"/>
    <s v="Low"/>
    <d v="2026-02-25T10:39:38"/>
    <d v="2026-02-25T10:39:32"/>
    <s v="Resolved"/>
    <s v="MS Office 365 has been activated on the user machine successfully"/>
    <s v="No"/>
    <s v="Techm_WAHassan"/>
    <s v="Desktop"/>
    <s v="RTA Non standard application  Request"/>
    <s v="MS Office Professional"/>
    <s v="V001296"/>
    <s v="Phone"/>
    <s v="USER TO CONFIRM"/>
    <s v="Standard"/>
    <s v="Avaya_AVRebello"/>
    <s v="Avaya_Amanda.Rebello@rta.ae"/>
    <s v="Within the Service Target"/>
  </r>
  <r>
    <s v="INC000001321637"/>
    <s v="User Service Request"/>
    <s v="Fatma"/>
    <s v="Alblooshi"/>
    <s v="Configure Smart Traffic URL on Microsoft Edge"/>
    <d v="2026-02-25T10:31:44"/>
    <s v="Customer Happiness"/>
    <s v="RTA"/>
    <x v="0"/>
    <s v="Service Desk"/>
    <s v="Mohamed Alajlani"/>
    <s v="Desktop"/>
    <s v="Configuration"/>
    <s v="Profile Configuration"/>
    <s v="Low"/>
    <d v="2026-02-25T10:34:15"/>
    <d v="2026-02-25T10:32:06"/>
    <s v="Resolved"/>
    <s v="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
    <s v="No"/>
    <s v="techm_myalajlani"/>
    <s v="Desktop"/>
    <s v="Configuration"/>
    <s v="Profile Configuration"/>
    <n v="11229"/>
    <s v="Phone"/>
    <s v="USER TO CONFIRM"/>
    <s v="Standard"/>
    <s v="fmalblooshi"/>
    <s v="Fatma.Alblooshi@rta.ae"/>
    <s v="Within the Service Target"/>
  </r>
  <r>
    <s v="INC000001321632"/>
    <s v="User Service Request"/>
    <s v="Fatma"/>
    <s v="Alblooshi"/>
    <s v="Outlook configuration"/>
    <d v="2026-02-25T10:24:53"/>
    <s v="Customer Happiness"/>
    <s v="RTA"/>
    <x v="0"/>
    <s v="Service Desk"/>
    <s v="Mohamed Alajlani"/>
    <s v="Desktop"/>
    <s v="Mail"/>
    <s v="Outlook Reconfiguration(RE)"/>
    <s v="Low"/>
    <d v="2026-02-25T10:27:11"/>
    <d v="2026-02-25T10:25:51"/>
    <s v="Resolved"/>
    <s v="The Outlook has been configured successfully as requested."/>
    <s v="No"/>
    <s v="techm_myalajlani"/>
    <s v="Desktop"/>
    <s v="Mail"/>
    <s v="Outlook Reconfiguration(RE)"/>
    <n v="11229"/>
    <s v="Phone"/>
    <s v="USER TO CONFIRM"/>
    <s v="Standard"/>
    <s v="fmalblooshi"/>
    <s v="Fatma.Alblooshi@rta.ae"/>
    <s v="Within the Service Target"/>
  </r>
  <r>
    <s v="INC000001321622"/>
    <s v="User Service Request"/>
    <s v="Mohammad"/>
    <s v="Halloush"/>
    <s v="VPN Configuration Request"/>
    <d v="2026-02-25T10:10:01"/>
    <s v="Roads &amp; Facilities Maintenance"/>
    <s v="RTA"/>
    <x v="7"/>
    <s v="Service Desk"/>
    <s v="Zain Alabedein Skheih"/>
    <s v="Desktop"/>
    <s v="Configuration"/>
    <s v="VPN Configuration"/>
    <s v="Low"/>
    <d v="2026-02-25T10:12:50"/>
    <d v="2026-02-25T10:12:47"/>
    <s v="Resolved"/>
    <s v="We accessed remotely and configured the VPN for the user. Successfully connected."/>
    <s v="No"/>
    <s v="techm_ziskheih"/>
    <s v="Desktop"/>
    <s v="Configuration"/>
    <s v="VPN Configuration"/>
    <n v="15969"/>
    <s v="Phone"/>
    <s v="USER TO CONFIRM"/>
    <s v="Standard"/>
    <s v="mzhalloush"/>
    <s v="Mohammad.Halloush@rta.ae"/>
    <s v="Within the Service Target"/>
  </r>
  <r>
    <s v="INC000001321617"/>
    <s v="User Service Request"/>
    <s v="Mohammad"/>
    <s v="Halloush"/>
    <s v="Oracle Configuration Request &quot;Automation&quot;"/>
    <d v="2026-02-25T10:08:20"/>
    <s v="Roads &amp; Facilities Maintenance"/>
    <s v="RTA"/>
    <x v="7"/>
    <s v="Service Desk"/>
    <s v="Zain Alabedein Skheih"/>
    <s v="Desktop"/>
    <s v="User Education"/>
    <s v="User Education"/>
    <s v="Low"/>
    <d v="2026-02-25T10:09:14"/>
    <d v="2026-02-25T10:09:06"/>
    <s v="Resolved"/>
    <s v="We accessed remotely and guided the user on how to configure the Oracle for Automation system accessing."/>
    <s v="No"/>
    <s v="techm_ziskheih"/>
    <s v="Desktop"/>
    <s v="User Education"/>
    <s v="User Education"/>
    <n v="15969"/>
    <s v="Phone"/>
    <s v="USER TO CONFIRM"/>
    <s v="Standard"/>
    <s v="mzhalloush"/>
    <s v="Mohammad.Halloush@rta.ae"/>
    <s v="Within the Service Target"/>
  </r>
  <r>
    <s v="INC000001321614"/>
    <s v="User Service Request"/>
    <s v="Abeer"/>
    <s v="Al Bannai"/>
    <s v="User education"/>
    <d v="2026-02-25T10:06:39"/>
    <s v="Rail Operations"/>
    <s v="RTA"/>
    <x v="6"/>
    <s v="Service Desk"/>
    <s v="Techm Wahbaelrahman Hassan"/>
    <s v="Desktop"/>
    <s v="User Education"/>
    <s v="User Education"/>
    <s v="Low"/>
    <d v="2026-02-25T10:08:12"/>
    <d v="2026-02-25T10:08:10"/>
    <s v="Resolved"/>
    <s v="Guided user with resetting Adobe account password using self-service features Successfully"/>
    <s v="No"/>
    <s v="Techm_WAHassan"/>
    <s v="Desktop"/>
    <s v="User Education"/>
    <s v="User Education"/>
    <n v="9062"/>
    <s v="Phone"/>
    <s v="USER TO CONFIRM"/>
    <s v="Standard"/>
    <s v="aaalbannai"/>
    <s v="Abeer.AlBannai@RTA.ae"/>
    <s v="Within the Service Target"/>
  </r>
  <r>
    <s v="INC000001321609"/>
    <s v="User Service Restoration"/>
    <s v="Minaas"/>
    <s v="Alali"/>
    <s v="Mailbox Issue &quot;Always Full&quot;"/>
    <d v="2026-02-25T10:05:13"/>
    <s v="Human Resources &amp; Development"/>
    <s v="RTA"/>
    <x v="0"/>
    <s v="Service Desk"/>
    <s v="Zain Alabedein Skheih"/>
    <s v="Desktop"/>
    <s v="Mail Box Issue"/>
    <s v="Mail Box Full(RE)"/>
    <s v="Medium"/>
    <d v="2026-02-25T10:06:52"/>
    <d v="2026-02-25T10:06:49"/>
    <s v="Resolved"/>
    <s v="We did manual archive and rasied a ticket for Data Archival team to enable EV access."/>
    <s v="No"/>
    <s v="techm_ziskheih"/>
    <s v="Desktop"/>
    <s v="Mail Box Issue"/>
    <s v="Mail Box Full"/>
    <s v="V0033895"/>
    <s v="Phone"/>
    <s v="USER TO CONFIRM"/>
    <s v="Standard"/>
    <s v="trans_mbalali"/>
    <s v="Trans_Minaas.Alali@rta.ae"/>
    <s v="Within the Service Target"/>
  </r>
  <r>
    <s v="INC000001321604"/>
    <s v="User Service Restoration"/>
    <s v="Marwa"/>
    <s v="Marzooqi"/>
    <s v="Browser Issue &quot;Can not open Security Awarness&quot;"/>
    <d v="2026-02-25T10:00:19"/>
    <s v="Innovation &amp; Pioneering"/>
    <s v="RTA"/>
    <x v="1"/>
    <s v="Service Desk"/>
    <s v="Zain Alabedein Skheih"/>
    <s v="Desktop"/>
    <s v="RTA Standard application Incidents"/>
    <s v="MS Edge"/>
    <s v="Medium"/>
    <d v="2026-02-25T10:03:25"/>
    <d v="2026-02-25T10:01:52"/>
    <s v="Resolved"/>
    <s v="we disabled the Ivanti VPN as long as the user is connected through RTA Network then the issue got solved."/>
    <s v="No"/>
    <s v="techm_ziskheih"/>
    <s v="Desktop"/>
    <s v="RTA Standard application Incidents"/>
    <s v="Google Chrome Issue"/>
    <n v="14915"/>
    <s v="Phone"/>
    <s v="USER TO CONFIRM"/>
    <s v="Standard"/>
    <s v="mamarzooqi"/>
    <s v="Marwa.Marzooqi@rta.ae"/>
    <s v="Within the Service Target"/>
  </r>
  <r>
    <s v="INC000001321602"/>
    <s v="User Service Request"/>
    <s v="Suliman"/>
    <s v="Afaneh"/>
    <s v="Outlook configuration"/>
    <d v="2026-02-25T10:03:12"/>
    <s v="Roads"/>
    <s v="RTA"/>
    <x v="7"/>
    <s v="Service Desk"/>
    <s v="Mohamed Alajlani"/>
    <s v="Desktop"/>
    <s v="Mail"/>
    <s v="Outlook Reconfiguration(RE)"/>
    <s v="Low"/>
    <d v="2026-02-25T10:05:33"/>
    <d v="2026-02-25T10:04:30"/>
    <s v="Resolved"/>
    <s v="The PST for calendar archiving has been created successfully."/>
    <s v="No"/>
    <s v="techm_myalajlani"/>
    <s v="Desktop"/>
    <s v="Mail"/>
    <s v="Outlook Reconfiguration(RE)"/>
    <n v="15670"/>
    <s v="Phone"/>
    <s v="USER TO CONFIRM"/>
    <s v="Standard"/>
    <s v="smafaneh"/>
    <s v="Suliman.Afaneh@rta.ae"/>
    <s v="Within the Service Target"/>
  </r>
  <r>
    <s v="INC000001321599"/>
    <s v="User Service Request"/>
    <s v="Saif"/>
    <s v="Almazrooei"/>
    <s v="Airwatch access request"/>
    <d v="2026-02-25T09:55:06"/>
    <s v="Enterprise Command &amp; Control"/>
    <s v="RTA"/>
    <x v="1"/>
    <s v="OnSite  EUS"/>
    <s v="Techm Osama Abdullatif"/>
    <s v="Application"/>
    <s v="Application Access &amp; Permission"/>
    <s v="Application Access &amp; Permission"/>
    <s v="Low"/>
    <d v="2026-02-26T07:51:00"/>
    <m/>
    <s v="Pending"/>
    <m/>
    <s v="No"/>
    <s v="Techm_NRMohamed"/>
    <m/>
    <m/>
    <m/>
    <n v="12329"/>
    <s v="Email"/>
    <s v="Local Site Action Required"/>
    <s v="Standard"/>
    <s v="sgmazrooei"/>
    <s v="Saif.Almazrooei@rta.ae"/>
    <s v="Within the Service Target"/>
  </r>
  <r>
    <s v="INC000001321597"/>
    <s v="User Service Request"/>
    <s v="Jawaharali"/>
    <s v="Mohaideen"/>
    <s v="Unlock  VPN Request"/>
    <d v="2026-02-25T09:53:39"/>
    <s v="Dubai Traffic &amp; Roads CEO"/>
    <s v="RTA"/>
    <x v="7"/>
    <s v="Service Desk"/>
    <s v="Techm Wahbaelrahman Hassan"/>
    <s v="Desktop"/>
    <s v="Configuration"/>
    <s v="VPN Configuration"/>
    <s v="Low"/>
    <d v="2026-02-25T11:21:39"/>
    <d v="2026-02-25T11:21:38"/>
    <s v="Resolved"/>
    <s v="VPN has been configured on user machine successfully"/>
    <s v="No"/>
    <s v="Techm_WAHassan"/>
    <s v="Desktop"/>
    <s v="Configuration"/>
    <s v="VPN Configuration"/>
    <n v="2951"/>
    <s v="Phone"/>
    <s v="USER TO CONFIRM"/>
    <s v="Standard"/>
    <s v="jmmohaideen"/>
    <s v="Jawaharali.Mohaideen@rta.ae"/>
    <s v="Within the Service Target"/>
  </r>
  <r>
    <s v="INC000001321587"/>
    <s v="User Service Request"/>
    <s v="Abbas"/>
    <s v="Abbas"/>
    <s v="MS Office Activation Request"/>
    <d v="2026-02-25T09:47:40"/>
    <s v="Buses"/>
    <s v="RTA"/>
    <x v="5"/>
    <s v="Service Desk"/>
    <s v="Zain Alabedein Skheih"/>
    <s v="Desktop"/>
    <s v="Mail"/>
    <s v="Outlook Reconfiguration(RE)"/>
    <s v="Low"/>
    <d v="2026-02-25T09:50:14"/>
    <d v="2026-02-25T09:49:24"/>
    <s v="Resolved"/>
    <s v="We accessed remotely and configured the MS Office 365"/>
    <s v="No"/>
    <s v="techm_ziskheih"/>
    <s v="Desktop"/>
    <s v="Mail"/>
    <s v="Outlook Reconfiguration(RE)"/>
    <n v="2301"/>
    <s v="Phone"/>
    <s v="USER TO CONFIRM"/>
    <s v="Standard"/>
    <s v="afabbas"/>
    <s v="Abbas.Abbas@rta.ae"/>
    <s v="Within the Service Target"/>
  </r>
  <r>
    <s v="INC000001321581"/>
    <s v="User Service Request"/>
    <s v="Ali"/>
    <s v="Ahli"/>
    <s v="Guide user to Reset Password through Self services portal."/>
    <d v="2026-02-25T09:43:29"/>
    <s v="Assets Management"/>
    <s v="RTA"/>
    <x v="1"/>
    <s v="Service Desk"/>
    <s v="Techm Abdalbagee Hamed"/>
    <s v="Desktop"/>
    <s v="User Education"/>
    <s v="User Education"/>
    <s v="Low"/>
    <d v="2026-02-25T09:43:47"/>
    <d v="2026-02-25T09:43:44"/>
    <s v="Resolved"/>
    <s v="As per the request, SMS with Reset Password self-services URL has been shared with the user."/>
    <s v="No"/>
    <s v="Techm_AMHamed"/>
    <s v="Desktop"/>
    <s v="User Education"/>
    <s v="User Education"/>
    <n v="12598"/>
    <s v="Phone"/>
    <s v="USER TO CONFIRM"/>
    <s v="Standard"/>
    <s v="AEAhli"/>
    <s v="Ali.EAhli@rta.ae"/>
    <s v="Within the Service Target"/>
  </r>
  <r>
    <s v="INC000001321573"/>
    <s v="User Service Request"/>
    <s v="Sumiya"/>
    <s v="Alshehhi"/>
    <s v="Guide user to Reset Password through Self services portal."/>
    <d v="2026-02-25T09:36:21"/>
    <s v="Procurement"/>
    <s v="RTA"/>
    <x v="0"/>
    <s v="Service Desk"/>
    <s v="Mohamed Alajlani"/>
    <s v="Desktop"/>
    <s v="User Education"/>
    <s v="User Education"/>
    <s v="Low"/>
    <d v="2026-02-25T09:36:53"/>
    <d v="2026-02-25T09:36:38"/>
    <s v="Resolved"/>
    <s v="As per the request, SMS with Reset Password self-services URL has been shared with the user."/>
    <s v="No"/>
    <s v="techm_myalajlani"/>
    <s v="Desktop"/>
    <s v="User Education"/>
    <s v="User Education"/>
    <n v="13189"/>
    <s v="Phone"/>
    <s v="USER TO CONFIRM"/>
    <s v="Standard"/>
    <s v="SDAlshehhi"/>
    <s v="Sumiya.Alshehhi@rta.ae"/>
    <s v="Within the Service Target"/>
  </r>
  <r>
    <s v="INC000001321572"/>
    <s v="User Service Request"/>
    <s v="Salem"/>
    <s v="Alheraini"/>
    <s v="Outlook configuration"/>
    <d v="2026-02-25T09:57:14"/>
    <s v="Smart Services"/>
    <s v="RTA"/>
    <x v="4"/>
    <s v="Service Desk"/>
    <s v="Mohamed Alajlani"/>
    <s v="Desktop"/>
    <s v="Mail"/>
    <s v="Outlook Reconfiguration(RE)"/>
    <s v="Low"/>
    <d v="2026-02-25T09:59:24"/>
    <d v="2026-02-25T09:57:35"/>
    <s v="Resolved"/>
    <s v="The Outlook has been configured successfully."/>
    <s v="No"/>
    <s v="techm_myalajlani"/>
    <s v="Desktop"/>
    <s v="Mail"/>
    <s v="Outlook Reconfiguration(RE)"/>
    <s v="V0026362"/>
    <s v="Phone"/>
    <s v="USER TO CONFIRM"/>
    <s v="Standard"/>
    <s v="isoft_smalheraini"/>
    <s v="Isoft_Salem.Alheraini@rta.ae"/>
    <s v="Within the Service Target"/>
  </r>
  <r>
    <s v="INC000001321570"/>
    <s v="User Service Request"/>
    <s v="Fatima"/>
    <s v="Almulla"/>
    <s v="Guide user to Unlock Account through Self services portal."/>
    <d v="2026-02-25T11:30:59"/>
    <s v="Rail Planning &amp; Projects Development"/>
    <s v="RTA"/>
    <x v="6"/>
    <s v="Service Desk"/>
    <s v="Mohamed Alajlani"/>
    <s v="Desktop"/>
    <s v="User Education"/>
    <s v="User Education"/>
    <s v="Low"/>
    <d v="2026-02-25T11:32:03"/>
    <d v="2026-02-25T11:31:54"/>
    <s v="Resolved"/>
    <s v="The account has been unlocked successfully."/>
    <s v="No"/>
    <s v="techm_myalajlani"/>
    <s v="Desktop"/>
    <s v="User Education"/>
    <s v="User Education"/>
    <n v="14988"/>
    <s v="Phone"/>
    <s v="USER TO CONFIRM"/>
    <s v="Standard"/>
    <s v="fmohalmulla"/>
    <s v="Fatima.MAlmulla@rta.ae"/>
    <s v="Within the Service Target"/>
  </r>
  <r>
    <s v="INC000001321568"/>
    <s v="User Service Restoration"/>
    <s v="Ahmed"/>
    <s v="Hamdan"/>
    <s v="adobe acrobat pro log in issue"/>
    <d v="2026-02-25T09:28:28"/>
    <s v="Internal Audit"/>
    <s v="RTA"/>
    <x v="2"/>
    <s v="Service Desk"/>
    <s v="Ismael Ismael"/>
    <s v="Desktop"/>
    <s v="RTA Non standard application  Incidents"/>
    <s v="Adobe Acrobat Professional"/>
    <s v="Medium"/>
    <d v="2026-02-25T10:38:51"/>
    <d v="2026-02-25T10:38:47"/>
    <s v="Resolved"/>
    <s v="issue got resolved after resetting the adobe acrobat reader password"/>
    <s v="No"/>
    <s v="techm_iaismael"/>
    <s v="Desktop"/>
    <s v="RTA Non standard application  Incidents"/>
    <s v="Adobe Acrobat Professional"/>
    <n v="11870"/>
    <s v="Phone"/>
    <s v="USER TO CONFIRM"/>
    <s v="Standard"/>
    <s v="afhamdan"/>
    <s v="Ahmed.Hamdan@rta.ae"/>
    <s v="Within the Service Target"/>
  </r>
  <r>
    <s v="INC000001321565"/>
    <s v="User Service Restoration"/>
    <s v="Lana"/>
    <s v="Al-fraihat"/>
    <s v="Outlook Issue - keep asking for password"/>
    <d v="2026-02-25T09:30:47"/>
    <s v="Safety &amp; Risk Regulation and Planning"/>
    <s v="RTA"/>
    <x v="1"/>
    <s v="Service Desk"/>
    <s v="Techm Abdalbagee Hamed"/>
    <s v="Desktop"/>
    <s v="Mail Client Issue"/>
    <s v="Outlook Configuration Issue(RE)"/>
    <s v="Medium"/>
    <d v="2026-02-25T09:33:16"/>
    <d v="2026-02-25T09:33:15"/>
    <s v="Resolved"/>
    <s v="Old Passwordsaved in “password vault” of user’s profile from  windows credential option"/>
    <s v="No"/>
    <s v="Techm_AMHamed"/>
    <s v="Desktop"/>
    <s v="Mail Client Issue"/>
    <s v="Outlook Configuration Issue"/>
    <s v="V0017130"/>
    <s v="Phone"/>
    <s v="USER TO CONFIRM"/>
    <s v="Standard"/>
    <s v="reach_lbalfraihat"/>
    <s v="Reach_Lana.Alfraihat@rta.ae"/>
    <s v="Within the Service Target"/>
  </r>
  <r>
    <s v="INC000001321558"/>
    <s v="User Service Request"/>
    <s v="Yasser"/>
    <s v="Mohammed"/>
    <s v="Hardware Replacement"/>
    <d v="2026-02-25T09:13:49"/>
    <s v="Customer Happiness"/>
    <s v="RTA"/>
    <x v="0"/>
    <s v="OnSite  EUS"/>
    <s v="Ali Adam"/>
    <s v="Incident"/>
    <s v="Self-service"/>
    <s v="Mendix"/>
    <s v="Low"/>
    <d v="2026-02-25T10:23:53"/>
    <m/>
    <s v="In Progress"/>
    <m/>
    <s v="No"/>
    <s v="mendix"/>
    <m/>
    <m/>
    <m/>
    <s v="V0031255"/>
    <s v="Self Service"/>
    <m/>
    <s v="Standard"/>
    <s v="align_yfmohammed"/>
    <s v="Align_Yasser.Mohammed@rta.ae"/>
    <s v="Within the Service Target"/>
  </r>
  <r>
    <s v="INC000001321551"/>
    <s v="User Service Restoration"/>
    <s v="Ghada"/>
    <s v="AlShaiba"/>
    <s v="External Monitor Issue"/>
    <d v="2026-02-25T09:11:06"/>
    <s v="Technology Strategy &amp; Governance"/>
    <s v="RTA"/>
    <x v="4"/>
    <s v="OnSite  EUS"/>
    <s v="Techm Elsayed Mohamed"/>
    <s v="Desktop"/>
    <s v="Peripherals"/>
    <s v="Monitor"/>
    <s v="High"/>
    <d v="2026-02-25T09:33:13"/>
    <d v="2026-02-25T09:33:10"/>
    <s v="Resolved"/>
    <e v="#NAME?"/>
    <s v="Yes"/>
    <s v="Techm_WAHassan"/>
    <s v="Desktop"/>
    <s v="PC Hardware Issue"/>
    <s v="Docking Station Issue"/>
    <n v="12521"/>
    <s v="Phone"/>
    <s v="USER TO CONFIRM"/>
    <s v="Sensitive"/>
    <s v="GAAlshaiba"/>
    <s v="Ghada.Alshaiba@rta.ae"/>
    <s v="Within the Service Target"/>
  </r>
  <r>
    <s v="INC000001321540"/>
    <s v="User Service Restoration"/>
    <s v="Ammar"/>
    <s v="Alhashemi"/>
    <s v="??? ?? ???? ?????????"/>
    <d v="2026-02-25T08:57:47"/>
    <s v="Buses"/>
    <s v="RTA"/>
    <x v="5"/>
    <s v="SCCM-Nexthink Support"/>
    <s v="Upendar Kontemukkula"/>
    <s v="Incident"/>
    <s v="Self-service"/>
    <s v="Mendix"/>
    <s v="Medium"/>
    <d v="2026-02-25T09:33:51"/>
    <m/>
    <s v="In Progress"/>
    <m/>
    <s v="No"/>
    <s v="mendix"/>
    <m/>
    <m/>
    <m/>
    <n v="13217"/>
    <s v="Self Service"/>
    <m/>
    <s v="Standard"/>
    <s v="AABAlhashemi"/>
    <s v="Ammar.Alhashemi@rta.ae"/>
    <s v="Within the Service Target"/>
  </r>
  <r>
    <s v="INC000001321539"/>
    <s v="User Service Request"/>
    <s v="Imad"/>
    <s v="Khochman"/>
    <s v="Request to activate office 365 license"/>
    <d v="2026-02-25T08:59:35"/>
    <s v="Commercial Transport Activities"/>
    <s v="RTA"/>
    <x v="3"/>
    <s v="Service Desk"/>
    <s v="Techm Abdalbagee Hamed"/>
    <s v="Desktop"/>
    <s v="RTA Standard Application installation Request"/>
    <s v="MS Office Installation Request"/>
    <s v="Low"/>
    <d v="2026-02-25T09:04:01"/>
    <d v="2026-02-25T09:00:26"/>
    <s v="Resolved"/>
    <s v="Request to activate office 365 license in excel app: - Go to file. - Office account. - Sign in. - Enter username@rta.ae - Enter password. - click option to sign in to all MS apps."/>
    <s v="No"/>
    <s v="Techm_AMHamed"/>
    <s v="Desktop"/>
    <s v="RTA Standard Application installation Request"/>
    <s v="MS Office Installation Request"/>
    <s v="V0033310"/>
    <s v="Email"/>
    <s v="USER TO CONFIRM"/>
    <s v="Standard"/>
    <s v="tms_ikkhochman"/>
    <s v="Tms_Imad.Khochman@rta.ae"/>
    <s v="Within the Service Target"/>
  </r>
  <r>
    <s v="INC000001321535"/>
    <s v="User Service Restoration"/>
    <s v="Jalal"/>
    <s v="Bshart"/>
    <s v="Browser issue - not able to open automation"/>
    <d v="2026-02-25T08:54:50"/>
    <s v="Dubai Transport CEO"/>
    <s v="RTA"/>
    <x v="5"/>
    <s v="Service Desk"/>
    <s v="Techm Abdalbagee Hamed"/>
    <s v="Desktop"/>
    <s v="Internet/Intranet Issues"/>
    <s v="Unable to access a specific URL(RE)"/>
    <s v="Medium"/>
    <d v="2026-02-25T08:57:32"/>
    <d v="2026-02-25T08:56:14"/>
    <s v="Resolved"/>
    <s v="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s v="No"/>
    <s v="Techm_AMHamed"/>
    <s v="Desktop"/>
    <s v="Internet / Intranet Issues"/>
    <s v="Unable To Access Specific URL"/>
    <n v="15959"/>
    <s v="Phone"/>
    <s v="USER TO CONFIRM"/>
    <s v="Standard"/>
    <s v="jabshart"/>
    <s v="Jalal.Bshart@rta.ae"/>
    <s v="Within the Service Target"/>
  </r>
  <r>
    <s v="INC000001321533"/>
    <s v="User Service Request"/>
    <s v="Mustapha"/>
    <s v="Farran"/>
    <s v="Laptop"/>
    <d v="2026-02-25T08:47:18"/>
    <s v="Information Technology"/>
    <s v="RTA"/>
    <x v="4"/>
    <s v="OnSite  EUS"/>
    <s v="Techm Vipin Ravindran"/>
    <s v="Incident"/>
    <s v="Self-service"/>
    <s v="Mendix"/>
    <s v="Low"/>
    <d v="2026-02-26T08:09:34"/>
    <m/>
    <s v="Pending"/>
    <m/>
    <s v="No"/>
    <s v="mendix"/>
    <m/>
    <m/>
    <m/>
    <s v="V0034477"/>
    <s v="Self Service"/>
    <s v="Pending for Stocks/Spares"/>
    <s v="Standard"/>
    <s v="proxym_mhfarran"/>
    <s v="Proxym_Mustapha.Farran@rta.ae"/>
    <s v="Within the Service Target"/>
  </r>
  <r>
    <s v="INC000001321531"/>
    <s v="User Service Request"/>
    <s v="Imad"/>
    <s v="Khochman"/>
    <s v="Network Folder/ Files / Email Restoration"/>
    <d v="2026-02-25T08:44:54"/>
    <s v="Commercial Transport Activities"/>
    <s v="RTA"/>
    <x v="3"/>
    <s v="Service Desk"/>
    <s v="Techm Nabeesu Mohamed"/>
    <s v="Incident"/>
    <s v="Self-service"/>
    <s v="Mendix"/>
    <s v="Low"/>
    <d v="2026-02-26T06:53:56"/>
    <m/>
    <s v="Pending"/>
    <m/>
    <s v="No"/>
    <s v="mendix"/>
    <m/>
    <m/>
    <m/>
    <s v="V0033310"/>
    <s v="Self Service"/>
    <s v="Client Action Required"/>
    <s v="Standard"/>
    <s v="tms_ikkhochman"/>
    <s v="Tms_Imad.Khochman@rta.ae"/>
    <s v="Within the Service Target"/>
  </r>
  <r>
    <s v="INC000001321529"/>
    <s v="User Service Request"/>
    <s v="Infosys Ravi"/>
    <s v="Chalamalasetti"/>
    <s v="Software Installing Request"/>
    <d v="2026-02-25T08:38:24"/>
    <s v="Information Technology"/>
    <s v="RTA"/>
    <x v="4"/>
    <s v="Service Desk"/>
    <s v="Techm Abdalbagee Hamed"/>
    <s v="Incident"/>
    <s v="Self-service"/>
    <s v="Mendix"/>
    <s v="Low"/>
    <d v="2026-02-26T08:08:46"/>
    <m/>
    <s v="In Progress"/>
    <m/>
    <s v="No"/>
    <s v="mendix"/>
    <m/>
    <m/>
    <m/>
    <s v="V001626"/>
    <s v="Self Service"/>
    <m/>
    <s v="Standard"/>
    <s v="Infosys_RKChalamalas"/>
    <s v="Infosys_Ravi.Chalamalasetti@rta.ae"/>
    <s v="Within the Service Target"/>
  </r>
  <r>
    <s v="INC000001321526"/>
    <s v="User Service Request"/>
    <s v="Okool Ahmed"/>
    <s v="Rashwan"/>
    <s v="Guide user to Unlock Account through Self services portal."/>
    <d v="2026-02-25T08:47:14"/>
    <s v="Transportation Systems"/>
    <s v="RTA"/>
    <x v="5"/>
    <s v="Service Desk"/>
    <s v="Mohamed Alajlani"/>
    <s v="Desktop"/>
    <s v="User Education"/>
    <s v="User Education"/>
    <s v="Low"/>
    <d v="2026-02-25T08:47:43"/>
    <d v="2026-02-25T08:47:40"/>
    <s v="Resolved"/>
    <s v="As per the request, SMS with Unlock Account self-services URL has been shared with the user."/>
    <s v="No"/>
    <s v="techm_myalajlani"/>
    <s v="Desktop"/>
    <s v="User Education"/>
    <s v="User Education"/>
    <s v="V0010984"/>
    <s v="Phone"/>
    <s v="USER TO CONFIRM"/>
    <s v="Standard"/>
    <s v="okool_aarashwan"/>
    <s v="Okool_Ahmed.Rashwan@rta.ae"/>
    <s v="Within the Service Target"/>
  </r>
  <r>
    <s v="INC000001321519"/>
    <s v="User Service Request"/>
    <s v="Zeyada"/>
    <s v="Saeed"/>
    <s v="Guide user to unlock through Self services portal."/>
    <d v="2026-02-25T08:31:36"/>
    <s v="Internal Audit"/>
    <s v="RTA"/>
    <x v="2"/>
    <s v="Service Desk"/>
    <s v="Techm Abdalbagee Hamed"/>
    <s v="Desktop"/>
    <s v="User Education"/>
    <s v="User Education"/>
    <s v="Low"/>
    <d v="2026-02-25T08:34:25"/>
    <d v="2026-02-25T08:31:48"/>
    <s v="Resolved"/>
    <s v="As per the request, SMS with Unlock self-services URL has been shared with the user."/>
    <s v="No"/>
    <s v="Techm_AMHamed"/>
    <s v="Desktop"/>
    <s v="User Education"/>
    <s v="User Education"/>
    <n v="15821"/>
    <s v="Phone"/>
    <s v="USER TO CONFIRM"/>
    <s v="Standard"/>
    <s v="zbsaeed"/>
    <s v="Zeyada.Saeed@rta.ae"/>
    <s v="Within the Service Target"/>
  </r>
  <r>
    <s v="INC000001321515"/>
    <s v="User Service Restoration"/>
    <s v="Mazin"/>
    <s v="Alwash"/>
    <s v="Microsoft 365 Copilot"/>
    <d v="2026-02-25T08:14:12"/>
    <s v="Roads &amp; Facilities Maintenance"/>
    <s v="RTA"/>
    <x v="7"/>
    <s v="Service Desk"/>
    <s v="Techm Ahmed Elboshy"/>
    <s v="Incident"/>
    <s v="Self-service"/>
    <s v="Mendix"/>
    <s v="Medium"/>
    <d v="2026-02-26T07:59:29"/>
    <m/>
    <s v="Pending"/>
    <m/>
    <s v="No"/>
    <s v="mendix"/>
    <m/>
    <m/>
    <m/>
    <n v="15660"/>
    <s v="Self Service"/>
    <s v="Client Action Required"/>
    <s v="Standard"/>
    <s v="maalwash"/>
    <s v="Mazin.Alwash@rta.ae"/>
    <s v="Within the Service Target"/>
  </r>
  <r>
    <s v="INC000001321505"/>
    <s v="User Service Request"/>
    <s v="Nihad"/>
    <s v="Thiyyakandy"/>
    <s v="Software Installing Request"/>
    <d v="2026-02-25T08:03:37"/>
    <s v="Buses"/>
    <s v="RTA"/>
    <x v="5"/>
    <s v="Service Desk"/>
    <s v="Ismael Ismael"/>
    <s v="Incident"/>
    <s v="Self-service"/>
    <s v="Mendix"/>
    <s v="Low"/>
    <d v="2026-02-25T10:37:01"/>
    <d v="2026-02-25T10:36:54"/>
    <s v="Resolved"/>
    <s v="user was informed that he was already added to the MS office 365 incense group"/>
    <s v="No"/>
    <s v="mendix"/>
    <s v="Desktop"/>
    <s v="RTA Non standard application  Request"/>
    <s v="MS Office Professional"/>
    <s v="V0034622"/>
    <s v="Self Service"/>
    <s v="USER TO CONFIRM"/>
    <s v="Standard"/>
    <s v="alsahra_nmthiyyakand"/>
    <s v="Alsahra_Nihad.Thiyyakandy@rta.ae"/>
    <s v="Within the Service Target"/>
  </r>
  <r>
    <s v="INC000001321503"/>
    <s v="User Service Request"/>
    <s v="Mohamed Jaffir"/>
    <s v="Shajahan"/>
    <s v="Software Installing Request"/>
    <d v="2026-02-25T08:00:49"/>
    <s v="Transportation Systems"/>
    <s v="RTA"/>
    <x v="5"/>
    <s v="Service Desk"/>
    <s v="Techm Ghaya Hamad"/>
    <s v="Incident"/>
    <s v="Self-service"/>
    <s v="Mendix"/>
    <s v="Low"/>
    <d v="2026-02-26T08:08:30"/>
    <m/>
    <s v="In Progress"/>
    <m/>
    <s v="No"/>
    <s v="mendix"/>
    <m/>
    <m/>
    <m/>
    <s v="V0034185"/>
    <s v="Self Service"/>
    <m/>
    <s v="Standard"/>
    <s v="ebm_msshajahan"/>
    <s v="Ebm_Mohamedjaffir.Shajahan@rta.ae"/>
    <s v="Within the Service Target"/>
  </r>
  <r>
    <s v="INC000001321502"/>
    <s v="User Service Request"/>
    <s v="Ibrar"/>
    <s v="Sher"/>
    <s v="Software Installing Request"/>
    <d v="2026-02-25T07:59:49"/>
    <s v="Buses"/>
    <s v="RTA"/>
    <x v="5"/>
    <s v="Service Desk"/>
    <s v="Aryam Juma Mohammad Albasata Albasata"/>
    <s v="Incident"/>
    <s v="Self-service"/>
    <s v="Mendix"/>
    <s v="Low"/>
    <d v="2026-02-25T12:48:31"/>
    <d v="2026-02-25T12:48:29"/>
    <s v="Resolved"/>
    <s v="checked with the user User is already having an O365 license assigned"/>
    <s v="No"/>
    <s v="mendix"/>
    <s v="Desktop"/>
    <s v="RTA Non standard application  Request"/>
    <s v="MS Office 2013 Professional"/>
    <s v="V0034087"/>
    <s v="Self Service"/>
    <s v="USER TO CONFIRM"/>
    <s v="Standard"/>
    <s v="srsl_iasher"/>
    <s v="Srsl_Ibrar.Sher@rta.ae"/>
    <s v="Within the Service Target"/>
  </r>
  <r>
    <s v="INC000001321487"/>
    <s v="User Service Restoration"/>
    <s v="Kamal"/>
    <s v="Idris"/>
    <s v="Booting Issue"/>
    <d v="2026-02-25T06:35:05"/>
    <s v="Planning &amp; Business Development"/>
    <s v="RTA"/>
    <x v="5"/>
    <s v="OnSite  EUS"/>
    <s v="Ali Adam"/>
    <s v="Desktop"/>
    <s v="OS Issue"/>
    <s v="Booting Issue"/>
    <s v="Critical"/>
    <d v="2026-02-25T08:39:37"/>
    <d v="2026-02-25T08:39:33"/>
    <s v="Resolved"/>
    <e v="#NAME?"/>
    <s v="No"/>
    <s v="techm_mbsiragelnour"/>
    <s v="Desktop"/>
    <s v="OS Issue"/>
    <s v="Booting Issue"/>
    <s v="V0013246"/>
    <s v="Phone"/>
    <s v="USER TO CONFIRM"/>
    <s v="Standard"/>
    <s v="okool_kyidris"/>
    <s v="Okool_Kamal.Idris@rta.ae"/>
    <s v="Within the Service Target"/>
  </r>
  <r>
    <s v="INC000001321483"/>
    <s v="User Service Request"/>
    <s v="Akshay"/>
    <s v="Eesarapu"/>
    <s v="VPN Reset Request"/>
    <d v="2026-02-25T06:20:46"/>
    <s v="Automatic Collection Systems"/>
    <s v="RTA"/>
    <x v="4"/>
    <s v="Service Desk"/>
    <s v="Mohamed Siragelnour"/>
    <s v="Desktop"/>
    <s v="Configuration"/>
    <s v="VPN Configuration"/>
    <s v="Low"/>
    <d v="2026-02-25T23:22:20"/>
    <d v="2026-02-25T23:22:19"/>
    <s v="Resolved"/>
    <s v="Closed as per user confirmation."/>
    <s v="No"/>
    <s v="techm_mbsiragelnour"/>
    <s v="Desktop"/>
    <s v="Configuration"/>
    <s v="VPN Configuration"/>
    <s v="V0031111"/>
    <s v="Phone"/>
    <s v="USER TO CONFIRM"/>
    <s v="Standard"/>
    <s v="electronic_aeeesarap"/>
    <s v="Electronic_Akshay.Eesarapu@rta.ae"/>
    <s v="Within the Service Target"/>
  </r>
  <r>
    <s v="INC000001321482"/>
    <s v="User Service Request"/>
    <s v="Anji"/>
    <s v="Alghafeer"/>
    <s v="unlock account request"/>
    <d v="2026-02-25T06:18:48"/>
    <s v="Buses"/>
    <s v="RTA"/>
    <x v="5"/>
    <s v="Service Desk"/>
    <s v="Mohamed Siragelnour"/>
    <s v="Desktop"/>
    <s v="Profile"/>
    <s v="Account Lock Out"/>
    <s v="Low"/>
    <d v="2026-02-25T06:18:58"/>
    <d v="2026-02-25T06:18:57"/>
    <s v="Resolved"/>
    <s v="The account &quot;BSMaintenance&quot; has been unlocked successfully."/>
    <s v="No"/>
    <s v="techm_mbsiragelnour"/>
    <s v="Desktop"/>
    <s v="Profile"/>
    <s v="Account Lock Out"/>
    <s v="V0025357"/>
    <s v="Phone"/>
    <s v="USER TO CONFIRM"/>
    <s v="Standard"/>
    <s v="srsl_ahalghafeer"/>
    <s v="Srsl_Anji.Alghafeer@rta.ae"/>
    <s v="Within the Service Target"/>
  </r>
  <r>
    <s v="INC000001321475"/>
    <s v="User Service Request"/>
    <s v="Fathima"/>
    <s v="Binth Salam"/>
    <s v="Gudied user to unlock account via self-service"/>
    <d v="2026-02-25T04:43:44"/>
    <s v="Human Resources &amp; Development"/>
    <s v="RTA"/>
    <x v="0"/>
    <s v="Service Desk"/>
    <s v="Mohamed Siragelnour"/>
    <s v="Desktop"/>
    <s v="User Education"/>
    <s v="User Education"/>
    <s v="Low"/>
    <d v="2026-02-25T04:45:49"/>
    <d v="2026-02-25T04:44:12"/>
    <s v="Resolved"/>
    <s v="Gudied user to unlock account via self-service"/>
    <s v="No"/>
    <s v="techm_mbsiragelnour"/>
    <s v="Desktop"/>
    <s v="User Education"/>
    <s v="User Education"/>
    <s v="V0030591"/>
    <s v="Phone"/>
    <s v="USER TO CONFIRM"/>
    <s v="Standard"/>
    <s v="trans_fsbinthsalam"/>
    <s v="Trans_Fathima.Binthsalam@rta.ae"/>
    <s v="Within the Service Target"/>
  </r>
  <r>
    <s v="INC000001321474"/>
    <s v="User Service Request"/>
    <s v="Cyber Security Center"/>
    <s v="Alerts"/>
    <s v="CSC Alert - Scan Failure Detected - 24022026-02"/>
    <d v="2026-02-25T04:17:18"/>
    <s v="Information Security"/>
    <s v="RTA"/>
    <x v="4"/>
    <s v="OnSite  EUS"/>
    <s v="Techm Osama Abdullatif"/>
    <s v="Desktop"/>
    <s v="Proactive Monitoring"/>
    <s v="Proactive Action"/>
    <s v="Low"/>
    <d v="2026-02-25T08:26:48"/>
    <d v="2026-02-25T08:26:43"/>
    <s v="Resolved"/>
    <e v="#NAME?"/>
    <s v="No"/>
    <s v="techm_mbsiragelnour"/>
    <s v="Desktop"/>
    <s v="Proactive Monitoring"/>
    <s v="Proactive Action"/>
    <m/>
    <s v="Email"/>
    <s v="USER TO CONFIRM"/>
    <s v="Standard"/>
    <s v="socalerts"/>
    <s v="CSC.alert@rta.ae"/>
    <s v="Within the Service Target"/>
  </r>
  <r>
    <s v="INC000001321473"/>
    <s v="User Service Request"/>
    <s v="Cyber Security Center"/>
    <s v="Alerts"/>
    <s v="CSC Alert - Scan Failure Detected - 24022026-02"/>
    <d v="2026-02-25T04:17:16"/>
    <s v="Information Security"/>
    <s v="RTA"/>
    <x v="4"/>
    <s v="OnSite  EUS"/>
    <s v="Ali Adam"/>
    <s v="Desktop"/>
    <s v="Proactive Monitoring"/>
    <s v="Proactive Action"/>
    <s v="Low"/>
    <d v="2026-02-25T13:09:09"/>
    <d v="2026-02-25T13:09:08"/>
    <s v="Resolved"/>
    <s v="- C Partition has been freed by 50+ GB, Full scan started."/>
    <s v="No"/>
    <s v="techm_mbsiragelnour"/>
    <s v="Desktop"/>
    <s v="Disk Space"/>
    <s v="Low Disk Space(RE)"/>
    <m/>
    <s v="Email"/>
    <s v="USER TO CONFIRM"/>
    <s v="Standard"/>
    <s v="socalerts"/>
    <s v="CSC.alert@rta.ae"/>
    <s v="Within the Service Target"/>
  </r>
  <r>
    <s v="INC000001321430"/>
    <s v="User Service Request"/>
    <s v="Zakarya"/>
    <s v="Khelifa"/>
    <s v="Low Disk Space C Drive Full"/>
    <d v="2026-02-25T00:49:26"/>
    <s v="Buses"/>
    <s v="RTA"/>
    <x v="5"/>
    <s v="OnSite  EUS"/>
    <s v="Techm Ahmed Mahmoud"/>
    <s v="Desktop"/>
    <s v="Disk Space"/>
    <s v="Low Disk Space(RE)"/>
    <s v="Low"/>
    <d v="2026-02-26T06:53:54"/>
    <m/>
    <s v="Pending"/>
    <m/>
    <s v="No"/>
    <s v="techm_mbsiragelnour"/>
    <m/>
    <m/>
    <m/>
    <s v="V0025284"/>
    <s v="Email"/>
    <s v="Client Action Required"/>
    <s v="Standard"/>
    <s v="srsl_zkkhelifa"/>
    <s v="Srsl_Zakarya.Khelifa@rta.ae"/>
    <s v="Within the Service Target"/>
  </r>
  <r>
    <s v="INC000001321423"/>
    <s v="User Service Request"/>
    <s v="Surjeet"/>
    <s v="Samanta"/>
    <s v="Nexthink: Device error 0X133"/>
    <d v="2026-02-25T00:36:50"/>
    <s v="Information Technology"/>
    <s v="RTA"/>
    <x v="4"/>
    <s v="SCCM-Nexthink Support"/>
    <s v="Surjeet Samanta"/>
    <s v="Desktop"/>
    <s v="Proactive Monitoring"/>
    <s v="Proactive Action"/>
    <s v="Low"/>
    <d v="2026-02-25T01:03:11"/>
    <d v="2026-02-25T01:02:59"/>
    <s v="Resolved"/>
    <s v="Required registry fix has been applied to the affected PC.  No further action require"/>
    <s v="No"/>
    <s v="techm_mbsiragelnour"/>
    <s v="Desktop"/>
    <s v="Proactive Monitoring"/>
    <s v="Proactive Action"/>
    <s v="V0024624"/>
    <s v="Email"/>
    <s v="No Further Action Required"/>
    <s v="Standard"/>
    <s v="techm_sjsamanta"/>
    <s v="Techm_Surjeet.Samanta@rta.ae"/>
    <s v="Within the Service Target"/>
  </r>
  <r>
    <s v="INC000001321418"/>
    <s v="User Service Request"/>
    <s v="Stewart"/>
    <s v="Fernandes"/>
    <s v="unlock account request"/>
    <d v="2026-02-24T23:41:23"/>
    <s v="Enterprise Command &amp; Control"/>
    <s v="RTA"/>
    <x v="1"/>
    <s v="Service Desk"/>
    <s v="Mohamed Siragelnour"/>
    <s v="Desktop"/>
    <s v="Profile"/>
    <s v="Account Lock Out"/>
    <s v="Low"/>
    <d v="2026-02-24T23:43:28"/>
    <d v="2026-02-24T23:41:41"/>
    <s v="Resolved"/>
    <s v="The account &quot;ec3 itservicedesk&quot; has been unlocked successfully."/>
    <s v="No"/>
    <s v="techm_mbsiragelnour"/>
    <s v="Desktop"/>
    <s v="Profile"/>
    <s v="Account Lock Out"/>
    <s v="V0029932"/>
    <s v="Phone"/>
    <s v="USER TO CONFIRM"/>
    <s v="Standard"/>
    <s v="cns_sffernandes"/>
    <s v="Cns_Stewart.Fernandes@rta.ae"/>
    <s v="Within the Service Target"/>
  </r>
  <r>
    <s v="INC000001321306"/>
    <s v="User Service Request"/>
    <s v="Ayesha"/>
    <s v="Almheiri"/>
    <s v="AV Update request ( VPN )"/>
    <d v="2026-02-24T22:31:02"/>
    <s v="Roads &amp; Facilities Maintenance"/>
    <s v="RTA"/>
    <x v="7"/>
    <s v="Service Desk"/>
    <s v="Techm Omer Mohamed"/>
    <s v="Desktop"/>
    <s v="AV Update ( Antivirus)"/>
    <s v="AV Definition Update"/>
    <s v="Low"/>
    <d v="2026-02-24T22:39:11"/>
    <d v="2026-02-24T22:39:09"/>
    <s v="Resolved"/>
    <s v="Antivirus has been updated and VPN connected and working fine ."/>
    <s v="No"/>
    <s v="Techm_OFMohamed"/>
    <s v="Desktop"/>
    <s v="AV Update ( Antivirus)"/>
    <s v="AV Definition Update"/>
    <n v="14364"/>
    <s v="Phone"/>
    <s v="USER TO CONFIRM"/>
    <s v="Standard"/>
    <s v="AHAAlmheiri"/>
    <s v="Ayesha.HaAlmheiri@rta.ae"/>
    <s v="Within the Service Target"/>
  </r>
  <r>
    <s v="INC000001321305"/>
    <s v="User Service Request"/>
    <s v="Abdulrahman"/>
    <s v="Jumaa"/>
    <s v="Request to reset and reconfigure Oracle Authenticator"/>
    <d v="2026-02-24T22:29:47"/>
    <s v="Technology Strategy &amp; Governance"/>
    <s v="RTA"/>
    <x v="4"/>
    <s v="Service Desk"/>
    <s v="Techm Omer Mohamed"/>
    <s v="Desktop"/>
    <s v="User Education"/>
    <s v="User Education"/>
    <s v="Low"/>
    <d v="2026-02-24T22:38:31"/>
    <d v="2026-02-24T22:38:29"/>
    <s v="Resolved"/>
    <s v="Oracle Authenticator reset and reconfigured ."/>
    <s v="No"/>
    <s v="Techm_OFMohamed"/>
    <s v="Desktop"/>
    <s v="User Education"/>
    <s v="User Education"/>
    <n v="11843"/>
    <s v="Phone"/>
    <s v="USER TO CONFIRM"/>
    <s v="Standard"/>
    <s v="amjumaa"/>
    <s v="Abdulrahman.Jumaa@rta.ae"/>
    <s v="Within the Service Target"/>
  </r>
  <r>
    <s v="INC000001321304"/>
    <s v="User Service Restoration"/>
    <s v="Abdallah"/>
    <s v="Alhamadi"/>
    <s v="Intranet pop up issue"/>
    <d v="2026-02-24T22:28:26"/>
    <s v="Licensing Activities Monitoring"/>
    <s v="RTA"/>
    <x v="3"/>
    <s v="Service Desk"/>
    <s v="Techm Omer Mohamed"/>
    <s v="Desktop"/>
    <s v="Internet/Intranet Issues"/>
    <s v="Internet POP UP(RE)"/>
    <s v="Medium"/>
    <d v="2026-02-24T22:37:56"/>
    <d v="2026-02-24T22:37:52"/>
    <s v="Resolved"/>
    <e v="#NAME?"/>
    <s v="No"/>
    <s v="Techm_OFMohamed"/>
    <s v="Desktop"/>
    <s v="Internet / Intranet Issues"/>
    <s v="Internet POP UP"/>
    <s v="V0031559"/>
    <s v="Phone"/>
    <s v="USER TO CONFIRM"/>
    <s v="Standard"/>
    <s v="okool_aialhamadi"/>
    <s v="Okool_Abdallah.Alhamadi@rta.ae"/>
    <s v="Within the Service Target"/>
  </r>
  <r>
    <s v="INC000001321251"/>
    <s v="User Service Request"/>
    <s v="Nasser"/>
    <s v="Raisi"/>
    <s v="VPN configuration Request"/>
    <d v="2026-02-24T17:06:45"/>
    <s v="Licensing Activities Monitoring"/>
    <s v="RTA"/>
    <x v="3"/>
    <s v="Service Desk"/>
    <s v="Techm Omer Mohamed"/>
    <s v="Desktop"/>
    <s v="Configuration"/>
    <s v="VPN Configuration"/>
    <s v="Low"/>
    <d v="2026-02-24T17:11:41"/>
    <d v="2026-02-24T17:11:36"/>
    <s v="Resolved"/>
    <s v="VPN has been configured and connected successfully"/>
    <s v="No"/>
    <s v="Techm_OFMohamed"/>
    <s v="Desktop"/>
    <s v="Configuration"/>
    <s v="VPN Configuration"/>
    <n v="5448"/>
    <s v="Phone"/>
    <s v="USER TO CONFIRM"/>
    <s v="Standard"/>
    <s v="nsraisi"/>
    <s v="Nasser.Raisi@rta.ae"/>
    <s v="Within the Service Target"/>
  </r>
  <r>
    <s v="INC000001321248"/>
    <s v="User Service Request"/>
    <s v="Mohamed"/>
    <s v="Essa Al Rowaished"/>
    <s v="Data transfer request"/>
    <d v="2026-02-24T16:56:50"/>
    <s v="Procurement"/>
    <s v="RTA"/>
    <x v="0"/>
    <s v="OnSite  EUS"/>
    <s v="Solaiman Alhussni"/>
    <s v="Desktop"/>
    <s v="Profile"/>
    <s v="Permission Request(RE)"/>
    <s v="Low"/>
    <d v="2026-02-26T06:53:54"/>
    <m/>
    <s v="Pending"/>
    <m/>
    <s v="No"/>
    <s v="Techm_OFMohamed"/>
    <m/>
    <m/>
    <m/>
    <n v="2679"/>
    <s v="Email"/>
    <s v="Client Action Required"/>
    <s v="Sensitive"/>
    <s v="MERowaished"/>
    <s v="Mohamed.AlRowaished@Rta.ae"/>
    <s v="Within the Service Target"/>
  </r>
  <r>
    <s v="INC000001321239"/>
    <s v="User Service Request"/>
    <s v="Latifa"/>
    <s v="Alaleeli"/>
    <s v="Laptop"/>
    <d v="2026-02-24T15:55:32"/>
    <s v="Traffic"/>
    <s v="RTA"/>
    <x v="7"/>
    <s v="OnSite  EUS"/>
    <s v="Techm Vipin Ravindran"/>
    <s v="Incident"/>
    <s v="Self-service"/>
    <s v="Mendix"/>
    <s v="Low"/>
    <d v="2026-02-26T08:09:29"/>
    <m/>
    <s v="Pending"/>
    <m/>
    <s v="No"/>
    <s v="mendix"/>
    <m/>
    <m/>
    <m/>
    <n v="14914"/>
    <s v="Self Service"/>
    <s v="Pending for Stocks/Spares"/>
    <s v="Standard"/>
    <s v="laalaleeli"/>
    <s v="Latifa.Alaleeli@rta.ae"/>
    <s v="Within the Service Target"/>
  </r>
  <r>
    <s v="INC000001321224"/>
    <s v="User Service Restoration"/>
    <s v="Mona"/>
    <s v="Alamari"/>
    <s v="CRM login Issue"/>
    <d v="2026-02-24T14:51:05"/>
    <s v="Customer Happiness"/>
    <s v="RTA"/>
    <x v="0"/>
    <s v="Service Desk"/>
    <s v="Techm Ghaya Hamad"/>
    <s v="Desktop"/>
    <s v="Internet/Intranet Issues"/>
    <s v="Unable to access a specific URL(RE)"/>
    <s v="Medium"/>
    <d v="2026-02-24T14:54:12"/>
    <d v="2026-02-24T14:54:10"/>
    <s v="Resolved"/>
    <s v="Guide user to login RTA email Mona.Alamari@RTA.ae"/>
    <s v="No"/>
    <s v="Techm_GAHamad"/>
    <s v="Desktop"/>
    <s v="Internet / Intranet Issues"/>
    <s v="Unable To Access Specific URL"/>
    <n v="5392"/>
    <s v="Phone"/>
    <s v="USER TO CONFIRM"/>
    <s v="Sensitive"/>
    <s v="mmalamari"/>
    <s v="Mona.Alamari@RTA.ae"/>
    <s v="Within the Service Target"/>
  </r>
  <r>
    <s v="INC000001321222"/>
    <s v="User Service Request"/>
    <s v="Mohamed"/>
    <s v="Abdelhalim Elghannam"/>
    <s v="Unlock generic account Request"/>
    <d v="2026-02-24T14:48:03"/>
    <s v="Buses"/>
    <s v="RTA"/>
    <x v="5"/>
    <s v="Service Desk"/>
    <s v="Techm Ghaya Hamad"/>
    <s v="Desktop"/>
    <s v="Profile"/>
    <s v="Account Lock Out"/>
    <s v="Low"/>
    <d v="2026-02-24T14:50:45"/>
    <d v="2026-02-24T14:49:06"/>
    <s v="Resolved"/>
    <s v="Unlocked generic account (BSMaintenance) has been done"/>
    <s v="No"/>
    <s v="Techm_GAHamad"/>
    <s v="Desktop"/>
    <s v="Profile"/>
    <s v="Account Lock Out"/>
    <s v="V0025214"/>
    <s v="Phone"/>
    <s v="USER TO CONFIRM"/>
    <s v="Standard"/>
    <s v="srsl_miabdelhalimelg"/>
    <s v="Srsl_Mohamed.Abdelhalimelghannam@rta.ae"/>
    <s v="Within the Service Target"/>
  </r>
  <r>
    <s v="INC000001321219"/>
    <s v="User Service Request"/>
    <s v="Mohamed"/>
    <s v="Ali"/>
    <s v="Enable location setting Request"/>
    <d v="2026-02-24T14:39:06"/>
    <s v="Drivers Affairs"/>
    <s v="RTA"/>
    <x v="5"/>
    <s v="Service Desk"/>
    <s v="Techm Ghaya Hamad"/>
    <s v="Application"/>
    <s v="Application Services"/>
    <s v="Application Modification / Enhancement Request"/>
    <s v="Low"/>
    <d v="2026-02-24T14:42:25"/>
    <d v="2026-02-24T14:42:24"/>
    <s v="Resolved"/>
    <s v="Location has been enabled &amp; user is able to punch out"/>
    <s v="No"/>
    <s v="Techm_GAHamad"/>
    <s v="Application"/>
    <s v="Application Services"/>
    <s v="Application Modification / Enhancement Request"/>
    <s v="V0025011"/>
    <s v="Phone"/>
    <s v="USER TO CONFIRM"/>
    <s v="Standard"/>
    <s v="epic_mamali"/>
    <s v="Epic_Mohamed.Ali@rta.ae"/>
    <s v="Within the Service Target"/>
  </r>
  <r>
    <s v="INC000001321211"/>
    <s v="User Service Restoration"/>
    <s v="Aisha"/>
    <s v="Ali"/>
    <s v="EV Issue"/>
    <d v="2026-02-24T14:23:11"/>
    <s v="Finance"/>
    <s v="RTA"/>
    <x v="0"/>
    <s v="Service Desk"/>
    <s v="Techm Ghaya Hamad"/>
    <s v="Desktop"/>
    <s v="Mail"/>
    <s v="Enterprise Vault"/>
    <s v="Medium"/>
    <d v="2026-02-24T14:34:09"/>
    <d v="2026-02-24T14:33:58"/>
    <s v="Resolved"/>
    <s v="Enable EV in outlook add-ins setting"/>
    <s v="No"/>
    <s v="Techm_GAHamad"/>
    <s v="Desktop"/>
    <s v="Mail"/>
    <s v="Enterprise Vault"/>
    <n v="15414"/>
    <s v="Phone"/>
    <s v="USER TO CONFIRM"/>
    <s v="Standard"/>
    <s v="asaiali"/>
    <s v="Aisha.SAli@rta.ae"/>
    <s v="Within the Service Target"/>
  </r>
  <r>
    <s v="INC000001321208"/>
    <s v="User Service Restoration"/>
    <s v="Abeer"/>
    <s v="Al Bannai"/>
    <s v="Locked account Issue"/>
    <d v="2026-02-24T14:18:15"/>
    <s v="Rail Operations"/>
    <s v="RTA"/>
    <x v="6"/>
    <s v="Service Desk"/>
    <s v="Techm Ghaya Hamad"/>
    <s v="Desktop"/>
    <s v="Profile"/>
    <s v="Account Lock Out"/>
    <s v="Medium"/>
    <d v="2026-02-24T14:30:29"/>
    <d v="2026-02-24T14:30:23"/>
    <s v="Resolved"/>
    <s v="Old password has been removed from credential manager"/>
    <s v="No"/>
    <s v="Techm_GAHamad"/>
    <s v="Desktop"/>
    <s v="Profile"/>
    <s v="Account Lock Out"/>
    <n v="9062"/>
    <s v="Phone"/>
    <s v="USER TO CONFIRM"/>
    <s v="Standard"/>
    <s v="aaalbannai"/>
    <s v="Abeer.AlBannai@RTA.ae"/>
    <s v="Within the Service Target"/>
  </r>
  <r>
    <s v="INC000001321206"/>
    <s v="User Service Request"/>
    <s v="Sara"/>
    <s v="Marzooq"/>
    <s v="Unlock account Request"/>
    <d v="2026-02-24T14:16:51"/>
    <s v="Customer Happiness"/>
    <s v="RTA"/>
    <x v="0"/>
    <s v="Service Desk"/>
    <s v="Techm Ghaya Hamad"/>
    <s v="Desktop"/>
    <s v="Profile"/>
    <s v="Account Lock Out"/>
    <s v="Low"/>
    <d v="2026-02-24T14:29:20"/>
    <d v="2026-02-24T14:29:16"/>
    <s v="Resolved"/>
    <s v="Unlocked account has been done. User faced multiply times locked account"/>
    <s v="No"/>
    <s v="Techm_GAHamad"/>
    <s v="Desktop"/>
    <s v="Profile"/>
    <s v="Account Lock Out"/>
    <n v="11368"/>
    <s v="Phone"/>
    <s v="USER TO CONFIRM"/>
    <s v="Standard"/>
    <s v="symarzooq"/>
    <s v="Sara.Marzooq@rta.ae"/>
    <s v="Within the Service Target"/>
  </r>
  <r>
    <s v="INC000001321202"/>
    <s v="User Service Restoration"/>
    <s v="Fatima"/>
    <s v="Al Hammadi"/>
    <s v="System Performance Issue"/>
    <d v="2026-02-24T14:06:00"/>
    <s v="Marketing &amp; Corporate Communication"/>
    <s v="RTA"/>
    <x v="0"/>
    <s v="Service Desk"/>
    <s v="Mohamed Alajlani"/>
    <s v="Desktop"/>
    <s v="OS Issue"/>
    <s v="Startup Error Message"/>
    <s v="Medium"/>
    <d v="2026-02-24T14:12:30"/>
    <d v="2026-02-24T14:11:39"/>
    <s v="Resolved"/>
    <s v="The issue was resolved after removing the temporary files, running the disk cleanup process, and fixing the OS issue using the command DISM /Online /Cleanup-Image /RestoreHealth."/>
    <s v="No"/>
    <s v="techm_myalajlani"/>
    <s v="Desktop"/>
    <s v="OS Issue"/>
    <s v="Startup Error Message"/>
    <n v="12215"/>
    <s v="Phone"/>
    <s v="USER TO CONFIRM"/>
    <s v="Standard"/>
    <s v="fahalhammadi"/>
    <s v="fatima.alhammadi@rta.ae"/>
    <s v="Within the Service Target"/>
  </r>
  <r>
    <s v="INC000001321194"/>
    <s v="User Service Restoration"/>
    <s v="Fatima"/>
    <s v="Al Hammadi"/>
    <s v="Booting Issue"/>
    <d v="2026-02-24T13:56:03"/>
    <s v="Marketing &amp; Corporate Communication"/>
    <s v="RTA"/>
    <x v="0"/>
    <s v="OnSite  EUS"/>
    <s v="Ali Adam"/>
    <s v="Desktop"/>
    <s v="OS Issue"/>
    <s v="Booting Issue"/>
    <s v="Critical"/>
    <d v="2026-02-24T14:04:33"/>
    <d v="2026-02-24T14:04:29"/>
    <s v="Resolved"/>
    <s v="- The laptop is already restarted automatically after the update and it's working fine now."/>
    <s v="No"/>
    <s v="techm_myalajlani"/>
    <s v="Desktop"/>
    <s v="OS Issue"/>
    <s v="Booting Issue"/>
    <n v="12215"/>
    <s v="Phone"/>
    <s v="USER TO CONFIRM"/>
    <s v="Standard"/>
    <s v="fahalhammadi"/>
    <s v="fatima.alhammadi@rta.ae"/>
    <s v="Within the Service Target"/>
  </r>
  <r>
    <s v="INC000001321175"/>
    <s v="User Service Restoration"/>
    <s v="Hasa"/>
    <s v="Albalushi"/>
    <s v="Intranet Browse Issue"/>
    <d v="2026-02-24T13:26:31"/>
    <s v="Roads &amp; Facilities Maintenance"/>
    <s v="RTA"/>
    <x v="7"/>
    <s v="Service Desk"/>
    <s v="Techm Wahbaelrahman Hassan"/>
    <s v="Desktop"/>
    <s v="Internet/Intranet Issues"/>
    <s v="Intranet issues(RE)"/>
    <s v="Medium"/>
    <d v="2026-02-24T13:30:19"/>
    <d v="2026-02-24T13:30:17"/>
    <s v="Resolved"/>
    <e v="#NAME?"/>
    <s v="No"/>
    <s v="Techm_WAHassan"/>
    <s v="Desktop"/>
    <s v="Internet / Intranet Issues"/>
    <s v="Intranet Issues"/>
    <n v="15173"/>
    <s v="Phone"/>
    <s v="USER TO CONFIRM"/>
    <s v="Standard"/>
    <s v="haalbalushi"/>
    <s v="Hasa.Albalushi@rta.ae"/>
    <s v="Within the Service Target"/>
  </r>
  <r>
    <s v="INC000001321174"/>
    <s v="User Service Restoration"/>
    <s v="Sulaiman"/>
    <s v="Almasalheh"/>
    <s v="PC Slowness Issue"/>
    <d v="2026-02-24T13:25:21"/>
    <s v="Intelligent Traffic System"/>
    <s v="RTA"/>
    <x v="7"/>
    <s v="Service Desk"/>
    <s v="Techm Wahbaelrahman Hassan"/>
    <s v="Desktop"/>
    <s v="OS Issue"/>
    <s v="PC Slowness Issue"/>
    <s v="Medium"/>
    <d v="2026-02-24T13:35:13"/>
    <d v="2026-02-24T13:35:08"/>
    <s v="Resolved"/>
    <s v="- Run disk cleanup utility / cleared all temporary files and temporary internet files and cookies. - Check event viewer logs. - C Drive is having free space and functioning well - Deleted Tepm files  - %tepm%"/>
    <s v="No"/>
    <s v="Techm_WAHassan"/>
    <s v="Desktop"/>
    <s v="OS Issue"/>
    <s v="PC Slowness Issue"/>
    <n v="15538"/>
    <s v="Phone"/>
    <s v="USER TO CONFIRM"/>
    <s v="Standard"/>
    <s v="sahalmasalheh"/>
    <s v="Sulaiman.AAlmasalheh@rta.ae"/>
    <s v="Within the Service Target"/>
  </r>
  <r>
    <s v="INC000001321160"/>
    <s v="User Service Restoration"/>
    <s v="Sriranjini"/>
    <s v="Radhakrishnan"/>
    <s v="Email Error"/>
    <d v="2026-02-24T13:13:49"/>
    <s v="Finance"/>
    <s v="RTA"/>
    <x v="0"/>
    <s v="Service Desk"/>
    <s v="Techm Ghaya Hamad"/>
    <s v="Incident"/>
    <s v="Self-service"/>
    <s v="Mendix"/>
    <s v="Medium"/>
    <d v="2026-02-26T06:53:53"/>
    <m/>
    <s v="Pending"/>
    <m/>
    <s v="No"/>
    <s v="mendix"/>
    <m/>
    <m/>
    <m/>
    <n v="15070"/>
    <s v="Self Service"/>
    <s v="Client Action Required"/>
    <s v="Standard"/>
    <s v="srradhakrishnan"/>
    <s v="Sriranjini.Radhakrishnan@rta.ae"/>
    <s v="Within the Service Target"/>
  </r>
  <r>
    <s v="INC000001321155"/>
    <s v="User Service Restoration"/>
    <s v="Nihad"/>
    <s v="Mozayek"/>
    <s v="Virus Issue"/>
    <d v="2026-02-24T13:08:22"/>
    <s v="Information Technology"/>
    <s v="RTA"/>
    <x v="4"/>
    <s v="Service Desk"/>
    <s v="Techm Ahmed Elboshy"/>
    <s v="Desktop"/>
    <s v="Virus Issue"/>
    <s v="Virus issue"/>
    <s v="Critical"/>
    <d v="2026-02-26T06:53:53"/>
    <m/>
    <s v="Pending"/>
    <m/>
    <s v="No"/>
    <s v="techm_maalneil"/>
    <m/>
    <m/>
    <m/>
    <s v="V0031936"/>
    <s v="Email"/>
    <s v="Client Action Required"/>
    <s v="Standard"/>
    <s v="techm_nmmozayek"/>
    <s v="Techm_Nihad.Mozayek@rta.ae"/>
    <s v="Within the Service Target"/>
  </r>
  <r>
    <s v="INC000001321152"/>
    <s v="User Service Request"/>
    <s v="Fatima"/>
    <s v="Alblooshi"/>
    <s v="Software Installing Request"/>
    <d v="2026-02-24T13:03:39"/>
    <s v="Buildings &amp; Facilities"/>
    <s v="RTA"/>
    <x v="0"/>
    <s v="Service Desk"/>
    <s v="Techm Wahbaelrahman Hassan"/>
    <s v="Incident"/>
    <s v="Self-service"/>
    <s v="Mendix"/>
    <s v="Low"/>
    <d v="2026-02-26T10:02:01"/>
    <m/>
    <s v="Pending"/>
    <m/>
    <s v="No"/>
    <s v="mendix"/>
    <m/>
    <m/>
    <m/>
    <n v="13491"/>
    <s v="Self Service"/>
    <s v="Pending for Team Lead Approval"/>
    <s v="Standard"/>
    <s v="FAAlblooshi"/>
    <s v="Fatima.Alblooshi@rta.ae"/>
    <s v="Within the Service Target"/>
  </r>
  <r>
    <s v="INC000001321136"/>
    <s v="User Service Request"/>
    <s v="Ahmed"/>
    <s v="Abdallah"/>
    <s v="Guide user to Reset Password through Self services portal."/>
    <d v="2026-02-24T12:45:33"/>
    <s v="Buses"/>
    <s v="RTA"/>
    <x v="5"/>
    <s v="Service Desk"/>
    <s v="Mohamed Alajlani"/>
    <s v="Desktop"/>
    <s v="User Education"/>
    <s v="User Education"/>
    <s v="Low"/>
    <d v="2026-02-24T12:45:54"/>
    <d v="2026-02-24T12:45:47"/>
    <s v="Resolved"/>
    <s v="As per the request, SMS with Reset Password self-services URL has been shared with the user."/>
    <s v="No"/>
    <s v="techm_myalajlani"/>
    <s v="Desktop"/>
    <s v="User Education"/>
    <s v="User Education"/>
    <n v="3635"/>
    <s v="Phone"/>
    <s v="USER TO CONFIRM"/>
    <s v="Standard"/>
    <s v="aiabdallah"/>
    <s v="ahmed.abdallah@rta.ae"/>
    <s v="Within the Service Target"/>
  </r>
  <r>
    <s v="INC000001321122"/>
    <s v="User Service Request"/>
    <s v="Vanessa"/>
    <s v="Soriano"/>
    <s v="To provide the owner detail for the asset"/>
    <d v="2026-02-24T12:38:25"/>
    <s v="Human Resources &amp; Development"/>
    <s v="RTA"/>
    <x v="0"/>
    <s v="Service Desk"/>
    <s v="Techm Nabeesu Mohamed"/>
    <s v="Desktop"/>
    <s v="Others"/>
    <s v="Reports"/>
    <s v="Low"/>
    <d v="2026-02-26T08:03:07"/>
    <m/>
    <s v="Pending"/>
    <m/>
    <s v="No"/>
    <s v="Techm_NRMohamed"/>
    <m/>
    <m/>
    <m/>
    <s v="V0030410"/>
    <s v="Email"/>
    <s v="Client Action Required"/>
    <s v="Standard"/>
    <s v="trans_visoriano"/>
    <s v="Trans_Vanessa.Soriano@rta.ae"/>
    <s v="Within the Service Target"/>
  </r>
  <r>
    <s v="INC000001321093"/>
    <s v="User Service Restoration"/>
    <s v="Yousuf"/>
    <s v="Alyahya"/>
    <s v="E traffic Issue"/>
    <d v="2026-02-24T11:35:46"/>
    <s v="Customer Happiness"/>
    <s v="RTA"/>
    <x v="0"/>
    <s v="OnSite  EUS"/>
    <s v="Techm Osama Abdullatif"/>
    <s v="Desktop"/>
    <s v="RTA Standard application Incidents"/>
    <s v="E TRAFFIC Issue"/>
    <s v="Medium"/>
    <d v="2026-02-24T12:10:09"/>
    <d v="2026-02-24T12:10:08"/>
    <s v="Resolved"/>
    <s v="- After checking found the issue is with Java. - Reset Java settings, - Cleared the IE / Edge history. - Reinstalled Java. - Reconfigured IE mode. checked and works fine."/>
    <s v="No"/>
    <s v="Techm_OFAbdullatif"/>
    <s v="Desktop"/>
    <s v="RTA Standard application Incidents"/>
    <s v="E-Traffic Issue"/>
    <n v="15938"/>
    <s v="Web"/>
    <s v="USER TO CONFIRM"/>
    <s v="Standard"/>
    <s v="yaalyahya"/>
    <s v="Yousuf.Alyahya@rta.ae"/>
    <s v="Within the Service Target"/>
  </r>
  <r>
    <s v="INC000001321092"/>
    <s v="User Service Request"/>
    <s v="Tahera"/>
    <s v="Al Jasmi"/>
    <s v="Request for Windows profile configuration "/>
    <d v="2026-02-24T11:33:25"/>
    <s v="Customer Happiness"/>
    <s v="RTA"/>
    <x v="0"/>
    <s v="OnSite  EUS"/>
    <s v="Techm Osama Abdullatif"/>
    <s v="Desktop"/>
    <s v="Configuration"/>
    <s v="Profile Configuration"/>
    <s v="Low"/>
    <d v="2026-02-24T12:33:42"/>
    <d v="2026-02-24T12:33:33"/>
    <s v="Resolved"/>
    <s v="Configured the user's profile as requested."/>
    <s v="No"/>
    <s v="Techm_OFAbdullatif"/>
    <s v="Desktop"/>
    <s v="Configuration"/>
    <s v="Profile Configuration"/>
    <s v="V0031254"/>
    <s v="Web"/>
    <s v="USER TO CONFIRM"/>
    <s v="Standard"/>
    <s v="align_taaljasmi"/>
    <s v="Align_Tahera.Aljasmi@rta.ae"/>
    <s v="Within the Service Target"/>
  </r>
  <r>
    <s v="INC000001321091"/>
    <s v="User Service Request"/>
    <s v="Jasim"/>
    <s v="Kashwani"/>
    <s v="Printer configuration request"/>
    <d v="2026-02-24T11:32:45"/>
    <s v="Customer Happiness"/>
    <s v="RTA"/>
    <x v="0"/>
    <s v="OnSite  EUS"/>
    <s v="Techm Osama Abdullatif"/>
    <s v="Printer"/>
    <s v="Configuration"/>
    <s v="Printer  re-configuration(RE)"/>
    <s v="Low"/>
    <d v="2026-02-24T12:22:42"/>
    <d v="2026-02-24T12:22:41"/>
    <s v="Resolved"/>
    <s v="configured the paper printer as a default printer for the user."/>
    <s v="No"/>
    <s v="Techm_OFAbdullatif"/>
    <s v="Printer"/>
    <s v="Configuration"/>
    <s v="Printer Re-Configuration(RE)"/>
    <n v="7126"/>
    <s v="Web"/>
    <s v="USER TO CONFIRM"/>
    <s v="Standard"/>
    <s v="jmkashwani"/>
    <s v="Jasim.Kashwani@rta.ae"/>
    <s v="Within the Service Target"/>
  </r>
  <r>
    <s v="INC000001321083"/>
    <s v="User Service Restoration"/>
    <s v="Yousef"/>
    <s v="Al Wazani"/>
    <s v="Adobe Acrobat Pro Issue"/>
    <d v="2026-02-24T11:24:30"/>
    <s v="Internal Audit"/>
    <s v="RTA"/>
    <x v="2"/>
    <s v="Service Desk"/>
    <s v="Zain Alabedein Skheih"/>
    <s v="Desktop"/>
    <s v="RTA Non standard application  Incidents"/>
    <s v="Adobe Acrobat Professional"/>
    <s v="Medium"/>
    <d v="2026-02-24T11:27:18"/>
    <d v="2026-02-24T11:25:43"/>
    <s v="Resolved"/>
    <s v="we set the Adobe Acrobat as a default app and we installed the latest updates for it."/>
    <s v="No"/>
    <s v="techm_ziskheih"/>
    <s v="Desktop"/>
    <s v="RTA Non standard application  Incidents"/>
    <s v="Adobe Acrobat Professional"/>
    <n v="6190"/>
    <s v="Phone"/>
    <s v="USER TO CONFIRM"/>
    <s v="Standard"/>
    <s v="ykalwazani"/>
    <s v="yousef.alwazani@rta.ae"/>
    <s v="Within the Service Target"/>
  </r>
  <r>
    <s v="INC000001321074"/>
    <s v="User Service Request"/>
    <s v="Ahmad"/>
    <s v="Hassiba"/>
    <s v="Request to confirm if the below New user (Alia) has access of CLS role"/>
    <d v="2026-02-24T11:19:31"/>
    <s v="Commercial Transport Activities"/>
    <s v="RTA"/>
    <x v="3"/>
    <s v="Service Desk"/>
    <s v="Muhammed Alneil"/>
    <s v="Application"/>
    <s v="Application Services"/>
    <m/>
    <s v="Low"/>
    <d v="2026-02-26T09:13:28"/>
    <m/>
    <s v="In Progress"/>
    <m/>
    <s v="No"/>
    <s v="techm_maalneil"/>
    <s v="Application Services"/>
    <m/>
    <m/>
    <n v="15040"/>
    <s v="Email"/>
    <m/>
    <s v="Standard"/>
    <s v="aahassiba"/>
    <s v="Ahmad.Hassiba@rta.ae"/>
    <s v="Within the Service Target"/>
  </r>
  <r>
    <s v="INC000001321073"/>
    <s v="User Service Request"/>
    <s v="Khulood"/>
    <s v="Alali"/>
    <s v="Asset collection_Deira CHC"/>
    <d v="2026-02-24T11:19:06"/>
    <s v="Customer Happiness"/>
    <s v="RTA"/>
    <x v="0"/>
    <s v="OnSite  EUS"/>
    <s v="Ruaa Ahmed"/>
    <s v="Desktop"/>
    <s v="Asset collection"/>
    <s v="Asset collection"/>
    <s v="Low"/>
    <d v="2026-02-26T06:53:52"/>
    <m/>
    <s v="Pending"/>
    <m/>
    <s v="No"/>
    <s v="Techm_GAHamad"/>
    <s v="Desktop"/>
    <s v="Asset Collection"/>
    <s v="Asset Collection"/>
    <n v="7446"/>
    <s v="Phone"/>
    <s v="Client Action Required"/>
    <s v="Standard"/>
    <s v="kaalali"/>
    <s v="Khulood.Alali@RTA.ae"/>
    <s v="Within the Service Target"/>
  </r>
  <r>
    <s v="INC000001321063"/>
    <s v="User Service Restoration"/>
    <s v="Shaya"/>
    <s v="Al-ali"/>
    <s v="laptop is not charging"/>
    <d v="2026-02-24T11:22:55"/>
    <s v="Commercial &amp; Investment"/>
    <s v="RTA"/>
    <x v="1"/>
    <s v="OnSite  EUS"/>
    <s v="Solaiman Alhussni"/>
    <s v="Desktop"/>
    <s v="Peripherals"/>
    <s v="Laptop Charger"/>
    <s v="Critical"/>
    <d v="2026-02-24T11:41:59"/>
    <d v="2026-02-24T11:41:57"/>
    <s v="Resolved"/>
    <s v="The laptop and charger have been tested and are working properly. After connecting the charger to another socket, it functioned without any issues.  The user will open a separate ticket with the Building and Facilities team to repair the faulty electrical socket."/>
    <s v="No"/>
    <s v="techm_ajalbasata"/>
    <s v="Desktop"/>
    <s v="Peripherals"/>
    <s v="Laptop Charger"/>
    <n v="14164"/>
    <s v="Phone"/>
    <s v="USER TO CONFIRM"/>
    <s v="Standard"/>
    <s v="SALAlali"/>
    <s v="Shaya.Alali@rta.ae"/>
    <s v="Within the Service Target"/>
  </r>
  <r>
    <s v="INC000001321050"/>
    <s v="User Service Request"/>
    <s v="Mohamed"/>
    <s v="Attia"/>
    <s v="Laptop"/>
    <d v="2026-02-24T10:59:04"/>
    <s v="Customer Happiness"/>
    <s v="RTA"/>
    <x v="0"/>
    <s v="Service Desk"/>
    <s v="Techm Wahbaelrahman Hassan"/>
    <s v="Incident"/>
    <s v="Self-service"/>
    <s v="Mendix"/>
    <s v="Low"/>
    <d v="2026-02-24T12:46:12"/>
    <d v="2026-02-24T12:46:10"/>
    <s v="Resolved"/>
    <s v="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
    <s v="No"/>
    <s v="mendix"/>
    <s v="Desktop"/>
    <s v="Hardware Request"/>
    <s v="Laptop"/>
    <s v="V0011783"/>
    <s v="Self Service"/>
    <s v="USER TO CONFIRM"/>
    <s v="Standard"/>
    <s v="avaya_maattia"/>
    <s v="Avaya_Mohamed.Attia@rta.ae"/>
    <s v="Within the Service Target"/>
  </r>
  <r>
    <s v="INC000001321038"/>
    <s v="User Service Request"/>
    <s v="Ali"/>
    <s v="Mohammad"/>
    <s v="Request top reset adobe acrobat password."/>
    <d v="2026-02-24T10:43:12"/>
    <s v="Buses"/>
    <s v="RTA"/>
    <x v="5"/>
    <s v="Service Desk"/>
    <s v="Techm Abdalbagee Hamed"/>
    <s v="Desktop"/>
    <s v="RTA Non standard application  Request"/>
    <s v="Adobe Acrobat Professional(RE)"/>
    <s v="Low"/>
    <d v="2026-02-24T10:44:19"/>
    <d v="2026-02-24T10:44:15"/>
    <s v="Resolved"/>
    <s v="From sign in option click in reset password then enter the verification code and create new account password."/>
    <s v="No"/>
    <s v="Techm_AMHamed"/>
    <s v="Desktop"/>
    <s v="RTA Non standard application  Request"/>
    <s v="Adobe Acrobat Professional"/>
    <n v="14969"/>
    <s v="Phone"/>
    <s v="USER TO CONFIRM"/>
    <s v="Standard"/>
    <s v="aabdulmohammad"/>
    <s v="Ali.AMohammad@rta.ae"/>
    <s v="Within the Service Target"/>
  </r>
  <r>
    <s v="INC000001321021"/>
    <s v="User Service Restoration"/>
    <s v="Omar"/>
    <s v="Aljaziri"/>
    <s v="PC Slowness Issue"/>
    <d v="2026-02-24T10:31:00"/>
    <s v="Legal Affairs"/>
    <s v="RTA"/>
    <x v="1"/>
    <s v="Service Desk"/>
    <s v="Techm Wahbaelrahman Hassan"/>
    <s v="Desktop"/>
    <s v="OS Issue"/>
    <s v="PC Slowness Issue"/>
    <s v="Medium"/>
    <d v="2026-02-24T10:48:00"/>
    <d v="2026-02-24T10:47:57"/>
    <s v="Resolved"/>
    <s v="- Run disk cleanup utility / cleared all temporary files and temporary internet files and cookies. - Check event viewer logs. - Deleted Tepm files  - %tepm% - Run SFC /Scannow  , found corrupt files and successfully repaired them."/>
    <s v="No"/>
    <s v="Techm_WAHassan"/>
    <s v="Desktop"/>
    <s v="OS Issue"/>
    <s v="PC Slowness Issue"/>
    <n v="6650"/>
    <s v="Phone"/>
    <s v="USER TO CONFIRM"/>
    <s v="Sensitive"/>
    <s v="omaljaziri"/>
    <s v="Omar.Aljaziri@rta.ae"/>
    <s v="Within the Service Target"/>
  </r>
  <r>
    <s v="INC000001321010"/>
    <s v="User Service Request"/>
    <s v="Mustafa"/>
    <s v="Omar"/>
    <s v="VPN reconfiguration Request"/>
    <d v="2026-02-24T10:22:50"/>
    <s v="Traffic"/>
    <s v="RTA"/>
    <x v="7"/>
    <s v="Service Desk"/>
    <s v="Techm Ghaya Hamad"/>
    <s v="Desktop"/>
    <s v="Configuration"/>
    <s v="VPN Configuration"/>
    <s v="Low"/>
    <d v="2026-02-24T14:27:47"/>
    <d v="2026-02-24T14:27:44"/>
    <s v="Resolved"/>
    <s v="Reconfigured VPN successfully through LogMeIn"/>
    <s v="No"/>
    <s v="Techm_GAHamad"/>
    <s v="Desktop"/>
    <s v="Configuration"/>
    <s v="VPN Configuration"/>
    <n v="15523"/>
    <s v="Phone"/>
    <s v="USER TO CONFIRM"/>
    <s v="Standard"/>
    <s v="mabdomar"/>
    <s v="Mustafa.AOmar@rta.ae"/>
    <s v="Within the Service Target"/>
  </r>
  <r>
    <s v="INC000001321005"/>
    <s v="User Service Restoration"/>
    <s v="Shaikha"/>
    <s v="Alali"/>
    <s v="Intranet credential Issue"/>
    <d v="2026-02-24T10:11:59"/>
    <s v="Procurement"/>
    <s v="RTA"/>
    <x v="0"/>
    <s v="Service Desk"/>
    <s v="Techm Ghaya Hamad"/>
    <s v="Desktop"/>
    <s v="Internet/Intranet Issues"/>
    <s v="Internet POP UP(RE)"/>
    <s v="Medium"/>
    <d v="2026-02-24T14:27:14"/>
    <d v="2026-02-24T14:27:13"/>
    <s v="Resolved"/>
    <s v="Clear cache browser has been done Reset &amp; update browser  GPupdate /force"/>
    <s v="No"/>
    <s v="Techm_GAHamad"/>
    <s v="Desktop"/>
    <s v="Internet / Intranet Issues"/>
    <s v="Internet POP UP"/>
    <n v="11503"/>
    <s v="Phone"/>
    <s v="USER TO CONFIRM"/>
    <s v="Standard"/>
    <s v="shalali"/>
    <s v="Shaikha.Alali@rta.ae"/>
    <s v="Within the Service Target"/>
  </r>
  <r>
    <s v="INC000001321003"/>
    <s v="User Service Request"/>
    <s v="Abdallah"/>
    <s v="Hamadi"/>
    <s v="Laptop_EC3-AMD"/>
    <d v="2026-02-24T10:10:39"/>
    <s v="Assets Management"/>
    <s v="RTA"/>
    <x v="1"/>
    <s v="OnSite  EUS"/>
    <s v="Techm Osama Abdullatif"/>
    <s v="Incident"/>
    <s v="Self-service"/>
    <s v="Mendix"/>
    <s v="Low"/>
    <d v="2026-02-25T12:29:37"/>
    <m/>
    <s v="In Progress"/>
    <m/>
    <s v="No"/>
    <s v="mendix"/>
    <m/>
    <m/>
    <m/>
    <n v="14297"/>
    <s v="Self Service"/>
    <m/>
    <s v="Standard"/>
    <s v="AALIHamadi"/>
    <s v="Abdallah.AliHamadi@rta.ae"/>
    <s v="Within the Service Target"/>
  </r>
  <r>
    <s v="INC000001321001"/>
    <s v="User Service Request"/>
    <s v="Juma"/>
    <s v="Fikri"/>
    <s v="MS Office 365 activation Request"/>
    <d v="2026-02-24T10:10:04"/>
    <s v="Intelligent Traffic System"/>
    <s v="RTA"/>
    <x v="7"/>
    <s v="Service Desk"/>
    <s v="Techm Wahbaelrahman Hassan"/>
    <s v="Desktop"/>
    <s v="RTA Non standard application  Request"/>
    <s v="MS office professional(RE)"/>
    <s v="Low"/>
    <d v="2026-02-24T10:20:26"/>
    <d v="2026-02-24T10:20:25"/>
    <s v="Resolved"/>
    <s v="MS Office 365 has been activated on user machine Successfully"/>
    <s v="No"/>
    <s v="Techm_WAHassan"/>
    <s v="Desktop"/>
    <s v="RTA Non standard application  Request"/>
    <s v="MS Office Professional"/>
    <n v="12716"/>
    <s v="Phone"/>
    <s v="USER TO CONFIRM"/>
    <s v="Standard"/>
    <s v="JHFikri"/>
    <s v="Juma.Fikri@rta.ae"/>
    <s v="Within the Service Target"/>
  </r>
  <r>
    <s v="INC000001321000"/>
    <s v="User Service Restoration"/>
    <s v="Abdulla"/>
    <s v="Hasan"/>
    <s v="Outlook credential Issue"/>
    <d v="2026-02-24T10:10:17"/>
    <s v="Technology Strategy &amp; Governance"/>
    <s v="RTA"/>
    <x v="4"/>
    <s v="Service Desk"/>
    <s v="Techm Ghaya Hamad"/>
    <s v="Desktop"/>
    <s v="Mail Box Issue"/>
    <s v="Login Issue"/>
    <s v="Medium"/>
    <d v="2026-02-24T11:57:12"/>
    <d v="2026-02-24T11:57:11"/>
    <s v="Resolved"/>
    <s v="Old password has been removed from credential manager"/>
    <s v="No"/>
    <s v="Techm_GAHamad"/>
    <s v="Desktop"/>
    <s v="Mail Box Issue"/>
    <s v="Login Issue"/>
    <n v="11806"/>
    <s v="Phone"/>
    <s v="USER TO CONFIRM"/>
    <s v="Standard"/>
    <s v="amhasan"/>
    <s v="Abdulla.Hasan@rta.ae"/>
    <s v="Within the Service Target"/>
  </r>
  <r>
    <s v="INC000001320998"/>
    <s v="User Service Restoration"/>
    <s v="Anwar"/>
    <s v="Kutty"/>
    <s v="PDF Architect installation pop up"/>
    <d v="2026-02-24T10:06:44"/>
    <s v="Planning &amp; Business Development"/>
    <s v="RTA"/>
    <x v="5"/>
    <s v="Service Desk"/>
    <s v="Techm Abdalbagee Hamed"/>
    <s v="Incident"/>
    <s v="Self-service"/>
    <s v="Mendix"/>
    <s v="Medium"/>
    <d v="2026-02-25T09:23:33"/>
    <d v="2026-02-25T09:23:26"/>
    <s v="Resolved"/>
    <e v="#NAME?"/>
    <s v="No"/>
    <s v="mendix"/>
    <s v="Desktop"/>
    <s v="RTA Non standard application  Incidents"/>
    <s v="Adobe Acrobat Professional"/>
    <n v="14755"/>
    <s v="Self Service"/>
    <s v="USER TO CONFIRM"/>
    <s v="Standard"/>
    <s v="ASKutty"/>
    <s v="Anwar.Kutty@rta.ae"/>
    <s v="Within the Service Target"/>
  </r>
  <r>
    <s v="INC000001320993"/>
    <s v="User Service Request"/>
    <s v="Noora"/>
    <s v="Almadani"/>
    <s v="VPN Configuration Request"/>
    <d v="2026-02-24T10:05:31"/>
    <s v="Internal Audit"/>
    <s v="RTA"/>
    <x v="2"/>
    <s v="Service Desk"/>
    <s v="Techm Abdalbagee Hamed"/>
    <s v="Desktop"/>
    <s v="Configuration"/>
    <s v="VPN Configuration"/>
    <s v="Low"/>
    <d v="2026-02-24T10:06:09"/>
    <d v="2026-02-24T10:06:06"/>
    <s v="Resolved"/>
    <s v="VPN has been configured and connected."/>
    <s v="No"/>
    <s v="Techm_AMHamed"/>
    <s v="Desktop"/>
    <s v="Configuration"/>
    <s v="VPN Configuration"/>
    <n v="14633"/>
    <s v="Phone"/>
    <s v="USER TO CONFIRM"/>
    <s v="Standard"/>
    <s v="NSAlmadani"/>
    <s v="Noora.Almadani@rta.ae"/>
    <s v="Within the Service Target"/>
  </r>
  <r>
    <s v="INC000001320989"/>
    <s v="User Service Request"/>
    <s v="Omar"/>
    <s v="Aljaziri"/>
    <s v="unlock account request"/>
    <d v="2026-02-24T10:06:02"/>
    <s v="Legal Affairs"/>
    <s v="RTA"/>
    <x v="1"/>
    <s v="Service Desk"/>
    <s v="Mohamed Alajlani"/>
    <s v="Desktop"/>
    <s v="Profile"/>
    <s v="Account Lock Out"/>
    <s v="Low"/>
    <d v="2026-02-24T10:06:22"/>
    <d v="2026-02-24T10:06:21"/>
    <s v="Resolved"/>
    <s v="The account has been unlocked successfully."/>
    <s v="No"/>
    <s v="techm_myalajlani"/>
    <s v="Desktop"/>
    <s v="Profile"/>
    <s v="Account Lock Out"/>
    <n v="6650"/>
    <s v="Phone"/>
    <s v="USER TO CONFIRM"/>
    <s v="Sensitive"/>
    <s v="omaljaziri"/>
    <s v="Omar.Aljaziri@rta.ae"/>
    <s v="Within the Service Target"/>
  </r>
  <r>
    <s v="INC000001320984"/>
    <s v="User Service Request"/>
    <s v="Abdo"/>
    <s v="Al Absy"/>
    <s v="VPN Request"/>
    <d v="2026-02-24T09:55:57"/>
    <s v="Vehicles Licensing"/>
    <s v="RTA"/>
    <x v="3"/>
    <s v="Service Desk"/>
    <s v="Aryam Juma Mohammad Albasata Albasata"/>
    <s v="Desktop"/>
    <s v="Configuration"/>
    <s v="VPN Configuration"/>
    <s v="Low"/>
    <d v="2026-02-24T10:04:40"/>
    <d v="2026-02-24T10:04:39"/>
    <s v="Resolved"/>
    <s v="configured vpn for the user successfully"/>
    <s v="No"/>
    <s v="techm_ajalbasata"/>
    <s v="Desktop"/>
    <s v="Configuration"/>
    <s v="VPN Configuration"/>
    <n v="5505"/>
    <s v="Phone"/>
    <s v="USER TO CONFIRM"/>
    <s v="Standard"/>
    <s v="amalabsy"/>
    <s v="Abdo.AlAbsy@RTA.ae"/>
    <s v="Within the Service Target"/>
  </r>
  <r>
    <s v="INC000001320979"/>
    <s v="User Service Restoration"/>
    <s v="Elmina"/>
    <s v="Soliman Fajut"/>
    <s v="Microstation Line Style"/>
    <d v="2026-02-24T09:50:33"/>
    <s v="Roads"/>
    <s v="RTA"/>
    <x v="7"/>
    <s v="OnSite  EUS"/>
    <s v="Ahmed Almeldeen"/>
    <s v="Incident"/>
    <s v="Self-service"/>
    <s v="Mendix"/>
    <s v="Medium"/>
    <d v="2026-02-24T11:31:42"/>
    <d v="2026-02-24T11:31:40"/>
    <s v="Resolved"/>
    <s v="The data has been copied through Section Shared folder"/>
    <s v="No"/>
    <s v="mendix"/>
    <s v="Desktop"/>
    <s v="Profile"/>
    <s v="Copy / Transfer Data"/>
    <n v="4497"/>
    <s v="Self Service"/>
    <s v="No Further Action Required"/>
    <s v="Standard"/>
    <s v="efajut"/>
    <s v="Elmina.fajut@rta.ae"/>
    <s v="Within the Service Target"/>
  </r>
  <r>
    <s v="INC000001320976"/>
    <s v="User Service Request"/>
    <s v="Khalid"/>
    <s v="Alshehhi"/>
    <s v="unlock account request"/>
    <d v="2026-02-24T09:50:14"/>
    <s v="Parking"/>
    <s v="RTA"/>
    <x v="7"/>
    <s v="Service Desk"/>
    <s v="Ismael Ismael"/>
    <s v="Desktop"/>
    <s v="Profile"/>
    <s v="Account Lock Out"/>
    <s v="Low"/>
    <d v="2026-02-24T09:51:10"/>
    <d v="2026-02-24T09:50:59"/>
    <s v="Resolved"/>
    <s v="account has been successfully unlocked"/>
    <s v="No"/>
    <s v="techm_iaismael"/>
    <s v="Desktop"/>
    <s v="Profile"/>
    <s v="Account Lock Out"/>
    <n v="11680"/>
    <s v="Phone"/>
    <s v="USER TO CONFIRM"/>
    <s v="Standard"/>
    <s v="KMAlshehhi"/>
    <s v="Khalid.Alshehhi@rta.ae"/>
    <s v="Within the Service Target"/>
  </r>
  <r>
    <s v="INC000001320965"/>
    <s v="User Service Restoration"/>
    <s v="Sumaya"/>
    <s v="Saeed"/>
    <s v="Browser issue - not able to access EMS"/>
    <d v="2026-02-24T09:47:57"/>
    <s v="Vehicles Licensing"/>
    <s v="RTA"/>
    <x v="3"/>
    <s v="Service Desk"/>
    <s v="Techm Abdalbagee Hamed"/>
    <s v="Desktop"/>
    <s v="Internet/Intranet Issues"/>
    <s v="Unable to access a specific URL(RE)"/>
    <s v="Medium"/>
    <d v="2026-02-24T09:49:08"/>
    <d v="2026-02-24T09:49:04"/>
    <s v="Resolved"/>
    <s v="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s v="No"/>
    <s v="Techm_AMHamed"/>
    <s v="Desktop"/>
    <s v="Internet / Intranet Issues"/>
    <s v="Unable To Access Specific URL"/>
    <n v="13359"/>
    <s v="Phone"/>
    <s v="USER TO CONFIRM"/>
    <s v="Standard"/>
    <s v="SJSaeed"/>
    <s v="Sumaya.Saeed@rta.ae"/>
    <s v="Within the Service Target"/>
  </r>
  <r>
    <s v="INC000001320962"/>
    <s v="User Service Request"/>
    <s v="Majid"/>
    <s v="Alhawai"/>
    <s v="VPN account unlock request"/>
    <d v="2026-02-24T09:36:25"/>
    <s v="Roads"/>
    <s v="RTA"/>
    <x v="7"/>
    <s v="Service Desk"/>
    <s v="Ismael Ismael"/>
    <s v="Desktop"/>
    <s v="Configuration"/>
    <s v="VPN Configuration"/>
    <s v="Low"/>
    <d v="2026-02-24T11:47:29"/>
    <d v="2026-02-24T11:47:25"/>
    <s v="Resolved"/>
    <s v="VPN profile was successfully unlocked"/>
    <s v="No"/>
    <s v="techm_iaismael"/>
    <s v="Desktop"/>
    <s v="Configuration"/>
    <s v="VPN Configuration"/>
    <n v="15874"/>
    <s v="Phone"/>
    <s v="USER TO CONFIRM"/>
    <s v="Standard"/>
    <s v="maalhawai"/>
    <s v="Majid.Alhawai@rta.ae"/>
    <s v="Within the Service Target"/>
  </r>
  <r>
    <s v="INC000001320957"/>
    <s v="User Service Restoration"/>
    <s v="Amna"/>
    <s v="Sulaiman"/>
    <s v="Adobe acrobat language Issue"/>
    <d v="2026-02-24T09:28:40"/>
    <s v="Human Resources &amp; Development"/>
    <s v="RTA"/>
    <x v="0"/>
    <s v="Service Desk"/>
    <s v="Techm Wahbaelrahman Hassan"/>
    <s v="Desktop"/>
    <s v="RTA Non standard application  Incidents"/>
    <s v="Adobe Acrobat Professional"/>
    <s v="Medium"/>
    <d v="2026-02-24T10:00:54"/>
    <d v="2026-02-24T10:00:35"/>
    <s v="Resolved"/>
    <s v="- Change in Preferences (Acrobat/Desktop Apps):  - Go to Edit &gt; Preferences &gt; Language (or International in some versions) and selected preferred application language."/>
    <s v="No"/>
    <s v="Techm_WAHassan"/>
    <s v="Desktop"/>
    <s v="RTA Non standard application  Incidents"/>
    <s v="Adobe Acrobat Professional"/>
    <n v="11990"/>
    <s v="Phone"/>
    <s v="USER TO CONFIRM"/>
    <s v="Standard"/>
    <s v="assulaiman"/>
    <s v="Amna.Sulaiman@rta.ae"/>
    <s v="Within the Service Target"/>
  </r>
  <r>
    <s v="INC000001320946"/>
    <s v="User Service Request"/>
    <s v="Mahmoud"/>
    <s v="Kreishan"/>
    <s v="Guide user to Reset Password through Self services portal."/>
    <d v="2026-02-24T09:13:13"/>
    <m/>
    <m/>
    <x v="2"/>
    <s v="Service Desk"/>
    <s v="Mohamed Alajlani"/>
    <s v="Desktop"/>
    <s v="User Education"/>
    <s v="User Education"/>
    <s v="Low"/>
    <d v="2026-02-24T09:17:22"/>
    <d v="2026-02-24T09:17:21"/>
    <s v="Resolved"/>
    <s v="As per the request, SMS with Reset Password self-services URL has been shared with the user."/>
    <s v="No"/>
    <s v="techm_myalajlani"/>
    <s v="Desktop"/>
    <s v="User Education"/>
    <s v="User Education"/>
    <n v="15935"/>
    <s v="Phone"/>
    <s v="USER TO CONFIRM"/>
    <s v="Standard"/>
    <s v="mmkreishan"/>
    <s v="Mahmoud.Kreishan@rta.ae"/>
    <s v="Within the Service Target"/>
  </r>
  <r>
    <s v="INC000001320944"/>
    <s v="User Service Restoration"/>
    <s v="Hussain"/>
    <s v="Saheb"/>
    <s v="Adobe Acrobat Issue"/>
    <d v="2026-02-24T09:10:17"/>
    <s v="Procurement"/>
    <s v="RTA"/>
    <x v="0"/>
    <s v="Service Desk"/>
    <s v="Zain Alabedein Skheih"/>
    <s v="Desktop"/>
    <s v="RTA Non standard application  Incidents"/>
    <s v="Adobe Acrobat Professional"/>
    <s v="Medium"/>
    <d v="2026-02-24T09:12:59"/>
    <d v="2026-02-24T09:12:58"/>
    <s v="Resolved"/>
    <s v="We uninstalled the existing Adobe Acrobat PRO and installed another version and updated it."/>
    <s v="No"/>
    <s v="techm_ziskheih"/>
    <s v="Desktop"/>
    <s v="RTA Non standard application  Incidents"/>
    <s v="Adobe Acrobat Professional"/>
    <n v="5679"/>
    <s v="Phone"/>
    <s v="USER TO CONFIRM"/>
    <s v="Standard"/>
    <s v="hlsaheb"/>
    <s v="Hussain.Saheb@rta.ae"/>
    <s v="Within the Service Target"/>
  </r>
  <r>
    <s v="INC000001320943"/>
    <s v="User Service Restoration"/>
    <s v="Ahmad"/>
    <s v="Rahahleh"/>
    <s v="google chrome issue"/>
    <d v="2026-02-24T09:09:17"/>
    <s v="Buildings &amp; Facilities"/>
    <s v="RTA"/>
    <x v="0"/>
    <s v="Service Desk"/>
    <s v="Ismael Ismael"/>
    <s v="Desktop"/>
    <s v="RTA Standard application Incidents"/>
    <s v="MS Edge"/>
    <s v="Medium"/>
    <d v="2026-02-24T09:11:07"/>
    <d v="2026-02-24T09:11:06"/>
    <s v="Resolved"/>
    <s v="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7. Re-install Chrome."/>
    <s v="No"/>
    <s v="techm_iaismael"/>
    <s v="Desktop"/>
    <s v="RTA Standard application Incidents"/>
    <s v="MS Edge"/>
    <n v="14077"/>
    <s v="Phone"/>
    <s v="USER TO CONFIRM"/>
    <s v="Standard"/>
    <s v="AARahahleh"/>
    <s v="Ahmad.Rahahleh@rta.ae"/>
    <s v="Within the Service Target"/>
  </r>
  <r>
    <s v="INC000001320940"/>
    <s v="User Service Request"/>
    <s v="Essa"/>
    <s v="AlAmiri"/>
    <s v="Guide the user to login to Automation system with Oracle Authenticator"/>
    <d v="2026-02-24T09:03:49"/>
    <s v="Administration Services"/>
    <s v="RTA"/>
    <x v="0"/>
    <s v="Service Desk"/>
    <s v="Techm Abdalbagee Hamed"/>
    <s v="Desktop"/>
    <s v="User Education"/>
    <s v="User Education"/>
    <s v="Low"/>
    <d v="2026-02-24T09:04:11"/>
    <d v="2026-02-24T09:04:05"/>
    <s v="Resolved"/>
    <s v="Guide the user to login to Automation system with Oracle Authenticator."/>
    <s v="Yes"/>
    <s v="Techm_AMHamed"/>
    <s v="Desktop"/>
    <s v="User Education"/>
    <s v="User Education"/>
    <n v="9946"/>
    <s v="Phone"/>
    <s v="USER TO CONFIRM"/>
    <s v="Sensitive"/>
    <s v="eaalamiri"/>
    <s v="Essa.AlAmiri@RTA.ae"/>
    <s v="Within the Service Target"/>
  </r>
  <r>
    <s v="INC000001320937"/>
    <s v="User Service Request"/>
    <s v="Noura"/>
    <s v="Alhamadi"/>
    <s v="Guide user to Unlock Account through Self services portal."/>
    <d v="2026-02-24T09:11:11"/>
    <s v="Legal Affairs"/>
    <s v="RTA"/>
    <x v="1"/>
    <s v="Service Desk"/>
    <s v="Mohamed Alajlani"/>
    <s v="Desktop"/>
    <s v="User Education"/>
    <s v="User Education"/>
    <s v="Low"/>
    <d v="2026-02-24T09:11:32"/>
    <d v="2026-02-24T09:11:31"/>
    <s v="Resolved"/>
    <s v="The account has been unlocked successfully."/>
    <s v="No"/>
    <s v="techm_myalajlani"/>
    <s v="Desktop"/>
    <s v="User Education"/>
    <s v="User Education"/>
    <n v="12083"/>
    <s v="Phone"/>
    <s v="USER TO CONFIRM"/>
    <s v="Standard"/>
    <s v="naalhamadi"/>
    <s v="Noura.Alhamadi@rta.ae"/>
    <s v="Within the Service Target"/>
  </r>
  <r>
    <s v="INC000001320935"/>
    <s v="User Service Request"/>
    <s v="Amna"/>
    <s v="Ahmad"/>
    <s v="VPN Configuration Request"/>
    <d v="2026-02-24T08:54:47"/>
    <s v="Rail Right Of Way"/>
    <s v="RTA"/>
    <x v="6"/>
    <s v="Service Desk"/>
    <s v="Mohamed Alajlani"/>
    <s v="Desktop"/>
    <s v="Configuration"/>
    <s v="VPN Configuration"/>
    <s v="Low"/>
    <d v="2026-02-24T08:56:57"/>
    <d v="2026-02-24T08:55:03"/>
    <s v="Resolved"/>
    <s v="The VPN has been configured successfully."/>
    <s v="No"/>
    <s v="techm_myalajlani"/>
    <s v="Desktop"/>
    <s v="Configuration"/>
    <s v="VPN Configuration"/>
    <n v="15926"/>
    <s v="Phone"/>
    <s v="USER TO CONFIRM"/>
    <s v="Standard"/>
    <s v="aoahmad"/>
    <s v="Amna.Ahmad@rta.ae"/>
    <s v="Within the Service Target"/>
  </r>
  <r>
    <s v="INC000001320930"/>
    <s v="User Service Request"/>
    <s v="Suroor"/>
    <s v="Alsuwaidi"/>
    <s v="VPN configuration request"/>
    <d v="2026-02-24T08:49:24"/>
    <s v="Vehicles Licensing"/>
    <s v="RTA"/>
    <x v="3"/>
    <s v="Service Desk"/>
    <s v="Ismael Ismael"/>
    <s v="Desktop"/>
    <s v="Configuration"/>
    <s v="VPN Configuration"/>
    <s v="Low"/>
    <d v="2026-02-24T08:51:54"/>
    <d v="2026-02-24T08:50:32"/>
    <s v="Resolved"/>
    <s v="VPN has been successfully configured"/>
    <s v="No"/>
    <s v="techm_iaismael"/>
    <s v="Desktop"/>
    <s v="Configuration"/>
    <s v="VPN Configuration"/>
    <n v="15903"/>
    <s v="Phone"/>
    <s v="USER TO CONFIRM"/>
    <s v="Standard"/>
    <s v="sabalsuwaidi"/>
    <s v="Suroor.Alsuwaidi@rta.ae"/>
    <s v="Within the Service Target"/>
  </r>
  <r>
    <s v="INC000001320928"/>
    <s v="User Service Request"/>
    <s v="Humisan"/>
    <s v="Humisan"/>
    <s v="MS Teams Reconfiguration"/>
    <d v="2026-02-24T08:52:41"/>
    <s v="Security &amp; Monitoring"/>
    <s v="RTA"/>
    <x v="2"/>
    <s v="Service Desk"/>
    <s v="Mohamed Alajlani"/>
    <s v="Desktop"/>
    <s v="RTA Non standard application  Request"/>
    <s v="MS Teams"/>
    <s v="Low"/>
    <d v="2026-02-24T08:53:56"/>
    <d v="2026-02-24T08:53:55"/>
    <s v="Resolved"/>
    <s v="The MS Teams add-in has been configured and is now visible in the Outlook app."/>
    <s v="No"/>
    <s v="techm_myalajlani"/>
    <s v="Desktop"/>
    <s v="RTA Non standard application  Request"/>
    <s v="MS Teams"/>
    <s v="V0033351"/>
    <s v="Phone"/>
    <s v="USER TO CONFIRM"/>
    <s v="Standard"/>
    <s v="transguard_hahumisan"/>
    <s v="Transguard_Humisan.Humisan@rta.ae"/>
    <s v="Within the Service Target"/>
  </r>
  <r>
    <s v="INC000001320925"/>
    <s v="User Service Request"/>
    <s v="Mohamed"/>
    <s v="Ali"/>
    <s v="Guide user to unlock through Self services portal."/>
    <d v="2026-02-24T08:43:41"/>
    <s v="Finance"/>
    <s v="RTA"/>
    <x v="0"/>
    <s v="Service Desk"/>
    <s v="Techm Abdalbagee Hamed"/>
    <s v="Desktop"/>
    <s v="User Education"/>
    <s v="User Education"/>
    <s v="Low"/>
    <d v="2026-02-24T08:45:49"/>
    <d v="2026-02-24T08:43:48"/>
    <s v="Resolved"/>
    <s v="As per the request, SMS with Unlock self-services URL has been shared with the user."/>
    <s v="No"/>
    <s v="Techm_AMHamed"/>
    <s v="Desktop"/>
    <s v="User Education"/>
    <s v="User Education"/>
    <n v="15741"/>
    <s v="Phone"/>
    <s v="USER TO CONFIRM"/>
    <s v="Standard"/>
    <s v="mmouali"/>
    <s v="Mohamed.MAli@rta.ae"/>
    <s v="Within the Service Target"/>
  </r>
  <r>
    <s v="INC000001320923"/>
    <s v="User Service Request"/>
    <s v="Tariq"/>
    <s v="Baniyas"/>
    <s v="Guide user to Reset Password through Self services portal."/>
    <d v="2026-02-24T08:41:50"/>
    <s v="Drivers Licensing"/>
    <s v="RTA"/>
    <x v="3"/>
    <s v="Service Desk"/>
    <s v="Techm Abdalbagee Hamed"/>
    <s v="Desktop"/>
    <s v="User Education"/>
    <s v="User Education"/>
    <s v="Low"/>
    <d v="2026-02-24T08:42:22"/>
    <d v="2026-02-24T08:42:21"/>
    <s v="Resolved"/>
    <s v="As per the request, SMS with Reset Password self-services URL has been shared with the user"/>
    <s v="No"/>
    <s v="Techm_AMHamed"/>
    <s v="Desktop"/>
    <s v="User Education"/>
    <s v="User Education"/>
    <n v="10568"/>
    <s v="Phone"/>
    <s v="USER TO CONFIRM"/>
    <s v="Standard"/>
    <s v="tmbaniyas"/>
    <s v="Tariq.Baniyas@rta.ae"/>
    <s v="Within the Service Target"/>
  </r>
  <r>
    <s v="INC000001320921"/>
    <s v="User Service Request"/>
    <s v="Husain"/>
    <s v="Battiwala"/>
    <s v="Software Installing Request"/>
    <d v="2026-02-24T08:35:55"/>
    <s v="Corporate Technology Support Services CEO"/>
    <s v="RTA"/>
    <x v="4"/>
    <s v="Service Desk"/>
    <s v="Ismael Ismael"/>
    <s v="Incident"/>
    <s v="Self-service"/>
    <s v="Mendix"/>
    <s v="Low"/>
    <d v="2026-02-26T09:54:37"/>
    <d v="2026-02-26T09:54:33"/>
    <s v="Resolved"/>
    <s v="The requester was informed to contact the department security champion"/>
    <s v="No"/>
    <s v="mendix"/>
    <s v="Desktop"/>
    <s v="RTA Non standard application  Request"/>
    <s v="Non-listed Application/Software"/>
    <n v="15845"/>
    <s v="Self Service"/>
    <s v="USER TO CONFIRM"/>
    <s v="Standard"/>
    <s v="hsbattiwala"/>
    <s v="Husain.Battiwala@rta.ae"/>
    <s v="Within the Service Target"/>
  </r>
  <r>
    <s v="INC000001320915"/>
    <s v="User Service Restoration"/>
    <s v="Aramex"/>
    <s v="T2 Aweer Main"/>
    <s v="EV Issue"/>
    <d v="2026-02-24T08:28:57"/>
    <s v="Procurement"/>
    <s v="RTA"/>
    <x v="0"/>
    <s v="Service Desk"/>
    <s v="Ismael Ismael"/>
    <s v="Desktop"/>
    <s v="Mail"/>
    <s v="Enterprise Vault"/>
    <s v="Medium"/>
    <d v="2026-02-24T08:31:39"/>
    <d v="2026-02-24T08:30:33"/>
    <s v="Resolved"/>
    <e v="#NAME?"/>
    <s v="No"/>
    <s v="techm_iaismael"/>
    <s v="Desktop"/>
    <s v="Mail Client Issue"/>
    <s v="Outlook Configuration Issue(RE)"/>
    <s v="V00431"/>
    <s v="Phone"/>
    <s v="USER TO CONFIRM"/>
    <s v="Standard"/>
    <s v="aramex_T2r11"/>
    <s v="aramex_T2.r11@rta.ae"/>
    <s v="Within the Service Target"/>
  </r>
  <r>
    <s v="INC000001320849"/>
    <s v="User Service Request"/>
    <s v="Aisha"/>
    <s v="Al Nuaimi"/>
    <s v="Request for Windows profile configuration "/>
    <d v="2026-02-24T11:31:53"/>
    <s v="Customer Happiness"/>
    <s v="RTA"/>
    <x v="0"/>
    <s v="OnSite  EUS"/>
    <s v="Techm Osama Abdullatif"/>
    <s v="Desktop"/>
    <s v="Configuration"/>
    <s v="Profile Configuration"/>
    <s v="Low"/>
    <d v="2026-02-24T11:54:01"/>
    <d v="2026-02-24T11:53:58"/>
    <s v="Resolved"/>
    <s v="configured the user's profile as requested."/>
    <s v="No"/>
    <s v="Techm_OFAbdullatif"/>
    <s v="Desktop"/>
    <s v="Configuration"/>
    <s v="Profile Configuration"/>
    <n v="11777"/>
    <s v="Web"/>
    <s v="USER TO CONFIRM"/>
    <s v="Standard"/>
    <s v="asaalnuaimi"/>
    <s v="Aisha.Alnuaimi@rta.ae"/>
    <s v="Within the Service Target"/>
  </r>
  <r>
    <s v="INC000001320828"/>
    <s v="User Service Request"/>
    <s v="Ibrahim"/>
    <s v="Abdulkhaliq Mohammad"/>
    <s v="FOLLOW UP - FOLLOW UP - FOLLOW UP - FOLLOW UP - FOLLOW UP - FOLLOW UP - FOLLOW UP - FOLLOW UP - Ex"/>
    <d v="2026-02-24T09:00:00"/>
    <s v="Finance"/>
    <s v="RTA"/>
    <x v="0"/>
    <s v="OnSite  EUS"/>
    <s v="Ali Adam"/>
    <s v="Incident"/>
    <s v="Self-service"/>
    <s v="Mendix"/>
    <s v="Low"/>
    <d v="2026-02-26T09:06:03"/>
    <m/>
    <s v="Pending"/>
    <m/>
    <s v="No"/>
    <s v="AR_ESCALATOR"/>
    <s v="Desktop"/>
    <s v="Others"/>
    <s v="Follow-up/Extension"/>
    <n v="4230"/>
    <s v="Self Service"/>
    <s v="Client Action Required"/>
    <s v="Standard"/>
    <s v="iamohammad"/>
    <s v="Ibrahim.Mohammad@rta.ae"/>
    <s v="Within the Service Target"/>
  </r>
  <r>
    <s v="INC000001320807"/>
    <s v="User Service Restoration"/>
    <s v="Sayed"/>
    <s v="Awwad"/>
    <s v="Not able to save the changes in  4 pane "/>
    <d v="2026-02-24T08:14:12"/>
    <s v="Rail Maintenance"/>
    <s v="RTA"/>
    <x v="6"/>
    <s v="Service Desk"/>
    <s v="Techm Nabeesu Mohamed"/>
    <s v="Application"/>
    <s v="Application Services"/>
    <m/>
    <s v="Medium"/>
    <d v="2026-02-26T08:54:25"/>
    <m/>
    <s v="Pending"/>
    <m/>
    <s v="No"/>
    <s v="mendix"/>
    <s v="Application Services"/>
    <m/>
    <m/>
    <s v="V0026077"/>
    <s v="Self Service"/>
    <s v="Client Action Required"/>
    <s v="Standard"/>
    <s v="saawwad"/>
    <s v="Sayed.Awwad@rta.ae"/>
    <s v="Within the Service Target"/>
  </r>
  <r>
    <s v="INC000001320806"/>
    <s v="User Service Request"/>
    <s v="Bus"/>
    <s v="Maintenance"/>
    <s v="unlock account request"/>
    <d v="2026-02-24T08:05:10"/>
    <s v="Buses"/>
    <s v="RTA"/>
    <x v="5"/>
    <s v="Service Desk"/>
    <s v="Techm Hussein Aljayeh"/>
    <s v="Desktop"/>
    <s v="Profile"/>
    <s v="Account Lock Out"/>
    <s v="Low"/>
    <d v="2026-02-24T08:07:23"/>
    <d v="2026-02-24T08:05:22"/>
    <s v="Resolved"/>
    <s v="User Account has been unlocked"/>
    <s v="No"/>
    <s v="Techm_HHAljayeh"/>
    <s v="Desktop"/>
    <s v="Profile"/>
    <s v="Account Lock Out"/>
    <m/>
    <s v="Phone"/>
    <s v="USER TO CONFIRM"/>
    <s v="Standard"/>
    <s v="BSMaintenance"/>
    <s v="Busstation.Maintenance@rta.ae"/>
    <s v="Within the Service Target"/>
  </r>
  <r>
    <s v="INC000001320805"/>
    <s v="User Service Request"/>
    <s v="Ahmed"/>
    <s v="Eltohamy"/>
    <s v="Laptop"/>
    <d v="2026-02-24T08:04:22"/>
    <s v="Right Of Way"/>
    <s v="RTA"/>
    <x v="7"/>
    <s v="OnSite  EUS"/>
    <s v="Techm Osama Abdullatif"/>
    <s v="Incident"/>
    <s v="Self-service"/>
    <s v="Mendix"/>
    <s v="Low"/>
    <d v="2026-02-25T10:55:25"/>
    <d v="2026-02-25T10:54:47"/>
    <s v="Resolved"/>
    <s v="User raised a replacement request due to performance issue. Troubleshooted the performance issue with below steps.  - Disabled unnecessary startup items and services  - Ran disk cleanup utility and cleared all temporary files. - Disabled unnecessary tasks in task scheduler. - Disabled Windows apps from running in the background.  - Ran SFC /scannow utility. - Ran DISM utility. - Ran chkdsk utility. - Updated Device Drivers to latest.  checked and confirmed by the user it is working fine.  hence closing the ticket."/>
    <s v="No"/>
    <s v="mendix"/>
    <s v="Desktop"/>
    <s v="OS Issue"/>
    <s v="PC Slowness Issue"/>
    <n v="15620"/>
    <s v="Self Service"/>
    <s v="USER TO CONFIRM"/>
    <s v="Standard"/>
    <s v="ameltohamy"/>
    <s v="Ahmed.Eltohamy@rta.ae"/>
    <s v="Within the Service Target"/>
  </r>
  <r>
    <s v="INC000001320800"/>
    <s v="User Service Request"/>
    <s v="Mohammed"/>
    <s v="Tayyara"/>
    <s v="Guide user to reset the Password through Self services portal."/>
    <d v="2026-02-24T07:54:39"/>
    <s v="Right Of Way"/>
    <s v="RTA"/>
    <x v="7"/>
    <s v="Service Desk"/>
    <s v="Techm Hussein Aljayeh"/>
    <s v="Desktop"/>
    <s v="User Education"/>
    <s v="User Education"/>
    <s v="Low"/>
    <d v="2026-02-24T08:05:50"/>
    <d v="2026-02-24T08:05:49"/>
    <s v="Resolved"/>
    <s v="Password Reset SOP Sent to User by SMS,User Confirm On the same Hence ticket closed"/>
    <s v="No"/>
    <s v="Techm_HHAljayeh"/>
    <s v="Desktop"/>
    <s v="User Education"/>
    <s v="User Education"/>
    <n v="5860"/>
    <s v="Phone"/>
    <s v="USER TO CONFIRM"/>
    <s v="Standard"/>
    <s v="mmtaiyara"/>
    <s v="mohammed.tayyara@rta.ae"/>
    <s v="Within the Service Target"/>
  </r>
  <r>
    <s v="INC000001320795"/>
    <s v="User Service Request"/>
    <s v="Mohammed"/>
    <s v="pilla"/>
    <s v="unlock account request"/>
    <d v="2026-02-24T07:29:43"/>
    <s v="Corporate Technology Support Services CEO"/>
    <s v="RTA"/>
    <x v="4"/>
    <s v="Service Desk"/>
    <s v="Techm Hussein Aljayeh"/>
    <s v="Desktop"/>
    <s v="Profile"/>
    <s v="Account Lock Out"/>
    <s v="Low"/>
    <d v="2026-02-24T07:32:17"/>
    <d v="2026-02-24T07:29:55"/>
    <s v="Resolved"/>
    <s v="User Account has been unlocked"/>
    <s v="No"/>
    <s v="Techm_HHAljayeh"/>
    <s v="Desktop"/>
    <s v="Profile"/>
    <s v="Account Lock Out"/>
    <n v="5736"/>
    <s v="Phone"/>
    <s v="USER TO CONFIRM"/>
    <s v="Standard"/>
    <s v="mskm"/>
    <s v="mohammed.km@rta.ae"/>
    <s v="Within the Service Target"/>
  </r>
  <r>
    <s v="INC000001320793"/>
    <s v="User Service Request"/>
    <s v="Maryam"/>
    <s v="Alketbi"/>
    <s v="Guide user to reset the Password through Self services portal."/>
    <d v="2026-02-24T07:12:02"/>
    <s v="Development &amp; Corporate Performance"/>
    <s v="RTA"/>
    <x v="1"/>
    <s v="Service Desk"/>
    <s v="Techm Hussein Aljayeh"/>
    <s v="Desktop"/>
    <s v="User Education"/>
    <s v="User Education"/>
    <s v="Low"/>
    <d v="2026-02-24T07:14:14"/>
    <d v="2026-02-24T07:12:56"/>
    <s v="Resolved"/>
    <s v="Password Reset SOP Sent to User by SMS,User Confirm On the same Hence ticket closed"/>
    <s v="No"/>
    <s v="Techm_HHAljayeh"/>
    <s v="Desktop"/>
    <s v="User Education"/>
    <s v="User Education"/>
    <n v="15016"/>
    <s v="Phone"/>
    <s v="USER TO CONFIRM"/>
    <s v="Standard"/>
    <s v="mhaalketbi"/>
    <s v="Maryam.Alketbi@rta.ae"/>
    <s v="Within the Service Target"/>
  </r>
  <r>
    <s v="INC000001320791"/>
    <s v="User Service Request"/>
    <s v="Muhammad"/>
    <s v="Khan"/>
    <s v="unlock account request"/>
    <d v="2026-02-24T07:11:01"/>
    <s v="Information Technology"/>
    <s v="RTA"/>
    <x v="4"/>
    <s v="Service Desk"/>
    <s v="Techm Hussein Aljayeh"/>
    <s v="Desktop"/>
    <s v="Profile"/>
    <s v="Account Lock Out"/>
    <s v="Low"/>
    <d v="2026-02-24T07:12:28"/>
    <d v="2026-02-24T07:12:25"/>
    <s v="Resolved"/>
    <s v="User Account has been unlocked"/>
    <s v="No"/>
    <s v="Techm_HHAljayeh"/>
    <s v="Desktop"/>
    <s v="Profile"/>
    <s v="Account Lock Out"/>
    <s v="V0032861"/>
    <s v="Phone"/>
    <s v="USER TO CONFIRM"/>
    <s v="Standard"/>
    <s v="techvista_mwwaqaskha"/>
    <s v="Techvista_Muhammad.Waqaskhan@rta.ae"/>
    <s v="Within the Service Target"/>
  </r>
  <r>
    <s v="INC000001320790"/>
    <s v="User Service Request"/>
    <s v="Waleed"/>
    <s v="Alhammadi"/>
    <s v="unlock account request"/>
    <d v="2026-02-24T06:53:06"/>
    <s v="Licensing Activities Monitoring"/>
    <s v="RTA"/>
    <x v="3"/>
    <s v="Service Desk"/>
    <s v="Techm Hussein Aljayeh"/>
    <s v="Desktop"/>
    <s v="Profile"/>
    <s v="Account Lock Out"/>
    <s v="Low"/>
    <d v="2026-02-24T07:04:14"/>
    <d v="2026-02-24T07:04:11"/>
    <s v="Resolved"/>
    <s v="User Account has been unlocked"/>
    <s v="No"/>
    <s v="Techm_HHAljayeh"/>
    <s v="Desktop"/>
    <s v="Profile"/>
    <s v="Account Lock Out"/>
    <n v="6231"/>
    <s v="Phone"/>
    <s v="USER TO CONFIRM"/>
    <s v="Standard"/>
    <s v="waalhammadi"/>
    <s v="Waleed.Alhammadi@RTA.ae"/>
    <s v="Within the Service Target"/>
  </r>
  <r>
    <s v="INC000001320742"/>
    <s v="User Service Request"/>
    <s v="Yaser"/>
    <s v="Ali"/>
    <s v="CSC Alert - Scan Failure Detected - 23022026-03"/>
    <d v="2026-02-24T03:32:39"/>
    <s v="Buses"/>
    <s v="RTA"/>
    <x v="5"/>
    <s v="OnSite  EUS"/>
    <s v="Techm Ahmad Khantomany"/>
    <s v="Desktop"/>
    <s v="Proactive Monitoring"/>
    <s v="Proactive Action"/>
    <s v="Low"/>
    <d v="2026-02-26T06:53:50"/>
    <m/>
    <s v="Pending"/>
    <m/>
    <s v="No"/>
    <s v="Techm_HHAljayeh"/>
    <m/>
    <m/>
    <m/>
    <n v="3485"/>
    <s v="Email"/>
    <s v="Local Site Action Required"/>
    <s v="Standard"/>
    <s v="yahali"/>
    <s v="Yaser.Ali@RTA.ae"/>
    <s v="Within the Service Target"/>
  </r>
  <r>
    <s v="INC000001320741"/>
    <s v="User Service Request"/>
    <s v="Marwan"/>
    <s v="Elsharkawy"/>
    <s v="CSC Alert - Scan Failure Detected - 23022026-03"/>
    <d v="2026-02-24T03:29:11"/>
    <s v="Customer Happiness"/>
    <s v="RTA"/>
    <x v="0"/>
    <s v="OnSite  EUS"/>
    <s v="Techm Osama Abdullatif"/>
    <s v="Desktop"/>
    <s v="Proactive Monitoring"/>
    <s v="Proactive Action"/>
    <s v="Low"/>
    <d v="2026-02-24T11:26:30"/>
    <d v="2026-02-24T11:26:29"/>
    <s v="Resolved"/>
    <e v="#NAME?"/>
    <s v="No"/>
    <s v="Techm_HHAljayeh"/>
    <s v="Desktop"/>
    <s v="Proactive Monitoring"/>
    <s v="Proactive Action"/>
    <s v="V0030110"/>
    <s v="Email"/>
    <s v="USER TO CONFIRM"/>
    <s v="Standard"/>
    <s v="avaya_maelsharkawy"/>
    <s v="Avaya_Marwan.Elsharkawy@rta.ae"/>
    <s v="Within the Service Target"/>
  </r>
  <r>
    <s v="INC000001320740"/>
    <s v="User Service Request"/>
    <s v="Mohammad"/>
    <s v="Mohammad"/>
    <s v="unlock account request"/>
    <d v="2026-02-24T03:26:10"/>
    <s v="Parkin"/>
    <s v="RTA"/>
    <x v="8"/>
    <s v="Service Desk"/>
    <s v="Techm Hussein Aljayeh"/>
    <s v="Desktop"/>
    <s v="Profile"/>
    <s v="Account Lock Out"/>
    <s v="Low"/>
    <d v="2026-02-24T03:37:09"/>
    <d v="2026-02-24T03:37:08"/>
    <s v="Resolved"/>
    <s v="User Account has been unlocked"/>
    <s v="No"/>
    <s v="Techm_HHAljayeh"/>
    <s v="Desktop"/>
    <s v="Profile"/>
    <s v="Account Lock Out"/>
    <n v="871"/>
    <s v="Phone"/>
    <s v="USER TO CONFIRM"/>
    <s v="Standard"/>
    <s v="MOAalbalooshi"/>
    <s v="Mohammed.Albalooshi@rta.ae"/>
    <s v="Within the Service Target"/>
  </r>
  <r>
    <s v="INC000001320734"/>
    <s v="User Service Request"/>
    <s v="Ishaq"/>
    <s v="Ahmad"/>
    <s v="unlock account request"/>
    <d v="2026-02-24T02:01:50"/>
    <s v="Licensing Activities Monitoring"/>
    <s v="RTA"/>
    <x v="3"/>
    <s v="Service Desk"/>
    <s v="Techm Hussein Aljayeh"/>
    <s v="Desktop"/>
    <s v="Profile"/>
    <s v="Account Lock Out"/>
    <s v="Low"/>
    <d v="2026-02-24T03:36:58"/>
    <d v="2026-02-24T03:36:57"/>
    <s v="Resolved"/>
    <s v="User Account has been unlocked"/>
    <s v="No"/>
    <s v="Techm_HHAljayeh"/>
    <s v="Desktop"/>
    <s v="Profile"/>
    <s v="Account Lock Out"/>
    <n v="1927"/>
    <s v="Phone"/>
    <s v="USER TO CONFIRM"/>
    <s v="Standard"/>
    <s v="imahmad"/>
    <s v="Ishaq.Ahmad@rta.ae"/>
    <s v="Within the Service Target"/>
  </r>
  <r>
    <s v="INC000001320733"/>
    <s v="User Service Request"/>
    <s v="Arnold"/>
    <s v="Maniquiz"/>
    <s v="Office365 Login Configuration"/>
    <d v="2026-02-24T02:00:08"/>
    <s v="Maintenance &amp; Services"/>
    <s v="RTA"/>
    <x v="5"/>
    <s v="Service Desk"/>
    <s v="Techm Hussein Aljayeh"/>
    <s v="Desktop"/>
    <s v="Mail"/>
    <s v="Outlook Reconfiguration(RE)"/>
    <s v="Low"/>
    <d v="2026-02-24T03:39:17"/>
    <d v="2026-02-24T03:39:16"/>
    <s v="Resolved"/>
    <s v="Request has been Completed Through Remote Access,User Confirm On the same Hence ticket closed"/>
    <s v="No"/>
    <s v="Techm_HHAljayeh"/>
    <s v="Desktop"/>
    <s v="Mail"/>
    <s v="Outlook Reconfiguration"/>
    <n v="11097"/>
    <s v="Phone"/>
    <s v="USER TO CONFIRM"/>
    <s v="Standard"/>
    <s v="aymaniquiz"/>
    <s v="Arnold.Maniquiz@rta.ae"/>
    <s v="Within the Service Target"/>
  </r>
  <r>
    <s v="INC000001320732"/>
    <s v="User Service Request"/>
    <s v="Abdulhameed"/>
    <s v="Eltohamy"/>
    <s v="Guide user to reset the Password through Self services portal."/>
    <d v="2026-02-24T01:50:09"/>
    <s v="Roads &amp; Facilities Maintenance"/>
    <s v="RTA"/>
    <x v="7"/>
    <s v="Service Desk"/>
    <s v="Techm Hussein Aljayeh"/>
    <s v="Desktop"/>
    <s v="User Education"/>
    <s v="User Education"/>
    <s v="Low"/>
    <d v="2026-02-24T03:38:42"/>
    <d v="2026-02-24T03:38:41"/>
    <s v="Resolved"/>
    <s v="Password Reset SOP Sent to User by SMS,User Confirm On the same Hence ticket closed"/>
    <s v="No"/>
    <s v="Techm_HHAljayeh"/>
    <s v="Desktop"/>
    <s v="User Education"/>
    <s v="User Education"/>
    <n v="6486"/>
    <s v="Phone"/>
    <s v="USER TO CONFIRM"/>
    <s v="Standard"/>
    <s v="asmeltohamy"/>
    <s v="Abdulhameed.Eltohamy@rta.ae"/>
    <s v="Within the Service Target"/>
  </r>
  <r>
    <s v="INC000001320729"/>
    <s v="User Service Request"/>
    <s v="Surjeet"/>
    <s v="Samanta"/>
    <s v="Nexthink: Device error 0X133"/>
    <d v="2026-02-24T01:32:33"/>
    <s v="Information Technology"/>
    <s v="RTA"/>
    <x v="4"/>
    <s v="SCCM-Nexthink Support"/>
    <s v="Surjeet Samanta"/>
    <s v="Desktop"/>
    <s v="Proactive Monitoring"/>
    <s v="Proactive Action"/>
    <s v="Low"/>
    <d v="2026-02-24T23:10:00"/>
    <d v="2026-02-24T23:09:57"/>
    <s v="Resolved"/>
    <s v="Require registry fix has been pushed to the affected device.. no further action require"/>
    <s v="No"/>
    <s v="Techm_HHAljayeh"/>
    <s v="Desktop"/>
    <s v="Proactive Monitoring"/>
    <s v="Proactive Action"/>
    <s v="V0024624"/>
    <s v="Phone"/>
    <s v="No Further Action Required"/>
    <s v="Standard"/>
    <s v="techm_sjsamanta"/>
    <s v="Techm_Surjeet.Samanta@rta.ae"/>
    <s v="Within the Service Target"/>
  </r>
  <r>
    <s v="INC000001320726"/>
    <s v="User Service Request"/>
    <s v="Obid"/>
    <s v="Bilal"/>
    <s v="RTA Mail Outlook configuration on Personal Smart Phone"/>
    <d v="2026-02-24T00:21:41"/>
    <s v="Right Of Way"/>
    <s v="RTA"/>
    <x v="7"/>
    <s v="Service Desk"/>
    <s v="Techm Hussein Aljayeh"/>
    <s v="Desktop"/>
    <s v="Personal Device Support"/>
    <s v="Personal Smart Phone"/>
    <s v="Low"/>
    <d v="2026-02-24T03:38:16"/>
    <d v="2026-02-24T03:38:14"/>
    <s v="Resolved"/>
    <s v="SOP -SMS Sent to User ,User Confirm On the same Hence ticket Closed."/>
    <s v="No"/>
    <s v="Techm_HHAljayeh"/>
    <s v="Desktop"/>
    <s v="Personal Device Support"/>
    <s v="Personal Smart Phone"/>
    <n v="4010"/>
    <s v="Phone"/>
    <s v="USER TO CONFIRM"/>
    <s v="Standard"/>
    <s v="OJBilal"/>
    <s v="Obid.Bilal@rta.ae"/>
    <s v="Within the Service Target"/>
  </r>
  <r>
    <s v="INC000001320723"/>
    <s v="User Service Request"/>
    <s v="Mohammed"/>
    <s v="Alwakil"/>
    <s v="VPN Configuration Request"/>
    <d v="2026-02-24T00:04:46"/>
    <s v="Human Resources &amp; Development"/>
    <s v="RTA"/>
    <x v="0"/>
    <s v="Service Desk"/>
    <s v="Techm Hussein Aljayeh"/>
    <s v="Desktop"/>
    <s v="Configuration"/>
    <s v="VPN Configuration"/>
    <s v="Low"/>
    <d v="2026-02-24T03:37:45"/>
    <d v="2026-02-24T03:37:44"/>
    <s v="Resolved"/>
    <s v="Request has been Completed Through Phone,User Confirm On the same Hence ticket Closed."/>
    <s v="No"/>
    <s v="Techm_HHAljayeh"/>
    <s v="Desktop"/>
    <s v="Configuration"/>
    <s v="VPN Configuration"/>
    <n v="15925"/>
    <s v="Phone"/>
    <s v="USER TO CONFIRM"/>
    <s v="Standard"/>
    <s v="mhalwakil"/>
    <s v="Mohammed.Alwakil@rta.ae"/>
    <s v="Within the Service Target"/>
  </r>
  <r>
    <s v="INC000001320722"/>
    <s v="User Service Request"/>
    <s v="Ahmed"/>
    <s v="Shaaban-Contractor"/>
    <s v="Guide user to reset the Password through Self services portal."/>
    <d v="2026-02-24T00:02:25"/>
    <s v="Administration Services"/>
    <s v="RTA"/>
    <x v="0"/>
    <s v="Service Desk"/>
    <s v="Techm Hussein Aljayeh"/>
    <s v="Desktop"/>
    <s v="User Education"/>
    <s v="User Education"/>
    <s v="Low"/>
    <d v="2026-02-24T03:37:25"/>
    <d v="2026-02-24T03:37:24"/>
    <s v="Resolved"/>
    <s v="Password Reset SOP Sent to User by SMS,User Confirm On the same Hence ticket closed"/>
    <s v="No"/>
    <s v="Techm_HHAljayeh"/>
    <s v="Desktop"/>
    <s v="User Education"/>
    <s v="User Education"/>
    <s v="V0010799"/>
    <s v="Phone"/>
    <s v="USER TO CONFIRM"/>
    <s v="Standard"/>
    <s v="apex_aashaaban"/>
    <s v="Apex_Ahmed.Shaaban@rta.ae"/>
    <s v="Within the Service Target"/>
  </r>
  <r>
    <s v="INC000001320721"/>
    <s v="User Service Request"/>
    <s v="Saleem"/>
    <s v="Kadavath"/>
    <s v="unlock account request"/>
    <d v="2026-02-24T00:01:55"/>
    <s v="Buses"/>
    <s v="RTA"/>
    <x v="5"/>
    <s v="Service Desk"/>
    <s v="Techm Hussein Aljayeh"/>
    <s v="Desktop"/>
    <s v="Profile"/>
    <s v="Account Lock Out"/>
    <s v="Low"/>
    <d v="2026-02-24T03:36:47"/>
    <d v="2026-02-24T03:36:46"/>
    <s v="Resolved"/>
    <s v="User Account has been unlocked"/>
    <s v="No"/>
    <s v="Techm_HHAljayeh"/>
    <s v="Desktop"/>
    <s v="Profile"/>
    <s v="Account Lock Out"/>
    <s v="V0027508"/>
    <s v="Phone"/>
    <s v="USER TO CONFIRM"/>
    <s v="Standard"/>
    <s v="srsl_svkadavath"/>
    <s v="Srsl_Saleem.Kadavath@rta.ae"/>
    <s v="Within the Service Target"/>
  </r>
  <r>
    <s v="INC000001320720"/>
    <s v="User Service Request"/>
    <s v="Yassine"/>
    <s v="Lamsahhal"/>
    <s v="unlock account request"/>
    <d v="2026-02-24T00:01:27"/>
    <s v="Buses"/>
    <s v="RTA"/>
    <x v="5"/>
    <s v="Service Desk"/>
    <s v="Techm Hussein Aljayeh"/>
    <s v="Desktop"/>
    <s v="Profile"/>
    <s v="Account Lock Out"/>
    <s v="Low"/>
    <d v="2026-02-24T03:36:36"/>
    <d v="2026-02-24T03:36:31"/>
    <s v="Resolved"/>
    <s v="User Account has been unlocked"/>
    <s v="No"/>
    <s v="Techm_HHAljayeh"/>
    <s v="Desktop"/>
    <s v="Profile"/>
    <s v="Account Lock Out"/>
    <s v="V0025288"/>
    <s v="Phone"/>
    <s v="USER TO CONFIRM"/>
    <s v="Standard"/>
    <s v="srsl_yllamsahhal"/>
    <s v="Srsl_Yassine.Lamsahhal@rta.ae"/>
    <s v="Within the Service Target"/>
  </r>
  <r>
    <s v="INC000001320715"/>
    <s v="User Service Request"/>
    <s v="Stewart"/>
    <s v="Fernandes"/>
    <s v="unlock account request"/>
    <d v="2026-02-23T23:12:39"/>
    <s v="Enterprise Command &amp; Control"/>
    <s v="RTA"/>
    <x v="1"/>
    <s v="Service Desk"/>
    <s v="Techm Omer Mohamed"/>
    <s v="Desktop"/>
    <s v="Profile"/>
    <s v="Account Lock Out"/>
    <s v="Low"/>
    <d v="2026-02-23T23:15:23"/>
    <d v="2026-02-23T23:12:55"/>
    <s v="Resolved"/>
    <s v="ec3_itservicedesk account has been unlocked"/>
    <s v="No"/>
    <s v="Techm_OFMohamed"/>
    <s v="Desktop"/>
    <s v="Profile"/>
    <s v="Account Lock Out"/>
    <s v="V0029932"/>
    <s v="Phone"/>
    <s v="USER TO CONFIRM"/>
    <s v="Standard"/>
    <s v="cns_sffernandes"/>
    <s v="Cns_Stewart.Fernandes@rta.ae"/>
    <s v="Within the Service Target"/>
  </r>
  <r>
    <s v="INC000001320713"/>
    <s v="User Service Restoration"/>
    <s v="Nihad"/>
    <s v="Mozayek"/>
    <s v="Single Risk Event: machine RTA-CTS-ITD-919 infected with Heur.AdvML.B, action Quarantined"/>
    <d v="2026-02-23T22:43:40"/>
    <s v="Information Technology"/>
    <s v="RTA"/>
    <x v="4"/>
    <s v="OnSite  EUS"/>
    <s v="Nihad Mozayek"/>
    <s v="Desktop"/>
    <s v="Virus Issue"/>
    <s v="Virus issue"/>
    <s v="Critical"/>
    <d v="2026-02-26T06:53:50"/>
    <m/>
    <s v="Pending"/>
    <m/>
    <s v="No"/>
    <s v="Techm_OFMohamed"/>
    <m/>
    <m/>
    <m/>
    <s v="V0031936"/>
    <s v="Email"/>
    <s v="Local Site Action Required"/>
    <s v="Standard"/>
    <s v="techm_nmmozayek"/>
    <s v="Techm_Nihad.Mozayek@rta.ae"/>
    <s v="Within the Service Target"/>
  </r>
  <r>
    <s v="INC000001320700"/>
    <s v="User Service Request"/>
    <s v="Abdulla"/>
    <s v="Alblooshi"/>
    <s v="New Laptop Request"/>
    <d v="2026-02-23T20:29:43"/>
    <s v="Human Resources &amp; Development"/>
    <s v="RTA"/>
    <x v="0"/>
    <s v="OnSite  EUS"/>
    <s v="Techm Elsayed Mohamed"/>
    <s v="Desktop"/>
    <s v="Hardware Request"/>
    <s v="Laptop"/>
    <s v="Low"/>
    <d v="2026-02-26T09:19:29"/>
    <m/>
    <s v="Pending"/>
    <m/>
    <s v="No"/>
    <s v="Techm_OFMohamed"/>
    <m/>
    <m/>
    <m/>
    <n v="15014"/>
    <s v="Email"/>
    <s v="Asset Collection from Stores"/>
    <s v="Standard"/>
    <s v="ayoalblooshi"/>
    <s v="Abdulla.YAlblooshi@rta.ae"/>
    <s v="Within the Service Target"/>
  </r>
  <r>
    <s v="INC000001320699"/>
    <s v="User Service Request"/>
    <s v="Maryam Ahmed"/>
    <s v="Srouri"/>
    <s v="New Laptop Request"/>
    <d v="2026-02-23T20:27:44"/>
    <s v="Roads &amp; Facilities Maintenance"/>
    <s v="RTA"/>
    <x v="7"/>
    <s v="OnSite  EUS"/>
    <s v="Ahmed Almeldeen"/>
    <s v="Desktop"/>
    <s v="Hardware Request"/>
    <s v="Laptop"/>
    <s v="Low"/>
    <d v="2026-02-26T06:53:50"/>
    <m/>
    <s v="Pending"/>
    <m/>
    <s v="No"/>
    <s v="Techm_OFMohamed"/>
    <m/>
    <m/>
    <m/>
    <n v="2976"/>
    <s v="Email"/>
    <s v="Asset Collection from Stores"/>
    <s v="Standard"/>
    <s v="MASrouri"/>
    <s v="Maryam.Srouri@rta.ae"/>
    <s v="Within the Service Target"/>
  </r>
  <r>
    <s v="INC000001320689"/>
    <s v="User Service Request"/>
    <s v="Raed"/>
    <s v="Ismail"/>
    <s v="Enable PC location"/>
    <d v="2026-02-23T20:08:56"/>
    <s v="Passengers Transport Activities Monitoring"/>
    <s v="RTA"/>
    <x v="5"/>
    <s v="OnSite  EUS"/>
    <s v="Techm Osama Abdullatif"/>
    <s v="Desktop"/>
    <s v="Configuration"/>
    <s v="PC Reconnection"/>
    <s v="Low"/>
    <d v="2026-02-25T08:49:14"/>
    <d v="2026-02-25T08:49:12"/>
    <s v="Resolved"/>
    <s v="Enabled the PC Location Services as requested."/>
    <s v="No"/>
    <s v="Techm_OFMohamed"/>
    <s v="Desktop"/>
    <s v="Configuration"/>
    <s v="Profile Configuration"/>
    <n v="13171"/>
    <s v="Phone"/>
    <s v="USER TO CONFIRM"/>
    <s v="Standard"/>
    <s v="RKIsmail"/>
    <s v="Raed.Ismail@rta.ae"/>
    <s v="Within the Service Target"/>
  </r>
  <r>
    <s v="INC000001320682"/>
    <s v="User Service Restoration"/>
    <s v="Nahla"/>
    <s v="Ahmed"/>
    <s v="Unable to receive emails from specific vendor"/>
    <d v="2026-02-23T19:09:53"/>
    <s v="Human Resources &amp; Development"/>
    <s v="RTA"/>
    <x v="0"/>
    <s v="Service Desk"/>
    <s v="Techm Nabeesu Mohamed"/>
    <s v="Desktop"/>
    <s v="Mail Client Issue"/>
    <s v="Unable to Send/Receive Mails(RE)"/>
    <s v="Medium"/>
    <d v="2026-02-26T06:53:50"/>
    <m/>
    <s v="Pending"/>
    <m/>
    <s v="No"/>
    <s v="Techm_OFMohamed"/>
    <m/>
    <m/>
    <m/>
    <n v="15383"/>
    <s v="Email"/>
    <s v="Client Action Required"/>
    <s v="Standard"/>
    <s v="nmoahmed"/>
    <s v="Nahla.Ahmed@rta.ae"/>
    <s v="Within the Service Target"/>
  </r>
  <r>
    <s v="INC000001320658"/>
    <s v="User Service Restoration"/>
    <s v="Constellation Jayesh"/>
    <s v="Wagle"/>
    <s v="10.11.88.86 Server SFTP Access Issue"/>
    <d v="2026-02-23T16:32:44"/>
    <s v="Information Technology"/>
    <s v="RTA"/>
    <x v="4"/>
    <s v="Service Desk"/>
    <s v="Techm Nabeesu Mohamed"/>
    <s v="System Domain"/>
    <s v="System Management"/>
    <s v="non-categorised Requesets"/>
    <s v="Medium"/>
    <d v="2026-02-26T08:06:55"/>
    <m/>
    <s v="Pending"/>
    <m/>
    <s v="No"/>
    <s v="Techm_OFMohamed"/>
    <m/>
    <m/>
    <m/>
    <s v="V0010923"/>
    <s v="Email"/>
    <s v="Client Action Required"/>
    <s v="Standard"/>
    <s v="constellation_jgwagl"/>
    <s v="Constellation_Jayesh.Wagle@rta.ae"/>
    <s v="Within the Service Target"/>
  </r>
  <r>
    <s v="INC000001320651"/>
    <s v="User Service Restoration"/>
    <s v="Sara"/>
    <s v="Marzooq"/>
    <s v="System booting issue"/>
    <d v="2026-02-23T16:13:42"/>
    <s v="Customer Happiness"/>
    <s v="RTA"/>
    <x v="0"/>
    <s v="OnSite  EUS"/>
    <s v="Techm Ahmed Mahmoud"/>
    <s v="Desktop"/>
    <s v="OS Issue"/>
    <s v="Booting Issue"/>
    <s v="Critical"/>
    <d v="2026-02-24T15:00:21"/>
    <d v="2026-02-24T15:00:19"/>
    <s v="Resolved"/>
    <s v="The system BIOS has been successfully reset, and following a restart, the system is now operating normally with all driver updates completed. This maintenance ensures that the hardware configurations are aligned and the latest software optimizations are in place to maintain system stability and performance."/>
    <s v="No"/>
    <s v="Techm_OFMohamed"/>
    <s v="Desktop"/>
    <s v="OS Issue"/>
    <s v="Booting Issue"/>
    <n v="11368"/>
    <s v="Email"/>
    <s v="USER TO CONFIRM"/>
    <s v="Standard"/>
    <s v="symarzooq"/>
    <s v="Sara.Marzooq@rta.ae"/>
    <s v="Within the Service Target"/>
  </r>
  <r>
    <s v="INC000001320639"/>
    <s v="User Service Request"/>
    <s v="Ahmed"/>
    <s v="Alrashdi"/>
    <s v="Counter 5 Activation - Al Barsha CHC"/>
    <d v="2026-02-23T15:06:47"/>
    <s v="Customer Happiness"/>
    <s v="RTA"/>
    <x v="0"/>
    <s v="OnSite  EUS"/>
    <s v="Techm Ahmed Mahmoud"/>
    <s v="Desktop"/>
    <s v="Configuration"/>
    <s v="Profile Configuration"/>
    <s v="Low"/>
    <d v="2026-02-24T14:55:02"/>
    <d v="2026-02-24T14:55:00"/>
    <s v="Resolved"/>
    <s v="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
    <s v="No"/>
    <s v="Techm_OFMohamed"/>
    <s v="Desktop"/>
    <s v="Configuration"/>
    <s v="Profile Configuration"/>
    <n v="4676"/>
    <s v="Email"/>
    <s v="USER TO CONFIRM"/>
    <s v="Sensitive"/>
    <s v="aaalrashdi"/>
    <s v="Ahmed.Alrashdi@RTA.ae"/>
    <s v="Within the Service Target"/>
  </r>
  <r>
    <s v="INC000001320637"/>
    <s v="User Service Restoration"/>
    <s v="Experts Karl"/>
    <s v="Madla"/>
    <s v="Laptop booting issue"/>
    <d v="2026-02-23T14:54:35"/>
    <s v="Passengers Transport Activities Monitoring"/>
    <s v="RTA"/>
    <x v="5"/>
    <s v="OnSite  EUS"/>
    <s v="Mohamed Mustaq Ali"/>
    <s v="Desktop"/>
    <s v="OS Issue"/>
    <s v="Booting Issue"/>
    <s v="Medium"/>
    <d v="2026-02-26T08:16:45"/>
    <d v="2026-02-26T08:16:44"/>
    <s v="Resolved"/>
    <s v="Checked and found USB C-1port loose connection and laptop not charging; identified a problem with the motherboard and replaced the motherboard by AMC team."/>
    <s v="No"/>
    <s v="Techm_OFMohamed"/>
    <s v="Desktop"/>
    <s v="OS Issue"/>
    <s v="Booting Issue"/>
    <s v="V009535"/>
    <s v="Email"/>
    <s v="USER TO CONFIRM"/>
    <s v="Standard"/>
    <s v="Experts_KTMadla"/>
    <s v="Experts_Karl.Madla@rta.ae"/>
    <s v="Within the Service Target"/>
  </r>
  <r>
    <s v="INC000001320624"/>
    <s v="User Service Request"/>
    <s v="maryam"/>
    <s v="taher"/>
    <s v="Smart traffic configuration Request"/>
    <d v="2026-02-23T14:37:07"/>
    <s v="Customer Happiness"/>
    <s v="RTA"/>
    <x v="0"/>
    <s v="Service Desk"/>
    <s v="Techm Ghaya Hamad"/>
    <s v="Desktop"/>
    <s v="RTA Standard Application installation Request"/>
    <s v="MS Edge"/>
    <s v="Low"/>
    <d v="2026-02-24T09:46:42"/>
    <d v="2026-02-24T09:46:39"/>
    <s v="Resolved"/>
    <s v="Smart traffic configuration has been configured in Ms edge"/>
    <s v="No"/>
    <s v="Techm_GAHamad"/>
    <s v="Desktop"/>
    <s v="RTA Standard Application installation Request"/>
    <s v="MS Edge"/>
    <n v="10699"/>
    <s v="Phone"/>
    <s v="USER TO CONFIRM"/>
    <s v="Standard"/>
    <s v="mmtaher"/>
    <s v="maryamm.taher@rta.ae"/>
    <s v="Within the Service Target"/>
  </r>
  <r>
    <s v="INC000001320618"/>
    <s v="User Service Restoration"/>
    <s v="Abdul"/>
    <s v="Khan"/>
    <s v="Intranet credential Issue"/>
    <d v="2026-02-23T14:30:35"/>
    <s v="Transportation Strategic Planning"/>
    <s v="RTA"/>
    <x v="1"/>
    <s v="Service Desk"/>
    <s v="Techm Ghaya Hamad"/>
    <s v="Desktop"/>
    <s v="Internet/Intranet Issues"/>
    <s v="Internet POP UP(RE)"/>
    <s v="Medium"/>
    <d v="2026-02-24T09:51:20"/>
    <d v="2026-02-24T09:51:05"/>
    <s v="Resolved"/>
    <s v="Clear cache browser has been done Reset &amp; update browser  GPupdate /force"/>
    <s v="No"/>
    <s v="Techm_GAHamad"/>
    <s v="Desktop"/>
    <s v="Internet / Intranet Issues"/>
    <s v="Internet POP UP"/>
    <n v="14806"/>
    <s v="Phone"/>
    <s v="USER TO CONFIRM"/>
    <s v="Standard"/>
    <s v="abaskhan"/>
    <s v="AbdulBaseer.Khan@rta.ae"/>
    <s v="Within the Service Target"/>
  </r>
  <r>
    <s v="INC000001320616"/>
    <s v="User Service Request"/>
    <s v="Anji"/>
    <s v="Alghafeer"/>
    <s v="Request an electronic signature device"/>
    <d v="2026-02-23T14:28:46"/>
    <s v="Buses"/>
    <s v="RTA"/>
    <x v="5"/>
    <s v="OnSite  EUS"/>
    <s v="Techm Osama Abdullatif"/>
    <s v="Desktop"/>
    <s v="Audio and Video"/>
    <s v="Request for AV Devices (LED/LCD TVs &amp; audio)"/>
    <s v="Low"/>
    <d v="2026-02-24T10:20:07"/>
    <d v="2026-02-24T10:20:06"/>
    <s v="Resolved"/>
    <s v="- Requested deice (E-Signature) is not part of IT service catalogue hence ITD can’t provide it, - Sent email to inform her with the same.  - Hence closing the ticket."/>
    <s v="No"/>
    <s v="techm_maalhammadi"/>
    <s v="Desktop"/>
    <s v="Hardware Request"/>
    <s v="Smart Device"/>
    <s v="V0025357"/>
    <s v="Email"/>
    <s v="USER TO CONFIRM"/>
    <s v="Standard"/>
    <s v="srsl_ahalghafeer"/>
    <s v="Srsl_Anji.Alghafeer@rta.ae"/>
    <s v="Within the Service Target"/>
  </r>
  <r>
    <s v="INC000001320576"/>
    <s v="User Service Request"/>
    <s v="Muhammed"/>
    <s v="Khan"/>
    <s v="Outlook configuration"/>
    <d v="2026-02-23T13:28:24"/>
    <s v="Roads &amp; Facilities Maintenance"/>
    <s v="RTA"/>
    <x v="7"/>
    <s v="Service Desk"/>
    <s v="Mohamed Alajlani"/>
    <s v="Desktop"/>
    <s v="Mail"/>
    <s v="Outlook Reconfiguration(RE)"/>
    <s v="Low"/>
    <d v="2026-02-23T13:29:10"/>
    <d v="2026-02-23T13:29:05"/>
    <s v="Resolved"/>
    <s v="Outlook has been successfully configured and activated as requested."/>
    <s v="No"/>
    <s v="techm_myalajlani"/>
    <s v="Desktop"/>
    <s v="Mail"/>
    <s v="Outlook Reconfiguration(RE)"/>
    <n v="5873"/>
    <s v="Phone"/>
    <s v="USER TO CONFIRM"/>
    <s v="Standard"/>
    <s v="mkhan"/>
    <s v="Muhammed.Khan@rta.ae"/>
    <s v="Within the Service Target"/>
  </r>
  <r>
    <s v="INC000001320573"/>
    <s v="User Service Request"/>
    <s v="Muhammad"/>
    <s v="Asghar"/>
    <s v="NX-Hardware Upgrade"/>
    <d v="2026-02-23T13:21:26"/>
    <s v="Information Technology"/>
    <s v="RTA"/>
    <x v="4"/>
    <s v="SCCM-Nexthink Support"/>
    <s v="Surjeet Samanta"/>
    <s v="Incident"/>
    <s v="Self-service"/>
    <s v="Mendix"/>
    <s v="Low"/>
    <d v="2026-02-26T08:15:42"/>
    <m/>
    <s v="Pending"/>
    <m/>
    <s v="No"/>
    <s v="mendix"/>
    <m/>
    <m/>
    <m/>
    <n v="15060"/>
    <s v="Self Service"/>
    <s v="Local Site Action Required"/>
    <s v="Standard"/>
    <s v="maasghar"/>
    <s v="Muhammad.Asghar@rta.ae"/>
    <s v="Within the Service Target"/>
  </r>
  <r>
    <s v="INC000001320565"/>
    <s v="User Service Restoration"/>
    <s v="Sergio"/>
    <s v="Grosso"/>
    <s v="unable to run python program on 2 machines"/>
    <d v="2026-02-23T13:06:35"/>
    <s v="Strategic Planning"/>
    <s v="RTA"/>
    <x v="1"/>
    <s v="OnSite  EUS"/>
    <s v="Mohamed Al Taweel"/>
    <s v="Incident"/>
    <s v="Self-service"/>
    <s v="Mendix"/>
    <s v="Medium"/>
    <d v="2026-02-24T11:21:05"/>
    <d v="2026-02-24T11:21:03"/>
    <s v="Resolved"/>
    <s v="The issue was resolved by using a different Python version"/>
    <s v="No"/>
    <s v="mendix"/>
    <s v="Application"/>
    <s v="Application Services"/>
    <s v="Non-Standard Software Applications"/>
    <s v="V009668"/>
    <s v="Self Service"/>
    <s v="USER TO CONFIRM"/>
    <s v="Standard"/>
    <s v="Trans_SGGrosso"/>
    <s v="Trans_Sergio.Grosso@rta.ae"/>
    <s v="Within the Service Target"/>
  </r>
  <r>
    <s v="INC000001320557"/>
    <s v="User Service Request"/>
    <s v="Saeed"/>
    <s v="Almheiri"/>
    <s v="Network Folder/ Files / Email Restoration"/>
    <d v="2026-02-23T12:55:15"/>
    <s v="Intelligent Traffic System"/>
    <s v="RTA"/>
    <x v="7"/>
    <s v="Service Desk"/>
    <s v="Maitha Alhammadi"/>
    <s v="Incident"/>
    <s v="Self-service"/>
    <s v="Mendix"/>
    <s v="Low"/>
    <d v="2026-02-26T09:59:59"/>
    <m/>
    <s v="Pending"/>
    <m/>
    <s v="No"/>
    <s v="mendix"/>
    <m/>
    <m/>
    <m/>
    <n v="13361"/>
    <s v="Self Service"/>
    <s v="Client Action Required"/>
    <s v="Standard"/>
    <s v="STAlmheiri"/>
    <s v="Saeed.TAlmheiri@rta.ae"/>
    <s v="Within the Service Target"/>
  </r>
  <r>
    <s v="INC000001320556"/>
    <s v="User Service Request"/>
    <s v="Imad"/>
    <s v="Khochman"/>
    <s v="Network Folder/ Files / Email Restoration"/>
    <d v="2026-02-23T12:55:13"/>
    <s v="Commercial Transport Activities"/>
    <s v="RTA"/>
    <x v="3"/>
    <s v="Service Desk"/>
    <s v="Maitha Alhammadi"/>
    <s v="Incident"/>
    <s v="Self-service"/>
    <s v="Mendix"/>
    <s v="Low"/>
    <d v="2026-02-25T13:23:06"/>
    <m/>
    <s v="In Progress"/>
    <m/>
    <s v="No"/>
    <s v="mendix"/>
    <m/>
    <m/>
    <m/>
    <s v="V0033310"/>
    <s v="Self Service"/>
    <m/>
    <s v="Standard"/>
    <s v="tms_ikkhochman"/>
    <s v="Tms_Imad.Khochman@rta.ae"/>
    <s v="Service Target Warning"/>
  </r>
  <r>
    <s v="INC000001320553"/>
    <s v="User Service Request"/>
    <s v="Fahad"/>
    <s v="Alshehhi"/>
    <s v="Network Folder/ Files / Email Restoration"/>
    <d v="2026-02-23T12:52:59"/>
    <s v="Intelligent Traffic System"/>
    <s v="RTA"/>
    <x v="7"/>
    <s v="Service Desk"/>
    <s v="Maitha Alhammadi"/>
    <s v="Incident"/>
    <s v="Self-service"/>
    <s v="Mendix"/>
    <s v="Low"/>
    <d v="2026-02-26T09:58:21"/>
    <m/>
    <s v="Pending"/>
    <m/>
    <s v="No"/>
    <s v="mendix"/>
    <m/>
    <m/>
    <m/>
    <n v="12729"/>
    <s v="Self Service"/>
    <s v="Client Action Required"/>
    <s v="Standard"/>
    <s v="FAAlshehhi"/>
    <s v="Fahad.Alshehhi@rta.ae"/>
    <s v="Within the Service Target"/>
  </r>
  <r>
    <s v="INC000001320550"/>
    <s v="User Service Request"/>
    <s v="Emadeldin"/>
    <s v="Aboukoush"/>
    <s v="Network Folder/ Files / Email Restoration"/>
    <d v="2026-02-23T12:51:03"/>
    <s v="Intelligent Traffic System"/>
    <s v="RTA"/>
    <x v="7"/>
    <s v="Service Desk"/>
    <s v="Maitha Alhammadi"/>
    <s v="Incident"/>
    <s v="Self-service"/>
    <s v="Mendix"/>
    <s v="Low"/>
    <d v="2026-02-26T09:57:13"/>
    <m/>
    <s v="Pending"/>
    <m/>
    <s v="No"/>
    <s v="mendix"/>
    <m/>
    <m/>
    <m/>
    <n v="10018"/>
    <s v="Self Service"/>
    <s v="Client Action Required"/>
    <s v="Standard"/>
    <s v="eaaboukoush"/>
    <s v="Emadeldin.Aboukoush@RTA.ae"/>
    <s v="Within the Service Target"/>
  </r>
  <r>
    <s v="INC000001320547"/>
    <s v="User Service Request"/>
    <s v="Shaikha"/>
    <s v="Alali"/>
    <s v="VPN Configuration Request"/>
    <d v="2026-02-23T12:56:10"/>
    <s v="Procurement"/>
    <s v="RTA"/>
    <x v="0"/>
    <s v="Service Desk"/>
    <s v="Mohamed Siragelnour"/>
    <s v="Desktop"/>
    <s v="Configuration"/>
    <s v="VPN Configuration"/>
    <s v="Low"/>
    <d v="2026-02-23T12:56:39"/>
    <d v="2026-02-23T12:56:36"/>
    <s v="Resolved"/>
    <s v="VPN has been configured successfully."/>
    <s v="No"/>
    <s v="techm_mbsiragelnour"/>
    <s v="Desktop"/>
    <s v="Configuration"/>
    <s v="VPN Configuration"/>
    <n v="11503"/>
    <s v="Phone"/>
    <s v="USER TO CONFIRM"/>
    <s v="Standard"/>
    <s v="shalali"/>
    <s v="Shaikha.Alali@rta.ae"/>
    <s v="Within the Service Target"/>
  </r>
  <r>
    <s v="INC000001320545"/>
    <s v="User Service Request"/>
    <s v="Saeed"/>
    <s v="Alkhuroosi"/>
    <s v="Keyboard"/>
    <d v="2026-02-23T12:46:56"/>
    <s v="Dubai Transport CEO"/>
    <s v="RTA"/>
    <x v="5"/>
    <s v="Service Desk"/>
    <s v="Maitha Alhammadi"/>
    <s v="Incident"/>
    <s v="Self-service"/>
    <s v="Mendix"/>
    <s v="High"/>
    <d v="2026-02-26T09:55:47"/>
    <m/>
    <s v="Pending"/>
    <m/>
    <s v="No"/>
    <s v="mendix"/>
    <m/>
    <m/>
    <m/>
    <n v="15738"/>
    <s v="Self Service"/>
    <s v="Client Action Required"/>
    <s v="Standard"/>
    <s v="ssalkhuroosi"/>
    <s v="Saeed.Alkhuroosi@rta.ae"/>
    <s v="Within the Service Target"/>
  </r>
  <r>
    <s v="INC000001320540"/>
    <s v="User Service Request"/>
    <s v="Ayesha"/>
    <s v="Aljasmi"/>
    <s v="Outlook configuration"/>
    <d v="2026-02-23T12:36:44"/>
    <s v="Assets Management"/>
    <s v="RTA"/>
    <x v="1"/>
    <s v="Service Desk"/>
    <s v="Mohamed Alajlani"/>
    <s v="Desktop"/>
    <s v="Mail"/>
    <s v="Outlook Reconfiguration(RE)"/>
    <s v="Low"/>
    <d v="2026-02-23T12:53:52"/>
    <d v="2026-02-23T12:53:51"/>
    <s v="Resolved"/>
    <s v="The Outlook has been configured as requested."/>
    <s v="No"/>
    <s v="techm_myalajlani"/>
    <s v="Desktop"/>
    <s v="Mail"/>
    <s v="Outlook Reconfiguration(RE)"/>
    <n v="15837"/>
    <s v="Phone"/>
    <s v="USER TO CONFIRM"/>
    <s v="Standard"/>
    <s v="aabdulaljasmi"/>
    <s v="Ayesha.Aljasmi@rta.ae"/>
    <s v="Within the Service Target"/>
  </r>
  <r>
    <s v="INC000001320532"/>
    <s v="User Service Request"/>
    <s v="Muhammad"/>
    <s v="Asghar"/>
    <s v="Software Installing Request"/>
    <d v="2026-02-23T12:29:04"/>
    <s v="Information Technology"/>
    <s v="RTA"/>
    <x v="4"/>
    <s v="Service Desk"/>
    <s v="Ismael Ismael"/>
    <s v="Incident"/>
    <s v="Self-service"/>
    <s v="Mendix"/>
    <s v="Low"/>
    <d v="2026-02-24T11:20:10"/>
    <d v="2026-02-24T11:20:05"/>
    <s v="Resolved"/>
    <s v="Java 8 already installed in the machine"/>
    <s v="No"/>
    <s v="mendix"/>
    <s v="Desktop"/>
    <s v="RTA Standard Application installation Request"/>
    <s v="Java Runtime Environment"/>
    <n v="15060"/>
    <s v="Self Service"/>
    <s v="USER TO CONFIRM"/>
    <s v="Standard"/>
    <s v="maasghar"/>
    <s v="Muhammad.Asghar@rta.ae"/>
    <s v="Within the Service Target"/>
  </r>
  <r>
    <s v="INC000001320529"/>
    <s v="User Service Request"/>
    <s v="Muhammad"/>
    <s v="Asghar"/>
    <s v="Software Installing Request"/>
    <d v="2026-02-23T12:27:53"/>
    <s v="Information Technology"/>
    <s v="RTA"/>
    <x v="4"/>
    <s v="Service Desk"/>
    <s v="Mohamed Alajlani"/>
    <s v="Incident"/>
    <s v="Self-service"/>
    <s v="Mendix"/>
    <s v="Low"/>
    <d v="2026-02-25T13:02:47"/>
    <d v="2026-02-25T13:02:43"/>
    <s v="Resolved"/>
    <s v="The software has been installed successfully as requested"/>
    <s v="No"/>
    <s v="mendix"/>
    <s v="Desktop"/>
    <s v="RTA Non standard application  Request"/>
    <s v="Non-listed Application/Software"/>
    <n v="15060"/>
    <s v="Self Service"/>
    <s v="USER TO CONFIRM"/>
    <s v="Standard"/>
    <s v="maasghar"/>
    <s v="Muhammad.Asghar@rta.ae"/>
    <s v="Within the Service Target"/>
  </r>
  <r>
    <s v="INC000001320518"/>
    <s v="User Service Restoration"/>
    <s v="Mustafa"/>
    <s v="Sonasath"/>
    <s v="Laptop network connectivity issue"/>
    <d v="2026-02-23T12:21:19"/>
    <s v="Planning &amp; Business Development"/>
    <s v="RTA"/>
    <x v="5"/>
    <s v="Service Desk"/>
    <s v="Zain Alabedein Skheih"/>
    <s v="Desktop"/>
    <s v="OS Issue"/>
    <s v="PC Slowness Issue"/>
    <s v="Medium"/>
    <d v="2026-02-23T12:40:21"/>
    <d v="2026-02-23T12:40:16"/>
    <s v="Resolved"/>
    <s v="user confirmed over the phone call that the issue got solved already"/>
    <s v="No"/>
    <s v="techm_ziskheih"/>
    <s v="Desktop"/>
    <s v="OS Issue"/>
    <s v="PC Slowness Issue"/>
    <n v="15347"/>
    <s v="Phone"/>
    <s v="USER TO CONFIRM"/>
    <s v="Standard"/>
    <s v="mksonasath"/>
    <s v="Mustafa.Sonasath@rta.ae"/>
    <s v="Within the Service Target"/>
  </r>
  <r>
    <s v="INC000001320516"/>
    <s v="User Service Request"/>
    <s v="Ilia"/>
    <s v="Volozhanin"/>
    <s v="VPN Access"/>
    <d v="2026-02-23T12:18:38"/>
    <s v="Security &amp; Monitoring"/>
    <s v="RTA"/>
    <x v="2"/>
    <s v="Service Desk"/>
    <s v="Ismael Ismael"/>
    <s v="Incident"/>
    <s v="Self-service"/>
    <s v="Mendix"/>
    <s v="Low"/>
    <d v="2026-02-26T09:49:37"/>
    <d v="2026-02-26T09:49:35"/>
    <s v="Resolved"/>
    <s v="user has been informed that access has been provided"/>
    <s v="No"/>
    <s v="mendix"/>
    <s v="Desktop"/>
    <s v="Configuration"/>
    <s v="VPN Configuration"/>
    <s v="V0033128"/>
    <s v="Self Service"/>
    <s v="USER TO CONFIRM"/>
    <s v="Standard"/>
    <s v="intertech_iivolozhan"/>
    <s v="Intertech_Ilia.Volozhanin@rta.ae"/>
    <s v="Within the Service Target"/>
  </r>
  <r>
    <s v="INC000001320515"/>
    <s v="User Service Request"/>
    <s v="Tarek"/>
    <s v="Walid Abu Gharbieh"/>
    <s v="Assist user to Retrieving Files"/>
    <d v="2026-02-23T12:18:04"/>
    <s v="Traffic"/>
    <s v="RTA"/>
    <x v="7"/>
    <s v="Service Desk"/>
    <s v="Ismael Ismael"/>
    <s v="Desktop"/>
    <s v="Data Recovery"/>
    <s v="Data Recovery Request"/>
    <s v="Low"/>
    <d v="2026-02-23T12:35:38"/>
    <d v="2026-02-23T12:35:37"/>
    <s v="Resolved"/>
    <s v="MS outlook was set to default when opening saved emails"/>
    <s v="No"/>
    <s v="Techm_NRMohamed"/>
    <s v="Desktop"/>
    <s v="Mail"/>
    <s v="Outlook Reconfiguration"/>
    <n v="3102"/>
    <s v="Email"/>
    <s v="USER TO CONFIRM"/>
    <s v="Sensitive"/>
    <s v="TWGharbieh"/>
    <s v="Tariq.Gharbieh@rta.ae"/>
    <s v="Within the Service Target"/>
  </r>
  <r>
    <s v="INC000001320510"/>
    <s v="User Service Request"/>
    <s v="Manal"/>
    <s v="Alfugaer"/>
    <s v="VPN reconfiguration Request"/>
    <d v="2026-02-23T12:15:13"/>
    <s v="Marketing &amp; Corporate Communication"/>
    <s v="RTA"/>
    <x v="0"/>
    <s v="Service Desk"/>
    <s v="Techm Ghaya Hamad"/>
    <s v="Desktop"/>
    <s v="Configuration"/>
    <s v="VPN Configuration"/>
    <s v="Low"/>
    <d v="2026-02-24T09:26:38"/>
    <d v="2026-02-24T09:26:33"/>
    <s v="Resolved"/>
    <s v="Reconfigured VPN successfully through LogMeIn"/>
    <s v="No"/>
    <s v="Techm_GAHamad"/>
    <s v="Desktop"/>
    <s v="Configuration"/>
    <s v="VPN Configuration"/>
    <n v="12824"/>
    <s v="Phone"/>
    <s v="USER TO CONFIRM"/>
    <s v="Standard"/>
    <s v="MMAlfugaer"/>
    <s v="Manal.Alfugaer@rta.ae"/>
    <s v="Within the Service Target"/>
  </r>
  <r>
    <s v="INC000001320506"/>
    <s v="User Service Restoration"/>
    <s v="Hamad"/>
    <s v="Al bedwawi"/>
    <s v="IPAD issue"/>
    <d v="2026-02-23T12:15:33"/>
    <s v="Licensing Activities Monitoring"/>
    <s v="RTA"/>
    <x v="3"/>
    <s v="OnSite  EUS"/>
    <s v="Nihad Mozayek"/>
    <s v="Desktop"/>
    <s v="Temporary Hardware"/>
    <s v="IPAD"/>
    <s v="Medium"/>
    <d v="2026-02-23T15:10:57"/>
    <d v="2026-02-23T15:10:56"/>
    <s v="Resolved"/>
    <s v="Resolved by sign out from MS Teams and sign in again"/>
    <s v="No"/>
    <s v="techm_ajalbasata"/>
    <s v="Desktop"/>
    <s v="IPad Issue"/>
    <s v="IPad Issue"/>
    <n v="6141"/>
    <s v="Phone"/>
    <s v="No Further Action Required"/>
    <s v="Standard"/>
    <s v="hialbedwawi"/>
    <s v="Hamad.Albedwawi@RTA.ae"/>
    <s v="Within the Service Target"/>
  </r>
  <r>
    <s v="INC000001320504"/>
    <s v="User Service Request"/>
    <s v="Experts Salah"/>
    <s v="Ahmed"/>
    <s v="Temporary USB Unblocking"/>
    <d v="2026-02-23T12:10:16"/>
    <s v="Passengers Transport Activities Monitoring"/>
    <s v="RTA"/>
    <x v="5"/>
    <s v="Service Desk"/>
    <s v="Techm Ahmed Elboshy"/>
    <s v="Incident"/>
    <s v="Self-service"/>
    <s v="Mendix"/>
    <s v="Low"/>
    <d v="2026-02-23T13:44:12"/>
    <d v="2026-02-23T13:44:11"/>
    <s v="Resolved"/>
    <s v="Please note that your system &quot; RTA-PTA-TAM-209&quot; has been moved to USB Block exception Group."/>
    <s v="No"/>
    <s v="mendix"/>
    <s v="Security"/>
    <s v="USB"/>
    <s v="USB Access Unblocking"/>
    <s v="V009534"/>
    <s v="Self Service"/>
    <s v="USER TO CONFIRM"/>
    <s v="Standard"/>
    <s v="Experts_SMAhmed"/>
    <s v="Experts_Salah.Ahmed@rta.ae"/>
    <s v="Within the Service Target"/>
  </r>
  <r>
    <s v="INC000001320503"/>
    <s v="User Service Restoration"/>
    <s v="Techm Al"/>
    <s v="Ameen"/>
    <s v="Laptop  getting heat and not responding and hung"/>
    <d v="2026-02-23T12:09:24"/>
    <s v="Information Technology"/>
    <s v="RTA"/>
    <x v="4"/>
    <s v="OnSite  EUS"/>
    <s v="Techm Osama Abdullatif"/>
    <s v="Incident"/>
    <s v="Self-service"/>
    <s v="Mendix"/>
    <s v="Medium"/>
    <d v="2026-02-26T08:11:25"/>
    <m/>
    <s v="Pending"/>
    <m/>
    <s v="No"/>
    <s v="mendix"/>
    <m/>
    <m/>
    <m/>
    <s v="V004709"/>
    <s v="Self Service"/>
    <s v="Local Site Action Required"/>
    <s v="Standard"/>
    <s v="Techm_AAAmeen"/>
    <s v="Techm_Al.Ameen@rta.ae"/>
    <s v="Within the Service Target"/>
  </r>
  <r>
    <s v="INC000001320498"/>
    <s v="User Service Request"/>
    <s v="Hanan"/>
    <s v="Abdulmuttaleb"/>
    <s v="User education"/>
    <d v="2026-02-23T12:06:41"/>
    <s v="Drivers Licensing"/>
    <s v="RTA"/>
    <x v="3"/>
    <s v="Service Desk"/>
    <s v="Techm Wahbaelrahman Hassan"/>
    <s v="Desktop"/>
    <s v="User Education"/>
    <s v="User Education"/>
    <s v="Low"/>
    <d v="2026-02-23T12:07:29"/>
    <d v="2026-02-23T12:07:27"/>
    <s v="Resolved"/>
    <s v="Guided user with saving the email as a PDF file Successfully"/>
    <s v="No"/>
    <s v="Techm_WAHassan"/>
    <s v="Desktop"/>
    <s v="User Education"/>
    <s v="User Education"/>
    <n v="14326"/>
    <s v="Phone"/>
    <s v="USER TO CONFIRM"/>
    <s v="Standard"/>
    <s v="HHAbdulmuttaleb"/>
    <s v="Hanan.alhasawi@rta.ae"/>
    <s v="Within the Service Target"/>
  </r>
  <r>
    <s v="INC000001320492"/>
    <s v="User Service Restoration"/>
    <s v="Arun"/>
    <s v="Kumar"/>
    <s v="Laptop Charger is not working"/>
    <d v="2026-02-23T12:02:52"/>
    <s v="Information Technology"/>
    <s v="RTA"/>
    <x v="4"/>
    <s v="OnSite  EUS"/>
    <s v="Techm Elsayed Mohamed"/>
    <s v="Incident"/>
    <s v="Self-service"/>
    <s v="Mendix"/>
    <s v="Medium"/>
    <d v="2026-02-26T06:53:47"/>
    <m/>
    <s v="Pending"/>
    <m/>
    <s v="No"/>
    <s v="mendix"/>
    <m/>
    <m/>
    <m/>
    <s v="V0024178"/>
    <s v="Self Service"/>
    <s v="Local Site Action Required"/>
    <s v="Standard"/>
    <s v="gbm_akkumar"/>
    <s v="Gbm_Arun.Kumar@rta.ae"/>
    <s v="Within the Service Target"/>
  </r>
  <r>
    <s v="INC000001320489"/>
    <s v="User Service Request"/>
    <s v="Ghulam"/>
    <s v="Qadir"/>
    <s v="Reset Oracle account Request"/>
    <d v="2026-02-23T12:01:53"/>
    <s v="Customer Happiness"/>
    <s v="RTA"/>
    <x v="0"/>
    <s v="Service Desk"/>
    <s v="Techm Ghaya Hamad"/>
    <s v="Application"/>
    <s v="Application Services"/>
    <s v="Application Modification / Enhancement Request"/>
    <s v="Low"/>
    <d v="2026-02-24T09:25:38"/>
    <d v="2026-02-24T09:25:36"/>
    <s v="Resolved"/>
    <s v="Reset Oracle account has been done"/>
    <s v="No"/>
    <s v="Techm_GAHamad"/>
    <s v="Application"/>
    <s v="Application Services"/>
    <s v="Application Modification / Enhancement Request"/>
    <n v="13774"/>
    <s v="Phone"/>
    <s v="USER TO CONFIRM"/>
    <s v="Standard"/>
    <s v="GNQadir"/>
    <s v="Ghulam.Qadir@rta.ae"/>
    <s v="Within the Service Target"/>
  </r>
  <r>
    <s v="INC000001320486"/>
    <s v="User Service Request"/>
    <s v="Hossam"/>
    <s v="Soliman"/>
    <s v="Guided user to unlock account via Self-Service"/>
    <d v="2026-02-23T12:55:22"/>
    <s v="Rail Right Of Way"/>
    <s v="RTA"/>
    <x v="6"/>
    <s v="Service Desk"/>
    <s v="Mohamed Siragelnour"/>
    <s v="Desktop"/>
    <s v="User Education"/>
    <s v="User Education"/>
    <s v="Low"/>
    <d v="2026-02-23T12:55:48"/>
    <d v="2026-02-23T12:55:47"/>
    <s v="Resolved"/>
    <s v="Guided user to unlock account via Self-Service"/>
    <s v="No"/>
    <s v="techm_mbsiragelnour"/>
    <s v="Desktop"/>
    <s v="User Education"/>
    <s v="User Education"/>
    <n v="15831"/>
    <s v="Phone"/>
    <s v="USER TO CONFIRM"/>
    <s v="Standard"/>
    <s v="hasoliman"/>
    <s v="Hossam.Soliman@rta.ae"/>
    <s v="Within the Service Target"/>
  </r>
  <r>
    <s v="INC000001320482"/>
    <s v="User Service Request"/>
    <s v="Halima"/>
    <s v="AlZahli"/>
    <s v="smart traffic configuration request"/>
    <d v="2026-02-23T11:56:21"/>
    <s v="Customer Happiness"/>
    <s v="RTA"/>
    <x v="0"/>
    <s v="Service Desk"/>
    <s v="Ismael Ismael"/>
    <s v="Desktop"/>
    <s v="RTA Standard Application installation Request"/>
    <s v="MS Edge"/>
    <s v="Low"/>
    <d v="2026-02-23T11:56:43"/>
    <d v="2026-02-23T11:56:42"/>
    <s v="Resolved"/>
    <s v="smart traffic has been successfully configured"/>
    <s v="No"/>
    <s v="techm_iaismael"/>
    <s v="Desktop"/>
    <s v="RTA Standard Application installation Request"/>
    <s v="MS Edge"/>
    <n v="10635"/>
    <s v="Phone"/>
    <s v="USER TO CONFIRM"/>
    <s v="Standard"/>
    <s v="hkalzahli"/>
    <s v="Halima.AlZahli@rta.ae"/>
    <s v="Within the Service Target"/>
  </r>
  <r>
    <s v="INC000001320479"/>
    <s v="User Service Request"/>
    <s v="Shayma"/>
    <s v="Alblooshi"/>
    <s v="Temporary USB Unblocking"/>
    <d v="2026-02-23T11:52:46"/>
    <s v="Security &amp; Monitoring"/>
    <s v="RTA"/>
    <x v="2"/>
    <s v="Service Desk"/>
    <s v="Techm Ahmed Elboshy"/>
    <s v="Incident"/>
    <s v="Self-service"/>
    <s v="Mendix"/>
    <s v="Low"/>
    <d v="2026-02-23T12:56:03"/>
    <d v="2026-02-23T12:56:02"/>
    <s v="Resolved"/>
    <s v="Please note that your system &quot;rta-cho-sam-067 &quot; has been moved to USB Block exception Group."/>
    <s v="No"/>
    <s v="mendix"/>
    <s v="Security"/>
    <s v="USB"/>
    <s v="USB Access Unblocking"/>
    <n v="15376"/>
    <s v="Self Service"/>
    <s v="USER TO CONFIRM"/>
    <s v="Standard"/>
    <s v="smohaalblooshi"/>
    <s v="Shayma.Alblooshi@rta.ae"/>
    <s v="Within the Service Target"/>
  </r>
  <r>
    <s v="INC000001320460"/>
    <s v="User Service Restoration"/>
    <s v="Khalid"/>
    <s v="Al Mazzem"/>
    <s v="VPN Issue"/>
    <d v="2026-02-23T11:43:56"/>
    <s v="Drivers Licensing"/>
    <s v="RTA"/>
    <x v="3"/>
    <s v="Service Desk"/>
    <s v="Zain Alabedein Skheih"/>
    <s v="Desktop"/>
    <s v="Configuration"/>
    <s v="VPN Troubleshooting"/>
    <s v="Medium"/>
    <d v="2026-02-23T11:53:19"/>
    <d v="2026-02-23T11:53:16"/>
    <s v="Resolved"/>
    <s v="we did reset for the VPN and configured it successfully"/>
    <s v="No"/>
    <s v="techm_ziskheih"/>
    <s v="Desktop"/>
    <s v="Configuration"/>
    <s v="VPN Troubleshooting"/>
    <n v="4210"/>
    <s v="Phone"/>
    <s v="USER TO CONFIRM"/>
    <s v="Standard"/>
    <s v="kmalmazzem"/>
    <s v="Khalid.AlMazzem@RTA.ae"/>
    <s v="Within the Service Target"/>
  </r>
  <r>
    <s v="INC000001320457"/>
    <s v="User Service Restoration"/>
    <s v="Meera"/>
    <s v="Al-ali"/>
    <s v="Cannot access my email Calander and cannot received any emails"/>
    <d v="2026-02-23T11:42:44"/>
    <s v="Innovation &amp; Pioneering"/>
    <s v="RTA"/>
    <x v="1"/>
    <s v="Service Desk"/>
    <s v="Techm Wahbaelrahman Hassan"/>
    <s v="Desktop"/>
    <s v="Mail Client Issue"/>
    <s v="Unable to Send/Receive Mails(RE)"/>
    <s v="Medium"/>
    <d v="2026-02-26T08:04:35"/>
    <m/>
    <s v="Pending"/>
    <s v="3 reminders have been sent to the user with no response; as per process, the ticket will be closed."/>
    <s v="No"/>
    <s v="Techm_NRMohamed"/>
    <s v="Desktop"/>
    <s v="Mail Client Issue"/>
    <s v="Unable To Send / Receive Mails"/>
    <n v="15943"/>
    <s v="Email"/>
    <s v="Client Action Required"/>
    <s v="Standard"/>
    <s v="mfaalali"/>
    <s v="Meera.Alali@rta.ae"/>
    <s v="Within the Service Target"/>
  </r>
  <r>
    <s v="INC000001320453"/>
    <s v="User Service Restoration"/>
    <s v="Muhammad"/>
    <s v="Mohamed"/>
    <s v="Unable to download Bank Statements - Access Denied"/>
    <d v="2026-02-23T11:41:01"/>
    <s v="Finance"/>
    <s v="RTA"/>
    <x v="0"/>
    <s v="Service Desk"/>
    <s v="Muhammed Alneil"/>
    <s v="Network Domain"/>
    <s v="Wide Area Network (WAN)"/>
    <s v="Request for URL Access"/>
    <s v="Medium"/>
    <d v="2026-02-26T08:50:54"/>
    <m/>
    <s v="Pending"/>
    <m/>
    <s v="No"/>
    <s v="techm_maalneil"/>
    <m/>
    <m/>
    <m/>
    <n v="15012"/>
    <s v="Email"/>
    <s v="Client Action Required"/>
    <s v="Standard"/>
    <s v="minmohamed"/>
    <s v="Muhammad.IMohamed@rta.ae"/>
    <s v="Within the Service Target"/>
  </r>
  <r>
    <s v="INC000001320449"/>
    <s v="User Service Request"/>
    <s v="Eman"/>
    <s v="Alameeri"/>
    <s v="Guide user to Reset Password through Self services portal."/>
    <d v="2026-02-23T11:36:44"/>
    <s v="Marketing &amp; Corporate Communication"/>
    <s v="RTA"/>
    <x v="0"/>
    <s v="Service Desk"/>
    <s v="Mohamed Alajlani"/>
    <s v="Desktop"/>
    <s v="User Education"/>
    <s v="User Education"/>
    <s v="Low"/>
    <d v="2026-02-23T11:37:05"/>
    <d v="2026-02-23T11:37:03"/>
    <s v="Resolved"/>
    <s v="As per the request, SMS with Reset Password self-services URL has been shared with the user."/>
    <s v="No"/>
    <s v="techm_myalajlani"/>
    <s v="Desktop"/>
    <s v="User Education"/>
    <s v="User Education"/>
    <n v="15878"/>
    <s v="Phone"/>
    <s v="USER TO CONFIRM"/>
    <s v="Standard"/>
    <s v="eaalameeri"/>
    <s v="Eman.Alameeri@rta.ae"/>
    <s v="Within the Service Target"/>
  </r>
  <r>
    <s v="INC000001320446"/>
    <s v="Infrastructure Event"/>
    <s v="Epic Abed Alfattah"/>
    <s v="Nawahdeh"/>
    <s v="Request for Firewall Rule modification"/>
    <d v="2026-02-23T11:34:17"/>
    <s v="Smart Services"/>
    <s v="RTA"/>
    <x v="4"/>
    <s v="Service Desk"/>
    <s v="Techm Nabeesu Mohamed"/>
    <s v="Infrastructure Services"/>
    <s v="Wide Area Network (WAN)"/>
    <s v="Firewall rule modification"/>
    <s v="Low"/>
    <d v="2026-02-26T08:52:56"/>
    <m/>
    <s v="Pending"/>
    <m/>
    <s v="No"/>
    <s v="Techm_NRMohamed"/>
    <m/>
    <m/>
    <m/>
    <s v="V003711"/>
    <s v="Email"/>
    <s v="Client Action Required"/>
    <s v="Standard"/>
    <s v="Epic_ASNawahdeh"/>
    <s v="Epic_Abedalfattah.Nawahdeh@rta.ae"/>
    <s v="Within the Service Target"/>
  </r>
  <r>
    <s v="INC000001320439"/>
    <s v="User Service Request"/>
    <s v="Mona"/>
    <s v="Alamari"/>
    <s v="VPN Configurations Request"/>
    <d v="2026-02-23T11:25:58"/>
    <s v="Customer Happiness"/>
    <s v="RTA"/>
    <x v="0"/>
    <s v="Service Desk"/>
    <s v="Zain Alabedein Skheih"/>
    <s v="Desktop"/>
    <s v="Configuration"/>
    <s v="VPN Configuration"/>
    <s v="Low"/>
    <d v="2026-02-23T11:28:54"/>
    <d v="2026-02-23T11:26:30"/>
    <s v="Resolved"/>
    <s v="We configured the VPN successfully"/>
    <s v="No"/>
    <s v="techm_ziskheih"/>
    <s v="Desktop"/>
    <s v="Configuration"/>
    <s v="VPN Configuration"/>
    <n v="5392"/>
    <s v="Phone"/>
    <s v="USER TO CONFIRM"/>
    <s v="Sensitive"/>
    <s v="mmalamari"/>
    <s v="Mona.Alamari@RTA.ae"/>
    <s v="Within the Service Target"/>
  </r>
  <r>
    <s v="INC000001320436"/>
    <s v="User Service Restoration"/>
    <s v="Shamsa"/>
    <s v="Faraj"/>
    <s v="Chrome Browser Issue &quot;Can not open RTA Intranet&quot;"/>
    <d v="2026-02-23T11:22:52"/>
    <s v="Human Resources &amp; Development"/>
    <s v="RTA"/>
    <x v="0"/>
    <s v="Service Desk"/>
    <s v="Zain Alabedein Skheih"/>
    <s v="Desktop"/>
    <s v="RTA Standard application Incidents"/>
    <s v="MS Edge"/>
    <s v="Medium"/>
    <d v="2026-02-23T11:24:21"/>
    <d v="2026-02-23T11:24:13"/>
    <s v="Resolved"/>
    <s v="we accessed remotely and did gpupdate /force and cleared the browser data then the issue got solved"/>
    <s v="No"/>
    <s v="techm_ziskheih"/>
    <s v="Desktop"/>
    <s v="RTA Standard application Incidents"/>
    <s v="Google Chrome Issue"/>
    <n v="14560"/>
    <s v="Phone"/>
    <s v="USER TO CONFIRM"/>
    <s v="Standard"/>
    <s v="SMFaraj"/>
    <s v="Shamsa.Faraj@rta.ae"/>
    <s v="Within the Service Target"/>
  </r>
  <r>
    <s v="INC000001320434"/>
    <s v="User Service Restoration"/>
    <s v="Sana Juma"/>
    <s v="Zayed"/>
    <s v="The user is facing a SIM card issue"/>
    <d v="2026-02-23T11:24:14"/>
    <s v="Dubai Transport CEO"/>
    <s v="RTA"/>
    <x v="5"/>
    <s v="OnSite  EUS"/>
    <s v="Ali Adam"/>
    <s v="Desktop"/>
    <s v="3G Request"/>
    <s v="Permanant"/>
    <s v="High"/>
    <d v="2026-02-23T17:04:20"/>
    <d v="2026-02-23T17:04:05"/>
    <s v="Resolved"/>
    <s v="- The SIM card has been reinserted to the iPad and it's working fine now."/>
    <s v="No"/>
    <s v="techm_maalneil"/>
    <s v="Desktop"/>
    <s v="PC Hardware Issue"/>
    <s v="Network Card Issue"/>
    <n v="357"/>
    <s v="Email"/>
    <s v="USER TO CONFIRM"/>
    <s v="Sensitive"/>
    <s v="sjzayed"/>
    <s v="sana.zayed@rta.ae"/>
    <s v="Within the Service Target"/>
  </r>
  <r>
    <s v="INC000001320429"/>
    <s v="User Service Restoration"/>
    <s v="AlMoatasem belah"/>
    <s v="Haj Saleh"/>
    <s v="Booting Issue"/>
    <d v="2026-02-23T11:17:50"/>
    <s v="Dubai Transport CEO"/>
    <s v="RTA"/>
    <x v="5"/>
    <s v="OnSite  EUS"/>
    <s v="Ali Adam"/>
    <s v="Desktop"/>
    <s v="OS Issue"/>
    <s v="Booting Issue"/>
    <s v="Critical"/>
    <d v="2026-02-23T12:38:04"/>
    <d v="2026-02-23T12:38:00"/>
    <s v="Resolved"/>
    <e v="#NAME?"/>
    <s v="No"/>
    <s v="Techm_WAHassan"/>
    <s v="Desktop"/>
    <s v="OS Issue"/>
    <s v="Booting Issue"/>
    <n v="3673"/>
    <s v="Phone"/>
    <s v="USER TO CONFIRM"/>
    <s v="Standard"/>
    <s v="ambelah"/>
    <s v="Almoatasem.saleh@rta.ae"/>
    <s v="Within the Service Target"/>
  </r>
  <r>
    <s v="INC000001320425"/>
    <s v="User Service Restoration"/>
    <s v="Madhu"/>
    <s v="Tayi"/>
    <s v="Laptop network connectivity issue"/>
    <d v="2026-02-23T11:14:09"/>
    <s v="Planning &amp; Business Development"/>
    <s v="RTA"/>
    <x v="5"/>
    <s v="OnSite  EUS"/>
    <s v="Ali Adam"/>
    <s v="Desktop"/>
    <s v="OS Issue"/>
    <s v="Booting Issue"/>
    <s v="Medium"/>
    <d v="2026-02-23T17:06:32"/>
    <d v="2026-02-23T17:06:29"/>
    <s v="Resolved"/>
    <e v="#NAME?"/>
    <s v="No"/>
    <s v="techm_ziskheih"/>
    <s v="Desktop"/>
    <s v="Network Connectivity issues"/>
    <s v="Wireless Network Issues"/>
    <n v="15613"/>
    <s v="Phone"/>
    <s v="USER TO CONFIRM"/>
    <s v="Standard"/>
    <s v="mktayi"/>
    <s v="Madhu.Tayi@rta.ae"/>
    <s v="Within the Service Target"/>
  </r>
  <r>
    <s v="INC000001320420"/>
    <s v="User Service Request"/>
    <s v="Osama"/>
    <s v="Elgilani Eldirdieri"/>
    <s v="VPN configuration Request"/>
    <d v="2026-02-23T11:12:02"/>
    <s v="Roads"/>
    <s v="RTA"/>
    <x v="7"/>
    <s v="Service Desk"/>
    <s v="Techm Wahbaelrahman Hassan"/>
    <s v="Desktop"/>
    <s v="Configuration"/>
    <s v="VPN Configuration"/>
    <s v="Low"/>
    <d v="2026-02-26T08:42:57"/>
    <m/>
    <s v="Pending"/>
    <s v="3 reminders have been sent to the user with no response; as per process, the ticket will be closed."/>
    <s v="No"/>
    <s v="Techm_AMElboshy"/>
    <s v="Desktop"/>
    <s v="Configuration"/>
    <s v="VPN Configuration"/>
    <n v="4781"/>
    <s v="Phone"/>
    <s v="Client Action Required"/>
    <s v="Standard"/>
    <s v="oeeldirdieri"/>
    <s v="Osama.Eldirdieri@rta.ae"/>
    <s v="Within the Service Target"/>
  </r>
  <r>
    <s v="INC000001320412"/>
    <s v="User Service Request"/>
    <s v="Nawal"/>
    <s v="Mahfoodh"/>
    <s v="Guided user to reset password via Self-service"/>
    <d v="2026-02-23T11:10:18"/>
    <s v="Drivers Licensing"/>
    <s v="RTA"/>
    <x v="3"/>
    <s v="Service Desk"/>
    <s v="Mohamed Siragelnour"/>
    <s v="Desktop"/>
    <s v="User Education"/>
    <s v="User Education"/>
    <s v="Low"/>
    <d v="2026-02-23T11:26:48"/>
    <d v="2026-02-23T11:26:46"/>
    <s v="Resolved"/>
    <s v="Guided user to reset password via Self-service"/>
    <s v="No"/>
    <s v="techm_mbsiragelnour"/>
    <s v="Desktop"/>
    <s v="User Education"/>
    <s v="User Education"/>
    <n v="3190"/>
    <s v="Phone"/>
    <s v="USER TO CONFIRM"/>
    <s v="Standard"/>
    <s v="njmahfoodh"/>
    <s v="Nawal.Mahfoodh@RTA.ae"/>
    <s v="Within the Service Target"/>
  </r>
  <r>
    <s v="INC000001320410"/>
    <s v="User Service Request"/>
    <s v="Wissam"/>
    <s v="Aboueida"/>
    <s v="Outlook configuration request"/>
    <d v="2026-02-23T11:05:32"/>
    <s v="Commercial Transport Activities"/>
    <s v="RTA"/>
    <x v="3"/>
    <s v="Service Desk"/>
    <s v="Techm Wahbaelrahman Hassan"/>
    <s v="Desktop"/>
    <s v="Mail"/>
    <s v="Outlook Reconfiguration(RE)"/>
    <s v="Low"/>
    <d v="2026-02-23T11:07:06"/>
    <d v="2026-02-23T11:07:03"/>
    <s v="Resolved"/>
    <s v="Outlook  has been configured on the user machine successfully"/>
    <s v="No"/>
    <s v="Techm_WAHassan"/>
    <s v="Desktop"/>
    <s v="Mail"/>
    <s v="Outlook Reconfiguration(RE)"/>
    <s v="V0033800"/>
    <s v="Phone"/>
    <s v="USER TO CONFIRM"/>
    <s v="Standard"/>
    <s v="tms_wsaboueida"/>
    <s v="Tms_Wissam.Aboueida@rta.ae"/>
    <s v="Within the Service Target"/>
  </r>
  <r>
    <s v="INC000001320405"/>
    <s v="User Service Request"/>
    <s v="Roqaya"/>
    <s v="AlBlooshi"/>
    <s v="User education"/>
    <d v="2026-02-23T11:04:16"/>
    <s v="Technology Strategy &amp; Governance"/>
    <s v="RTA"/>
    <x v="4"/>
    <s v="Service Desk"/>
    <s v="Techm Wahbaelrahman Hassan"/>
    <s v="Desktop"/>
    <s v="User Education"/>
    <s v="User Education"/>
    <s v="Low"/>
    <d v="2026-02-23T11:08:30"/>
    <d v="2026-02-23T11:08:26"/>
    <s v="Resolved"/>
    <s v="Guided the user with resetting her account password using the self-service link"/>
    <s v="No"/>
    <s v="Techm_WAHassan"/>
    <s v="Desktop"/>
    <s v="User Education"/>
    <s v="User Education"/>
    <n v="9942"/>
    <s v="Phone"/>
    <s v="USER TO CONFIRM"/>
    <s v="Standard"/>
    <s v="rksafar"/>
    <s v="roqaya.safar@rta.ae"/>
    <s v="Within the Service Target"/>
  </r>
  <r>
    <s v="INC000001320403"/>
    <s v="User Service Restoration"/>
    <s v="AlSayed"/>
    <s v="Al Hashmi"/>
    <s v="Intranet Browse Issue"/>
    <d v="2026-02-23T11:02:05"/>
    <s v="Parking"/>
    <s v="RTA"/>
    <x v="7"/>
    <s v="Service Desk"/>
    <s v="Techm Wahbaelrahman Hassan"/>
    <s v="Desktop"/>
    <s v="Internet/Intranet Issues"/>
    <s v="Intranet issues(RE)"/>
    <s v="Medium"/>
    <d v="2026-02-23T11:12:55"/>
    <d v="2026-02-23T11:12:54"/>
    <s v="Resolved"/>
    <e v="#NAME?"/>
    <s v="No"/>
    <s v="Techm_WAHassan"/>
    <s v="Desktop"/>
    <s v="Internet / Intranet Issues"/>
    <s v="Intranet Issues"/>
    <n v="10175"/>
    <s v="Phone"/>
    <s v="USER TO CONFIRM"/>
    <s v="Sensitive"/>
    <s v="aialhashmi"/>
    <s v="Alsayed.Alhashmi@rta.ae"/>
    <s v="Within the Service Target"/>
  </r>
  <r>
    <s v="INC000001320400"/>
    <s v="User Service Request"/>
    <s v="Khadija"/>
    <s v="Aljeziri"/>
    <s v="Edge configuration Request"/>
    <d v="2026-02-23T11:01:10"/>
    <s v="Vehicles Licensing"/>
    <s v="RTA"/>
    <x v="3"/>
    <s v="Service Desk"/>
    <s v="Techm Wahbaelrahman Hassan"/>
    <s v="Desktop"/>
    <s v="RTA Standard Application installation Request"/>
    <s v="MS Edge"/>
    <s v="Low"/>
    <d v="2026-02-23T11:20:23"/>
    <d v="2026-02-23T11:20:17"/>
    <s v="Resolved"/>
    <s v="1/  In Edge settings.  2/  Go to default browser.  3/ Then go to Internet Explorer compatibility.  4/  Then add &quot; &quot; to internet Explorer mode pages.  5/ Enabled internet Explorer mode and chose it allow.  6/  Restart the browser to take effects."/>
    <s v="No"/>
    <s v="Techm_WAHassan"/>
    <s v="Desktop"/>
    <s v="RTA Standard Application installation Request"/>
    <s v="MS Edge"/>
    <n v="15258"/>
    <s v="Phone"/>
    <s v="USER TO CONFIRM"/>
    <s v="Standard"/>
    <s v="kaaljeziri"/>
    <s v="Khadija.Aljeziri@rta.ae"/>
    <s v="Within the Service Target"/>
  </r>
  <r>
    <s v="INC000001320399"/>
    <s v="User Service Request"/>
    <s v="Marwan"/>
    <s v="Alamm"/>
    <s v="unlock account request"/>
    <d v="2026-02-23T10:58:58"/>
    <s v="Roads"/>
    <s v="RTA"/>
    <x v="7"/>
    <s v="Service Desk"/>
    <s v="Ismael Ismael"/>
    <s v="Desktop"/>
    <s v="Profile"/>
    <s v="Account Lock Out"/>
    <s v="Low"/>
    <d v="2026-02-23T10:59:22"/>
    <d v="2026-02-23T10:59:21"/>
    <s v="Resolved"/>
    <s v="account has been successfully unlocked"/>
    <s v="No"/>
    <s v="techm_iaismael"/>
    <s v="Desktop"/>
    <s v="Profile"/>
    <s v="Account Lock Out"/>
    <n v="13000"/>
    <s v="Phone"/>
    <s v="USER TO CONFIRM"/>
    <s v="Standard"/>
    <s v="MAAlamm"/>
    <s v="Marwan.Alamm@rta.ae"/>
    <s v="Within the Service Target"/>
  </r>
  <r>
    <s v="INC000001320397"/>
    <s v="User Service Restoration"/>
    <s v="Wassim"/>
    <s v="Huwari"/>
    <s v="Mailbox Full Issue"/>
    <d v="2026-02-23T10:59:07"/>
    <s v="Marketing &amp; Corporate Communication"/>
    <s v="RTA"/>
    <x v="0"/>
    <s v="Service Desk"/>
    <s v="Mohamed Siragelnour"/>
    <s v="Desktop"/>
    <s v="Mail Box Issue"/>
    <s v="Mail Box Full(RE)"/>
    <s v="Medium"/>
    <d v="2026-02-23T11:27:26"/>
    <d v="2026-02-23T11:27:25"/>
    <s v="Resolved"/>
    <s v="- Cleared unwanted items.  - User doesn't have access to EV.  - Created a local PST file. - Manually archived some emails to a local PST -&gt; user has around 300 MB Free now.  - User will call us back once he get EV access to restore emails."/>
    <s v="No"/>
    <s v="techm_mbsiragelnour"/>
    <s v="Desktop"/>
    <s v="Mail Box Issue"/>
    <s v="Mail Box Full"/>
    <n v="15907"/>
    <s v="Phone"/>
    <s v="USER TO CONFIRM"/>
    <s v="Standard"/>
    <s v="wwhuwari"/>
    <s v="Wassim.Huwari@rta.ae"/>
    <s v="Within the Service Target"/>
  </r>
  <r>
    <s v="INC000001320396"/>
    <s v="User Service Restoration"/>
    <s v="Nahla"/>
    <s v="Aly"/>
    <s v="To clear the EAS CEO iPad cache due to one letter that's stuck in her EMS outbox."/>
    <d v="2026-02-23T10:58:03"/>
    <s v="DG, Chairman of the Board of Executive Directors Office"/>
    <s v="RTA"/>
    <x v="2"/>
    <s v="OnSite  EUS"/>
    <s v="Mohamed Nishad Usman"/>
    <s v="Application"/>
    <s v="Application Bug/Error"/>
    <s v="EMS"/>
    <s v="High"/>
    <d v="2026-02-26T06:53:46"/>
    <m/>
    <s v="Pending"/>
    <m/>
    <s v="No"/>
    <s v="Techm_NRMohamed"/>
    <m/>
    <m/>
    <m/>
    <n v="13929"/>
    <s v="Email"/>
    <s v="Client Action Required"/>
    <s v="Standard"/>
    <s v="NMAly"/>
    <s v="Nahla.Aly@rta.ae"/>
    <s v="Within the Service Target"/>
  </r>
  <r>
    <s v="INC000001320395"/>
    <s v="User Service Restoration"/>
    <s v="Sana Juma"/>
    <s v="Zayed"/>
    <s v="Adobe Pro Issue"/>
    <d v="2026-02-23T10:57:39"/>
    <s v="Dubai Transport CEO"/>
    <s v="RTA"/>
    <x v="5"/>
    <s v="OnSite  EUS"/>
    <s v="Ali Adam"/>
    <s v="Desktop"/>
    <s v="Configuration"/>
    <s v="VPN Troubleshooting"/>
    <s v="Medium"/>
    <d v="2026-02-23T17:08:58"/>
    <d v="2026-02-23T17:08:55"/>
    <s v="Resolved"/>
    <e v="#NAME?"/>
    <s v="No"/>
    <s v="Techm_WAHassan"/>
    <s v="Desktop"/>
    <s v="RTA Non standard application  Incidents"/>
    <s v="Adobe Acrobat Professional"/>
    <n v="357"/>
    <s v="Phone"/>
    <s v="USER TO CONFIRM"/>
    <s v="Sensitive"/>
    <s v="sjzayed"/>
    <s v="sana.zayed@rta.ae"/>
    <s v="Within the Service Target"/>
  </r>
  <r>
    <s v="INC000001320393"/>
    <s v="User Service Restoration"/>
    <s v="Hamed"/>
    <s v="AlFahim"/>
    <s v="ms out outlook"/>
    <d v="2026-02-23T10:56:27"/>
    <s v="Roads"/>
    <s v="RTA"/>
    <x v="7"/>
    <s v="Service Desk"/>
    <s v="Ismael Ismael"/>
    <s v="Incident"/>
    <s v="Self-service"/>
    <s v="Mendix"/>
    <s v="Critical"/>
    <d v="2026-02-24T11:57:32"/>
    <d v="2026-02-24T11:57:31"/>
    <s v="Resolved"/>
    <s v="Received confirmation from user over phone that the issue got resolved"/>
    <s v="No"/>
    <s v="mendix"/>
    <s v="Desktop"/>
    <s v="Mail"/>
    <s v="Enterprise Vault"/>
    <n v="389"/>
    <s v="Self Service"/>
    <s v="USER TO CONFIRM"/>
    <s v="Sensitive"/>
    <s v="HAFahim"/>
    <s v="Hamed.AlFahim@rta.ae"/>
    <s v="Within the Service Target"/>
  </r>
  <r>
    <s v="INC000001320382"/>
    <s v="User Service Request"/>
    <s v="Techm Abdul"/>
    <s v="Raheem"/>
    <s v="Laptop replacement request"/>
    <d v="2026-02-23T10:50:01"/>
    <s v="Information Technology"/>
    <s v="RTA"/>
    <x v="4"/>
    <s v="OnSite  EUS"/>
    <s v="Techm Elsayed Mohamed"/>
    <s v="Desktop"/>
    <s v="Replacement"/>
    <s v="Laptop replacement with Laptop"/>
    <s v="Low"/>
    <d v="2026-02-26T06:53:46"/>
    <m/>
    <s v="Pending"/>
    <m/>
    <s v="No"/>
    <s v="Techm_NRMohamed"/>
    <m/>
    <m/>
    <m/>
    <s v="V004724"/>
    <s v="Email"/>
    <s v="Asset Collection from Stores"/>
    <s v="Standard"/>
    <s v="Techm_ARRaheem"/>
    <s v="Techm_Abdul.Raheem@rta.ae"/>
    <s v="Within the Service Target"/>
  </r>
  <r>
    <s v="INC000001320379"/>
    <s v="User Service Restoration"/>
    <s v="Mohamed"/>
    <s v="Hafez"/>
    <s v="Chrome Browser Issue"/>
    <d v="2026-02-23T10:56:07"/>
    <s v="Administration Services"/>
    <s v="RTA"/>
    <x v="0"/>
    <s v="Service Desk"/>
    <s v="Zain Alabedein Skheih"/>
    <s v="Desktop"/>
    <s v="RTA Non standard application  Incidents"/>
    <s v="MS project professional"/>
    <s v="Medium"/>
    <d v="2026-02-23T10:59:21"/>
    <d v="2026-02-23T10:59:19"/>
    <s v="Resolved"/>
    <s v="Deleted browser data and did gpupdate /force"/>
    <s v="No"/>
    <s v="techm_ziskheih"/>
    <s v="Desktop"/>
    <s v="RTA Standard application Incidents"/>
    <s v="Google Chrome Issue"/>
    <s v="V0027400"/>
    <s v="Phone"/>
    <s v="USER TO CONFIRM"/>
    <s v="Standard"/>
    <s v="iron_mmhafez"/>
    <s v="Iron_Mohamed.Hafez@rta.ae"/>
    <s v="Within the Service Target"/>
  </r>
  <r>
    <s v="INC000001320374"/>
    <s v="User Service Request"/>
    <s v="Nawal"/>
    <s v="Mahfoodh"/>
    <s v="Guided user to unlock account via Self-service"/>
    <d v="2026-02-23T10:58:34"/>
    <s v="Drivers Licensing"/>
    <s v="RTA"/>
    <x v="3"/>
    <s v="Service Desk"/>
    <s v="Mohamed Siragelnour"/>
    <s v="Desktop"/>
    <s v="User Education"/>
    <s v="User Education"/>
    <s v="Low"/>
    <d v="2026-02-23T11:05:12"/>
    <d v="2026-02-23T11:05:07"/>
    <s v="Resolved"/>
    <s v="Guided user to unlock account via Self-service"/>
    <s v="No"/>
    <s v="techm_mbsiragelnour"/>
    <s v="Desktop"/>
    <s v="User Education"/>
    <s v="User Education"/>
    <n v="3190"/>
    <s v="Phone"/>
    <s v="USER TO CONFIRM"/>
    <s v="Standard"/>
    <s v="njmahfoodh"/>
    <s v="Nawal.Mahfoodh@RTA.ae"/>
    <s v="Within the Service Target"/>
  </r>
  <r>
    <s v="INC000001320371"/>
    <s v="User Service Request"/>
    <s v="Athari"/>
    <s v="Zahreddin"/>
    <s v="VPN Access"/>
    <d v="2026-02-23T10:46:25"/>
    <s v="Human Resources &amp; Development"/>
    <s v="RTA"/>
    <x v="0"/>
    <s v="OnSite  EUS"/>
    <s v="Ali Adam"/>
    <s v="Incident"/>
    <s v="Self-service"/>
    <s v="Mendix"/>
    <s v="High"/>
    <d v="2026-02-26T10:07:03"/>
    <d v="2026-02-26T10:06:59"/>
    <s v="Resolved"/>
    <e v="#NAME?"/>
    <s v="Yes"/>
    <s v="mendix"/>
    <s v="Desktop"/>
    <s v="Configuration"/>
    <s v="VPN Configuration"/>
    <n v="12881"/>
    <s v="Self Service"/>
    <s v="USER TO CONFIRM"/>
    <s v="Standard"/>
    <s v="AMUZahreddin"/>
    <s v="Athari.MZahreddin@rta.ae"/>
    <s v="Within the Service Target"/>
  </r>
  <r>
    <s v="INC000001320370"/>
    <s v="User Service Request"/>
    <s v="Amr"/>
    <s v="Ali"/>
    <s v="Map share folder request"/>
    <d v="2026-02-23T10:49:36"/>
    <s v="Rail Operations"/>
    <s v="RTA"/>
    <x v="6"/>
    <s v="Service Desk"/>
    <s v="Techm Ghaya Hamad"/>
    <s v="Desktop"/>
    <s v="Profile"/>
    <s v="Network folder Access(RE)"/>
    <s v="Low"/>
    <d v="2026-02-23T12:07:34"/>
    <d v="2026-02-23T12:07:32"/>
    <s v="Resolved"/>
    <s v="User is able to access the share folder"/>
    <s v="No"/>
    <s v="techm_maalneil"/>
    <s v="Desktop"/>
    <s v="Profile"/>
    <s v="Re -Map Share Folder"/>
    <n v="15313"/>
    <s v="Email"/>
    <s v="USER TO CONFIRM"/>
    <s v="Standard"/>
    <s v="amahali"/>
    <s v="Amr.Ali@rta.ae"/>
    <s v="Within the Service Target"/>
  </r>
  <r>
    <s v="INC000001320363"/>
    <s v="User Service Request"/>
    <s v="Marwan Saleh"/>
    <s v="Munssar"/>
    <s v="VPN Configuration Request"/>
    <d v="2026-02-23T10:42:26"/>
    <s v="Right Of Way"/>
    <s v="RTA"/>
    <x v="7"/>
    <s v="Service Desk"/>
    <s v="Zain Alabedein Skheih"/>
    <s v="Desktop"/>
    <s v="Configuration"/>
    <s v="VPN Configuration"/>
    <s v="Low"/>
    <d v="2026-02-23T10:48:21"/>
    <d v="2026-02-23T10:43:18"/>
    <s v="Resolved"/>
    <s v="we accessed remotely and configured the VPN"/>
    <s v="No"/>
    <s v="techm_ziskheih"/>
    <s v="Desktop"/>
    <s v="Configuration"/>
    <s v="VPN Configuration"/>
    <n v="3819"/>
    <s v="Phone"/>
    <s v="USER TO CONFIRM"/>
    <s v="Standard"/>
    <s v="mmunssar"/>
    <s v="marwan.munssar@rta.ae"/>
    <s v="Within the Service Target"/>
  </r>
  <r>
    <s v="INC000001320354"/>
    <s v="User Service Request"/>
    <s v="Alia"/>
    <s v="Almheiri"/>
    <s v="Guide user to Unlock Account through Self services portal."/>
    <d v="2026-02-23T10:37:51"/>
    <s v="Innovation &amp; Pioneering"/>
    <s v="RTA"/>
    <x v="1"/>
    <s v="Service Desk"/>
    <s v="Mohamed Alajlani"/>
    <s v="Desktop"/>
    <s v="User Education"/>
    <s v="User Education"/>
    <s v="Low"/>
    <d v="2026-02-23T10:38:40"/>
    <d v="2026-02-23T10:38:38"/>
    <s v="Resolved"/>
    <s v="The account has been unlocked successfully."/>
    <s v="No"/>
    <s v="techm_myalajlani"/>
    <s v="Desktop"/>
    <s v="User Education"/>
    <s v="User Education"/>
    <n v="15924"/>
    <s v="Phone"/>
    <s v="USER TO CONFIRM"/>
    <s v="Standard"/>
    <s v="asaealmheiri"/>
    <s v="Alia.SAlmheiri@rta.ae"/>
    <s v="Within the Service Target"/>
  </r>
  <r>
    <s v="INC000001320320"/>
    <s v="User Service Request"/>
    <s v="Yasser"/>
    <s v="Dbouk"/>
    <s v="Guided user to connect to VPN"/>
    <d v="2026-02-23T10:15:55"/>
    <s v="Licensing Systems"/>
    <s v="RTA"/>
    <x v="3"/>
    <s v="Service Desk"/>
    <s v="Mohamed Siragelnour"/>
    <s v="Desktop"/>
    <s v="User Education"/>
    <s v="User Education"/>
    <s v="Low"/>
    <d v="2026-02-23T10:18:33"/>
    <d v="2026-02-23T10:16:23"/>
    <s v="Resolved"/>
    <s v="Guided user to connect to VPN successfully."/>
    <s v="No"/>
    <s v="techm_mbsiragelnour"/>
    <s v="Desktop"/>
    <s v="User Education"/>
    <s v="User Education"/>
    <n v="15261"/>
    <s v="Phone"/>
    <s v="USER TO CONFIRM"/>
    <s v="Standard"/>
    <s v="ymdbouk"/>
    <s v="Yasser.Dbouk@rta.ae"/>
    <s v="Within the Service Target"/>
  </r>
  <r>
    <s v="INC000001320319"/>
    <s v="User Service Request"/>
    <s v="Miguel"/>
    <s v="Lucido"/>
    <s v="Desktop replacement with Laptop"/>
    <d v="2026-02-23T10:14:27"/>
    <s v="Roads &amp; Facilities Maintenance"/>
    <s v="RTA"/>
    <x v="7"/>
    <s v="OnSite  EUS"/>
    <s v="Ahmed Almeldeen"/>
    <s v="Incident"/>
    <s v="Self-service"/>
    <s v="Mendix"/>
    <s v="Low"/>
    <d v="2026-02-26T09:08:09"/>
    <m/>
    <s v="Pending"/>
    <m/>
    <s v="No"/>
    <s v="mendix"/>
    <m/>
    <m/>
    <m/>
    <n v="9163"/>
    <s v="Self Service"/>
    <s v="Asset Collection from Stores"/>
    <s v="Standard"/>
    <s v="malucido"/>
    <s v="Miguel.Lucido@RTA.ae"/>
    <s v="Within the Service Target"/>
  </r>
  <r>
    <s v="INC000001320313"/>
    <s v="User Service Request"/>
    <s v="Lamya"/>
    <s v="Alharmoodi"/>
    <s v="Mouse"/>
    <d v="2026-02-23T10:11:49"/>
    <s v="Transportation Systems"/>
    <s v="RTA"/>
    <x v="5"/>
    <s v="OnSite  EUS"/>
    <s v="Nihad Mozayek"/>
    <s v="Incident"/>
    <s v="Self-service"/>
    <s v="Mendix"/>
    <s v="Low"/>
    <d v="2026-02-26T06:53:45"/>
    <m/>
    <s v="Pending"/>
    <m/>
    <s v="No"/>
    <s v="mendix"/>
    <m/>
    <m/>
    <m/>
    <n v="14711"/>
    <s v="Self Service"/>
    <s v="Local Site Action Required"/>
    <s v="Standard"/>
    <s v="LAAlharmoodi"/>
    <s v="Lamya.Alharmoodi@rta.ae"/>
    <s v="Within the Service Target"/>
  </r>
  <r>
    <s v="INC000001320308"/>
    <s v="User Service Restoration"/>
    <s v="Mohammed"/>
    <s v="Kinan Albouni"/>
    <s v="Booting Issue"/>
    <d v="2026-02-23T10:12:21"/>
    <s v="Marine"/>
    <s v="RTA"/>
    <x v="5"/>
    <s v="Service Desk"/>
    <s v="Techm Ghaya Hamad"/>
    <s v="Desktop"/>
    <s v="PC Hardware Issue"/>
    <s v="Cooling Fan Issue"/>
    <s v="Critical"/>
    <d v="2026-02-26T06:53:45"/>
    <m/>
    <s v="Pending"/>
    <m/>
    <s v="No"/>
    <s v="Techm_GAHamad"/>
    <s v="Desktop"/>
    <s v="OS Issue"/>
    <s v="Booting Issue"/>
    <n v="4394"/>
    <s v="Phone"/>
    <s v="Local Site Action Required"/>
    <s v="Standard"/>
    <s v="mkalbouni"/>
    <s v="Mohammed.Albouni@rta.ae"/>
    <s v="Within the Service Target"/>
  </r>
  <r>
    <s v="INC000001320303"/>
    <s v="User Service Request"/>
    <s v="Muhammad"/>
    <s v="Latif"/>
    <s v="Reset Smart employee account Request"/>
    <d v="2026-02-23T10:06:52"/>
    <s v="Drivers Affairs"/>
    <s v="RTA"/>
    <x v="5"/>
    <s v="Service Desk"/>
    <s v="Techm Ghaya Hamad"/>
    <s v="Application"/>
    <s v="Application Services"/>
    <s v="Application Modification / Enhancement Request"/>
    <s v="Low"/>
    <d v="2026-02-23T11:38:33"/>
    <d v="2026-02-23T11:38:29"/>
    <s v="Resolved"/>
    <s v="Reset is done &amp; user will be able to punch in /out from different device"/>
    <s v="No"/>
    <s v="Techm_GAHamad"/>
    <s v="Application"/>
    <s v="Application Services"/>
    <s v="Application Modification / Enhancement Request"/>
    <n v="2501"/>
    <s v="Phone"/>
    <s v="USER TO CONFIRM"/>
    <s v="Standard"/>
    <s v="Mhlatif"/>
    <s v="Muhammad.Hayatabdul@rta.ae"/>
    <s v="Within the Service Target"/>
  </r>
  <r>
    <s v="INC000001320302"/>
    <s v="User Service Request"/>
    <s v="Faisal"/>
    <s v="Saleh"/>
    <s v="Network Folder/ Files / Email Restoration"/>
    <d v="2026-02-23T10:05:00"/>
    <s v="Intelligent Traffic System"/>
    <s v="RTA"/>
    <x v="7"/>
    <s v="Service Desk"/>
    <s v="Maitha Alhammadi"/>
    <s v="Incident"/>
    <s v="Self-service"/>
    <s v="Mendix"/>
    <s v="Low"/>
    <d v="2026-02-26T09:54:22"/>
    <m/>
    <s v="Pending"/>
    <m/>
    <s v="No"/>
    <s v="mendix"/>
    <m/>
    <m/>
    <m/>
    <n v="12683"/>
    <s v="Self Service"/>
    <s v="Client Action Required"/>
    <s v="Standard"/>
    <s v="FDSaleh"/>
    <s v="Faisal.Saleh@rta.ae"/>
    <s v="Within the Service Target"/>
  </r>
  <r>
    <s v="INC000001320300"/>
    <s v="User Service Request"/>
    <s v="Nada"/>
    <s v="Dashti"/>
    <s v="Reset Oracle Authenticator Request"/>
    <d v="2026-02-23T10:04:44"/>
    <s v="Transportation Systems"/>
    <s v="RTA"/>
    <x v="5"/>
    <s v="Service Desk"/>
    <s v="Techm Ghaya Hamad"/>
    <s v="Application"/>
    <s v="Application Services"/>
    <s v="Application Modification / Enhancement Request"/>
    <s v="Low"/>
    <d v="2026-02-24T09:25:01"/>
    <d v="2026-02-24T09:24:52"/>
    <s v="Resolved"/>
    <s v="Reset Oracle account has been done"/>
    <s v="No"/>
    <s v="Techm_GAHamad"/>
    <s v="Application"/>
    <s v="Application Services"/>
    <s v="Application Modification / Enhancement Request"/>
    <n v="14687"/>
    <s v="Phone"/>
    <s v="USER TO CONFIRM"/>
    <s v="Standard"/>
    <s v="NADashti"/>
    <s v="Nada.Dashti@rta.ae"/>
    <s v="Within the Service Target"/>
  </r>
  <r>
    <s v="INC000001320295"/>
    <s v="User Service Request"/>
    <s v="Rashed"/>
    <s v="Hassan"/>
    <s v="Guide user to Reset Password through Self services portal."/>
    <d v="2026-02-23T10:02:15"/>
    <s v="Assets Management"/>
    <s v="RTA"/>
    <x v="1"/>
    <s v="Service Desk"/>
    <s v="Mohamed Alajlani"/>
    <s v="Desktop"/>
    <s v="User Education"/>
    <s v="User Education"/>
    <s v="Low"/>
    <d v="2026-02-23T11:20:11"/>
    <d v="2026-02-23T10:10:06"/>
    <s v="Resolved"/>
    <s v="As per the request, SMS with Reset Password self-services URL has been shared with the user."/>
    <s v="No"/>
    <s v="techm_myalajlani"/>
    <s v="Desktop"/>
    <s v="User Education"/>
    <s v="User Education"/>
    <n v="13125"/>
    <s v="Phone"/>
    <s v="USER TO CONFIRM"/>
    <s v="Standard"/>
    <s v="RMHassan"/>
    <s v="Rashed.Hassan@rta.ae"/>
    <s v="Within the Service Target"/>
  </r>
  <r>
    <s v="INC000001320291"/>
    <s v="User Service Request"/>
    <s v="Musab"/>
    <s v="Yahyia Alasawedh"/>
    <s v="Laptop"/>
    <d v="2026-02-23T09:56:50"/>
    <s v="Roads &amp; Facilities Maintenance"/>
    <s v="RTA"/>
    <x v="7"/>
    <s v="OnSite  EUS"/>
    <s v="Ahmed Almeldeen"/>
    <s v="Incident"/>
    <s v="Self-service"/>
    <s v="Mendix"/>
    <s v="Low"/>
    <d v="2026-02-23T10:08:08"/>
    <d v="2026-02-23T10:08:06"/>
    <s v="Resolved"/>
    <s v="this request already duplicated with INC000001320244"/>
    <s v="No"/>
    <s v="mendix"/>
    <s v="Desktop"/>
    <s v="Replacement"/>
    <s v="Laptop Replacement With Laptop"/>
    <n v="5632"/>
    <s v="Self Service"/>
    <s v="Customer Follow-Up Required"/>
    <s v="Standard"/>
    <s v="myalasawedh"/>
    <s v="Musab.Alasawedh@rta.ae"/>
    <s v="Within the Service Target"/>
  </r>
  <r>
    <s v="INC000001320282"/>
    <s v="User Service Request"/>
    <s v="Ahmed"/>
    <s v="Alkindi"/>
    <s v="Network Folder/ Files / Email Restoration"/>
    <d v="2026-02-23T09:50:00"/>
    <s v="Intelligent Traffic System"/>
    <s v="RTA"/>
    <x v="7"/>
    <s v="Service Desk"/>
    <s v="Maitha Alhammadi"/>
    <s v="Incident"/>
    <s v="Self-service"/>
    <s v="Mendix"/>
    <s v="Low"/>
    <d v="2026-02-26T09:53:01"/>
    <m/>
    <s v="Pending"/>
    <m/>
    <s v="No"/>
    <s v="mendix"/>
    <m/>
    <m/>
    <m/>
    <n v="12709"/>
    <s v="Self Service"/>
    <s v="Client Action Required"/>
    <s v="Standard"/>
    <s v="AMAlkindi"/>
    <s v="Ahmed.Alkindi@rta.ae"/>
    <s v="Within the Service Target"/>
  </r>
  <r>
    <s v="INC000001320281"/>
    <s v="User Service Request"/>
    <s v="Saeed"/>
    <s v="Alshehhi"/>
    <s v="Network Folder/ Files / Email Restoration"/>
    <d v="2026-02-23T09:48:39"/>
    <s v="Intelligent Traffic System"/>
    <s v="RTA"/>
    <x v="7"/>
    <s v="Service Desk"/>
    <s v="Maitha Alhammadi"/>
    <s v="Incident"/>
    <s v="Self-service"/>
    <s v="Mendix"/>
    <s v="Low"/>
    <d v="2026-02-26T09:51:44"/>
    <m/>
    <s v="Pending"/>
    <m/>
    <s v="No"/>
    <s v="mendix"/>
    <m/>
    <m/>
    <m/>
    <n v="12663"/>
    <s v="Self Service"/>
    <s v="Client Action Required"/>
    <s v="Standard"/>
    <s v="SAAlshehhi"/>
    <s v="Saeed.Alshehhi@rta.ae"/>
    <s v="Within the Service Target"/>
  </r>
  <r>
    <s v="INC000001320280"/>
    <s v="User Service Restoration"/>
    <s v="Muna"/>
    <s v="Alshakhadhah"/>
    <s v="Received popup notification while open EV"/>
    <d v="2026-02-23T09:49:46"/>
    <s v="Technology Strategy &amp; Governance"/>
    <s v="RTA"/>
    <x v="4"/>
    <s v="Service Desk"/>
    <s v="Techm Ghaya Hamad"/>
    <s v="Desktop"/>
    <s v="Mail"/>
    <s v="Enterprise Vault"/>
    <s v="Medium"/>
    <d v="2026-02-24T14:06:35"/>
    <d v="2026-02-24T14:06:31"/>
    <s v="Resolved"/>
    <s v="Old password has been removed from credential manager    Old ost has been removed issue resolved: -click on view-check on (Hidden Item) -Go to C drive-users-user login ID-app-Microsoft-outlook-remove old ost"/>
    <s v="No"/>
    <s v="Techm_NRMohamed"/>
    <s v="Desktop"/>
    <s v="Mail Box Issue"/>
    <s v="Login Issue"/>
    <n v="14636"/>
    <s v="Email"/>
    <s v="USER TO CONFIRM"/>
    <s v="Standard"/>
    <s v="MAAlshakhadhah"/>
    <s v="Muna.Alshakhadhah@rta.ae"/>
    <s v="Within the Service Target"/>
  </r>
  <r>
    <s v="INC000001320276"/>
    <s v="User Service Request"/>
    <s v="Athari"/>
    <s v="Zahreddin"/>
    <s v="unlock account request"/>
    <d v="2026-02-23T09:47:51"/>
    <s v="Human Resources &amp; Development"/>
    <s v="RTA"/>
    <x v="0"/>
    <s v="Service Desk"/>
    <s v="Ismael Ismael"/>
    <s v="Desktop"/>
    <s v="Profile"/>
    <s v="Account Lock Out"/>
    <s v="Low"/>
    <d v="2026-02-23T09:50:07"/>
    <d v="2026-02-23T09:50:02"/>
    <s v="Resolved"/>
    <s v="account was successfully unlocked"/>
    <s v="Yes"/>
    <s v="techm_iaismael"/>
    <s v="Desktop"/>
    <s v="Profile"/>
    <s v="Account Lock Out"/>
    <n v="12881"/>
    <s v="Phone"/>
    <s v="USER TO CONFIRM"/>
    <s v="Standard"/>
    <s v="AMUZahreddin"/>
    <s v="Athari.MZahreddin@rta.ae"/>
    <s v="Within the Service Target"/>
  </r>
  <r>
    <s v="INC000001320267"/>
    <s v="User Service Request"/>
    <s v="Salim Hussein"/>
    <s v="Al Rimawi"/>
    <s v="Guide user to Reset Password through Self services portal."/>
    <d v="2026-02-23T09:38:13"/>
    <s v="Roads &amp; Facilities Maintenance"/>
    <s v="RTA"/>
    <x v="7"/>
    <s v="Service Desk"/>
    <s v="Mohamed Alajlani"/>
    <s v="Desktop"/>
    <s v="User Education"/>
    <s v="User Education"/>
    <s v="Low"/>
    <d v="2026-02-23T09:39:56"/>
    <d v="2026-02-23T09:39:55"/>
    <s v="Resolved"/>
    <s v="As per the request, SMS with Reset Password self-services URL has been shared with the user."/>
    <s v="No"/>
    <s v="techm_myalajlani"/>
    <s v="Desktop"/>
    <s v="User Education"/>
    <s v="User Education"/>
    <n v="3766"/>
    <s v="Phone"/>
    <s v="USER TO CONFIRM"/>
    <s v="Sensitive"/>
    <s v="salrimawi"/>
    <s v="salim.alrimawi@rta.ae"/>
    <s v="Within the Service Target"/>
  </r>
  <r>
    <s v="INC000001320265"/>
    <s v="User Service Request"/>
    <s v="Intisar"/>
    <s v="Almuntaser"/>
    <s v="MS Outlook &amp; MS Teams Configuration"/>
    <d v="2026-02-23T09:37:38"/>
    <s v="Customer Happiness"/>
    <s v="RTA"/>
    <x v="0"/>
    <s v="Service Desk"/>
    <s v="Mohamed Siragelnour"/>
    <s v="Desktop"/>
    <s v="Mail"/>
    <s v="Outlook Reconfiguration(RE)"/>
    <s v="Low"/>
    <d v="2026-02-23T09:38:38"/>
    <d v="2026-02-23T09:38:24"/>
    <s v="Resolved"/>
    <s v="Guided user to configure Microsoft MFA, configured MS Outlook and MS Teams Successfully."/>
    <s v="No"/>
    <s v="techm_mbsiragelnour"/>
    <s v="Desktop"/>
    <s v="Mail"/>
    <s v="Outlook Reconfiguration"/>
    <n v="11998"/>
    <s v="Phone"/>
    <s v="USER TO CONFIRM"/>
    <s v="Standard"/>
    <s v="isalmuntaser"/>
    <s v="Intisar.Almuntaser@rta.ae"/>
    <s v="Within the Service Target"/>
  </r>
  <r>
    <s v="INC000001320263"/>
    <s v="User Service Request"/>
    <s v="Sara"/>
    <s v="Alhammadi"/>
    <s v="Asset collection request -PC Screen"/>
    <d v="2026-02-23T09:39:51"/>
    <s v="Innovation &amp; Pioneering"/>
    <s v="RTA"/>
    <x v="1"/>
    <s v="OnSite  EUS"/>
    <s v="Nihad Mozayek"/>
    <s v="Desktop"/>
    <s v="Asset collection"/>
    <s v="Asset collection"/>
    <s v="Low"/>
    <d v="2026-02-26T06:53:45"/>
    <m/>
    <s v="Pending"/>
    <m/>
    <s v="No"/>
    <s v="Techm_NRMohamed"/>
    <s v="Desktop"/>
    <s v="Asset Collection"/>
    <s v="Asset Collection"/>
    <n v="13013"/>
    <s v="Email"/>
    <s v="Local Site Action Required"/>
    <s v="Standard"/>
    <s v="SYAlhammadi"/>
    <s v="Sara.Alhammadi@rta.ae"/>
    <s v="Within the Service Target"/>
  </r>
  <r>
    <s v="INC000001320262"/>
    <s v="User Service Request"/>
    <s v="Farida"/>
    <s v="Al Zarooni"/>
    <s v="VPN Configuration Request"/>
    <d v="2026-02-23T09:34:16"/>
    <s v="Roads"/>
    <s v="RTA"/>
    <x v="7"/>
    <s v="Service Desk"/>
    <s v="Mohamed Siragelnour"/>
    <s v="Desktop"/>
    <s v="Configuration"/>
    <s v="VPN Configuration"/>
    <s v="Low"/>
    <d v="2026-02-23T09:36:42"/>
    <d v="2026-02-23T09:34:53"/>
    <s v="Resolved"/>
    <s v="VPN has been configured successfully."/>
    <s v="No"/>
    <s v="techm_mbsiragelnour"/>
    <s v="Desktop"/>
    <s v="Configuration"/>
    <s v="VPN Configuration"/>
    <n v="4160"/>
    <s v="Phone"/>
    <s v="USER TO CONFIRM"/>
    <s v="Standard"/>
    <s v="fmalzarooni"/>
    <s v="farida.alzarooni@rta.ae"/>
    <s v="Within the Service Target"/>
  </r>
  <r>
    <s v="INC000001320252"/>
    <s v="User Service Request"/>
    <s v="Rawaah"/>
    <s v="Qadous"/>
    <s v="Guide user to Unlock Account through Self services portal."/>
    <d v="2026-02-23T09:26:41"/>
    <s v="Rail Planning &amp; Projects Development"/>
    <s v="RTA"/>
    <x v="6"/>
    <s v="Service Desk"/>
    <s v="Mohamed Alajlani"/>
    <s v="Desktop"/>
    <s v="User Education"/>
    <s v="User Education"/>
    <s v="Low"/>
    <d v="2026-02-23T09:27:11"/>
    <d v="2026-02-23T09:27:06"/>
    <s v="Resolved"/>
    <s v="The account has been unlocked successfully."/>
    <s v="No"/>
    <s v="techm_myalajlani"/>
    <s v="Desktop"/>
    <s v="User Education"/>
    <s v="User Education"/>
    <n v="15525"/>
    <s v="Phone"/>
    <s v="USER TO CONFIRM"/>
    <s v="Standard"/>
    <s v="rmqadous"/>
    <s v="Rawaah.Qadous@rta.ae"/>
    <s v="Within the Service Target"/>
  </r>
  <r>
    <s v="INC000001320246"/>
    <s v="User Service Request"/>
    <s v="Mohamed"/>
    <s v="Abdulmajid"/>
    <s v="Configure Smart Traffic URL on Microsoft Edge"/>
    <d v="2026-02-23T09:20:01"/>
    <s v="Customer Happiness"/>
    <s v="RTA"/>
    <x v="0"/>
    <s v="Service Desk"/>
    <s v="Mohamed Alajlani"/>
    <s v="Desktop"/>
    <s v="Configuration"/>
    <s v="Profile Configuration"/>
    <s v="Low"/>
    <d v="2026-02-23T09:23:01"/>
    <d v="2026-02-23T09:23:00"/>
    <s v="Resolved"/>
    <s v="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
    <s v="No"/>
    <s v="techm_myalajlani"/>
    <s v="Desktop"/>
    <s v="Configuration"/>
    <s v="Profile Configuration"/>
    <n v="7593"/>
    <s v="Phone"/>
    <s v="USER TO CONFIRM"/>
    <s v="Standard"/>
    <s v="mfabdulmajid"/>
    <s v="Mohamed.Abdulmajid@RTA.ae"/>
    <s v="Within the Service Target"/>
  </r>
  <r>
    <s v="INC000001320242"/>
    <s v="User Service Restoration"/>
    <s v="Amna"/>
    <s v="Abdulla"/>
    <s v="NX-PC Slowness Issue"/>
    <d v="2026-02-23T09:11:49"/>
    <s v="Customer Happiness"/>
    <s v="RTA"/>
    <x v="0"/>
    <s v="SCCM-Nexthink Support"/>
    <s v="Surjeet Samanta"/>
    <s v="Desktop"/>
    <s v="OS Issue"/>
    <s v="PC Slowness Issue"/>
    <s v="Medium"/>
    <d v="2026-02-26T06:53:44"/>
    <m/>
    <s v="Pending"/>
    <m/>
    <s v="No"/>
    <s v="Techm_WAHassan"/>
    <m/>
    <m/>
    <m/>
    <n v="2710"/>
    <s v="Phone"/>
    <s v="Client Action Required"/>
    <s v="Standard"/>
    <s v="amabdulla"/>
    <s v="Amna.Abdulla@rta.ae"/>
    <s v="Within the Service Target"/>
  </r>
  <r>
    <s v="INC000001320239"/>
    <s v="User Service Request"/>
    <s v="Muhammad"/>
    <s v="Uddin"/>
    <s v="External Monitor"/>
    <d v="2026-02-23T09:09:21"/>
    <s v="Maintenance &amp; Services"/>
    <s v="RTA"/>
    <x v="5"/>
    <s v="OnSite  EUS"/>
    <s v="Techm Ahmad Khantomany"/>
    <s v="Incident"/>
    <s v="Self-service"/>
    <s v="Mendix"/>
    <s v="Low"/>
    <d v="2026-02-26T06:53:44"/>
    <m/>
    <s v="Pending"/>
    <m/>
    <s v="No"/>
    <s v="mendix"/>
    <m/>
    <m/>
    <m/>
    <n v="11455"/>
    <s v="Self Service"/>
    <s v="Local Site Action Required"/>
    <s v="Standard"/>
    <s v="Mhuddin"/>
    <s v="Muhammad.HUddin@rta.ae"/>
    <s v="Within the Service Target"/>
  </r>
  <r>
    <s v="INC000001320233"/>
    <s v="User Service Request"/>
    <s v="Abhishek"/>
    <s v="Shakti"/>
    <s v="Email access through Smart Devices"/>
    <d v="2026-02-23T09:00:40"/>
    <s v="Commercial Transport Activities"/>
    <s v="RTA"/>
    <x v="3"/>
    <s v="Service Desk"/>
    <s v="Muhammed Alneil"/>
    <s v="Incident"/>
    <s v="Self-service"/>
    <s v="Mendix"/>
    <s v="Low"/>
    <d v="2026-02-26T08:48:47"/>
    <m/>
    <s v="Pending"/>
    <m/>
    <s v="No"/>
    <s v="mendix"/>
    <m/>
    <m/>
    <m/>
    <s v="V0033801"/>
    <s v="Self Service"/>
    <s v="Client Action Required"/>
    <s v="Standard"/>
    <s v="tms_akshakti"/>
    <s v="Tms_Abhishek.Shakti@rta.ae"/>
    <s v="Within the Service Target"/>
  </r>
  <r>
    <s v="INC000001320232"/>
    <s v="User Service Restoration"/>
    <s v="Amna"/>
    <s v="Adeel"/>
    <s v="system is not working "/>
    <d v="2026-02-23T08:59:57"/>
    <s v="Commercial &amp; Investment"/>
    <s v="RTA"/>
    <x v="1"/>
    <s v="OnSite  EUS"/>
    <s v="Mohamed Al Taweel"/>
    <s v="Application"/>
    <s v="Application Services"/>
    <s v="Administrative Tasks"/>
    <s v="Medium"/>
    <d v="2026-02-25T07:19:58"/>
    <d v="2026-02-25T07:19:56"/>
    <s v="Resolved"/>
    <s v="Myrta has bee installed in her mobile and working fine and the location has been activated on her laptop"/>
    <s v="No"/>
    <s v="mendix"/>
    <s v="Application"/>
    <s v="Application Services"/>
    <s v="Administrative Tasks"/>
    <s v="V0033215"/>
    <s v="Self Service"/>
    <s v="USER TO CONFIRM"/>
    <s v="Standard"/>
    <s v="tms_abadeel"/>
    <s v="Tms_Amna.Adeel@rta.ae"/>
    <s v="Within the Service Target"/>
  </r>
  <r>
    <s v="INC000001320230"/>
    <s v="User Service Request"/>
    <s v="Mohammad"/>
    <s v="Alsaleh"/>
    <s v="Software Installing Request"/>
    <d v="2026-02-23T08:57:37"/>
    <s v="Dubai Traffic &amp; Roads CEO"/>
    <s v="RTA"/>
    <x v="7"/>
    <s v="Service Desk"/>
    <s v="Techm Ghaya Hamad"/>
    <s v="Incident"/>
    <s v="Self-service"/>
    <s v="Mendix"/>
    <s v="Low"/>
    <d v="2026-02-25T10:41:05"/>
    <d v="2026-02-25T10:41:04"/>
    <s v="Resolved"/>
    <s v="Unfortunately using OneDrive software is not an approved service within RTA as of now, user can request to use secure RTA SFTP as alternative through the automation"/>
    <s v="No"/>
    <s v="mendix"/>
    <s v="Desktop"/>
    <s v="RTA Non standard application  Request"/>
    <s v="Non-listed Application/Software"/>
    <n v="15792"/>
    <s v="Self Service"/>
    <s v="USER TO CONFIRM"/>
    <s v="Standard"/>
    <s v="maalsaleh"/>
    <s v="Mohammad.Alsaleh@rta.ae"/>
    <s v="Within the Service Target"/>
  </r>
  <r>
    <s v="INC000001320229"/>
    <s v="User Service Request"/>
    <s v="Waad"/>
    <s v="Altowail"/>
    <s v="Guide user to Reset Password through Self services portal."/>
    <d v="2026-02-23T08:56:38"/>
    <s v="Procurement"/>
    <s v="RTA"/>
    <x v="0"/>
    <s v="Service Desk"/>
    <s v="Mohamed Alajlani"/>
    <s v="Desktop"/>
    <s v="User Education"/>
    <s v="User Education"/>
    <s v="Low"/>
    <d v="2026-02-23T08:57:10"/>
    <d v="2026-02-23T08:57:02"/>
    <s v="Resolved"/>
    <s v="As per the request, SMS with Reset Password self-services URL has been shared with the user."/>
    <s v="No"/>
    <s v="techm_myalajlani"/>
    <s v="Desktop"/>
    <s v="User Education"/>
    <s v="User Education"/>
    <n v="13638"/>
    <s v="Phone"/>
    <s v="USER TO CONFIRM"/>
    <s v="Standard"/>
    <s v="WAAltowail"/>
    <s v="Waad.Altowail@rta.ae"/>
    <s v="Within the Service Target"/>
  </r>
  <r>
    <s v="INC000001320228"/>
    <s v="User Service Request"/>
    <s v="Ahmad"/>
    <s v="Mousa"/>
    <s v="Asset collection for the resigned user."/>
    <d v="2026-02-23T08:54:10"/>
    <s v="Development &amp; Corporate Performance"/>
    <s v="RTA"/>
    <x v="1"/>
    <s v="OnSite  EUS"/>
    <s v="Mohamed Nishad Usman"/>
    <s v="Desktop"/>
    <s v="Asset collection"/>
    <s v="Asset collection"/>
    <s v="Low"/>
    <d v="2026-02-26T06:53:44"/>
    <m/>
    <s v="Pending"/>
    <m/>
    <s v="No"/>
    <s v="Techm_NRMohamed"/>
    <s v="Desktop"/>
    <s v="Asset Collection"/>
    <s v="Asset Collection"/>
    <n v="14522"/>
    <s v="Email"/>
    <s v="Client Action Required"/>
    <s v="Standard"/>
    <s v="AIBMousa"/>
    <s v="Ahmad.Mousa@rta.ae"/>
    <s v="Within the Service Target"/>
  </r>
  <r>
    <s v="INC000001320227"/>
    <s v="User Service Request"/>
    <s v="Taher"/>
    <s v="Abdelwahab"/>
    <s v="Request for HDMI Cable"/>
    <d v="2026-02-23T08:53:58"/>
    <s v="Rail Right Of Way"/>
    <s v="RTA"/>
    <x v="6"/>
    <s v="OnSite  EUS"/>
    <s v="Techm Omer Idris"/>
    <s v="Desktop"/>
    <s v="Audio and Video"/>
    <s v="Issue with HDMI / VGA / Audio cable"/>
    <s v="Low"/>
    <d v="2026-02-24T11:00:41"/>
    <d v="2026-02-24T11:00:37"/>
    <s v="Resolved"/>
    <s v="HDMI Cable is provided to User"/>
    <s v="No"/>
    <s v="techm_mbsiragelnour"/>
    <s v="Desktop"/>
    <s v="Audio and Video"/>
    <s v="Issue with HDMI / VGA / Audio cable"/>
    <n v="15975"/>
    <s v="Phone"/>
    <s v="USER TO CONFIRM"/>
    <s v="Standard"/>
    <s v="tmabdelwahab"/>
    <s v="Taher.Abdelwahab@rta.ae"/>
    <s v="Within the Service Target"/>
  </r>
  <r>
    <s v="INC000001320226"/>
    <s v="User Service Request"/>
    <s v="Girish"/>
    <s v="Thimmegowda"/>
    <s v="Network Folder/ Files / Email Restoration"/>
    <d v="2026-02-23T08:50:29"/>
    <s v="Information Technology"/>
    <s v="RTA"/>
    <x v="4"/>
    <s v="Service Desk"/>
    <s v="Techm Ahmed Elboshy"/>
    <s v="Incident"/>
    <s v="Self-service"/>
    <s v="Mendix"/>
    <s v="Low"/>
    <d v="2026-02-26T06:53:44"/>
    <m/>
    <s v="Pending"/>
    <m/>
    <s v="No"/>
    <s v="mendix"/>
    <m/>
    <m/>
    <m/>
    <s v="V0032366"/>
    <s v="Self Service"/>
    <s v="Client Action Required"/>
    <s v="Standard"/>
    <s v="techm_gkthimmegowda"/>
    <s v="Techm_Girish.Thimmegowda@rta.ae"/>
    <s v="Within the Service Target"/>
  </r>
  <r>
    <s v="INC000001320222"/>
    <s v="User Service Restoration"/>
    <s v="Samah"/>
    <s v="Khlaif"/>
    <s v="mic issue"/>
    <d v="2026-02-23T08:58:54"/>
    <s v="Automatic Collection Systems"/>
    <s v="RTA"/>
    <x v="4"/>
    <s v="OnSite  EUS"/>
    <s v="Techm Elsayed Mohamed"/>
    <s v="Desktop"/>
    <s v="Peripherals"/>
    <s v="Keyboard"/>
    <s v="Medium"/>
    <d v="2026-02-26T09:16:09"/>
    <m/>
    <s v="Pending"/>
    <m/>
    <s v="No"/>
    <s v="techm_iaismael"/>
    <m/>
    <m/>
    <m/>
    <n v="15563"/>
    <s v="Phone"/>
    <s v="Local Site Action Required"/>
    <s v="Standard"/>
    <s v="smkhlaif"/>
    <s v="Samah.Khlaif@rta.ae"/>
    <s v="Within the Service Target"/>
  </r>
  <r>
    <s v="INC000001320220"/>
    <s v="User Service Request"/>
    <s v="Prakash"/>
    <s v="Ramasamy"/>
    <s v="Software Installing Request"/>
    <d v="2026-02-23T08:42:18"/>
    <s v="Information Technology"/>
    <s v="RTA"/>
    <x v="4"/>
    <s v="Service Desk"/>
    <s v="Mohamed Alajlani"/>
    <s v="Incident"/>
    <s v="Self-service"/>
    <s v="Mendix"/>
    <s v="Low"/>
    <d v="2026-02-25T11:55:49"/>
    <d v="2026-02-25T11:54:14"/>
    <s v="Resolved"/>
    <s v="PUTTY has been installed successfully on user's machine (RTA-CTS-ITD-500)"/>
    <s v="No"/>
    <s v="mendix"/>
    <s v="Desktop"/>
    <s v="RTA Non standard application  Request"/>
    <s v="Non-listed Application/Software"/>
    <s v="V0034741"/>
    <s v="Self Service"/>
    <s v="USER TO CONFIRM"/>
    <s v="Standard"/>
    <s v="techm_prramasamy"/>
    <s v="Techm_Prakash.Ramasamy@rta.ae"/>
    <s v="Within the Service Target"/>
  </r>
  <r>
    <s v="INC000001320219"/>
    <s v="User Service Request"/>
    <s v="Elaaf"/>
    <s v="Osman Sayedahmed"/>
    <s v="Password reset Request"/>
    <d v="2026-02-23T08:54:43"/>
    <s v="Customer Happiness"/>
    <s v="RTA"/>
    <x v="0"/>
    <s v="Service Desk"/>
    <s v="Ismael Ismael"/>
    <s v="Desktop"/>
    <s v="Profile"/>
    <s v="Password reset(RE)"/>
    <s v="Low"/>
    <d v="2026-02-23T09:07:57"/>
    <d v="2026-02-23T08:55:03"/>
    <s v="Resolved"/>
    <s v="password has been successfully reset"/>
    <s v="No"/>
    <s v="techm_iaismael"/>
    <s v="Desktop"/>
    <s v="Profile"/>
    <s v="Password Reset"/>
    <s v="V0024655"/>
    <s v="Phone"/>
    <s v="USER TO CONFIRM"/>
    <s v="Standard"/>
    <s v="avaya_esosmansayedah"/>
    <s v="Avaya_Elaaf.Osmansayedahmed@rta.ae"/>
    <s v="Within the Service Target"/>
  </r>
  <r>
    <s v="INC000001320217"/>
    <s v="User Service Request"/>
    <s v="Prakash"/>
    <s v="Ramasamy"/>
    <s v="Laptop"/>
    <d v="2026-02-23T08:40:57"/>
    <s v="Information Technology"/>
    <s v="RTA"/>
    <x v="4"/>
    <s v="OnSite  EUS"/>
    <s v="Techm Vipin Ravindran"/>
    <s v="Incident"/>
    <s v="Self-service"/>
    <s v="Mendix"/>
    <s v="Low"/>
    <d v="2026-02-26T06:53:44"/>
    <m/>
    <s v="Pending"/>
    <m/>
    <s v="No"/>
    <s v="mendix"/>
    <m/>
    <m/>
    <m/>
    <s v="V0034741"/>
    <s v="Self Service"/>
    <s v="Pending for ITD Approval"/>
    <s v="Standard"/>
    <s v="techm_prramasamy"/>
    <s v="Techm_Prakash.Ramasamy@rta.ae"/>
    <s v="Within the Service Target"/>
  </r>
  <r>
    <s v="INC000001320216"/>
    <s v="User Service Request"/>
    <s v="Maymona"/>
    <s v="Ahmad"/>
    <s v="Guide user to Reset Password through Self services portal."/>
    <d v="2026-02-23T08:48:15"/>
    <s v="Dubai Transport CEO"/>
    <s v="RTA"/>
    <x v="5"/>
    <s v="Service Desk"/>
    <s v="Mohamed Alajlani"/>
    <s v="Desktop"/>
    <s v="User Education"/>
    <s v="User Education"/>
    <s v="Low"/>
    <d v="2026-02-23T08:49:34"/>
    <d v="2026-02-23T08:49:30"/>
    <s v="Resolved"/>
    <s v="As per the request, SMS with Reset Password self-services URL has been shared with the user."/>
    <s v="No"/>
    <s v="techm_myalajlani"/>
    <s v="Desktop"/>
    <s v="User Education"/>
    <s v="User Education"/>
    <n v="12773"/>
    <s v="Phone"/>
    <s v="USER TO CONFIRM"/>
    <s v="Standard"/>
    <s v="MAhAhmad"/>
    <s v="Maymona.Ahmad@rta.ae"/>
    <s v="Within the Service Target"/>
  </r>
  <r>
    <s v="INC000001320215"/>
    <s v="User Service Request"/>
    <s v="Prakash"/>
    <s v="Ramasamy"/>
    <s v="Workstation"/>
    <d v="2026-02-23T08:39:59"/>
    <s v="Information Technology"/>
    <s v="RTA"/>
    <x v="4"/>
    <s v="OnSite  EUS"/>
    <s v="Techm Osama Abdullatif"/>
    <s v="Incident"/>
    <s v="Self-service"/>
    <s v="Mendix"/>
    <s v="Low"/>
    <d v="2026-02-23T10:19:12"/>
    <d v="2026-02-23T10:19:11"/>
    <s v="Resolved"/>
    <s v="ticket INC000001318358 was raised for the same request.  hence closing this ticket."/>
    <s v="No"/>
    <s v="mendix"/>
    <s v="Desktop"/>
    <s v="Peripherals"/>
    <s v="Network Cable"/>
    <s v="V0034741"/>
    <s v="Self Service"/>
    <s v="Customer Follow-Up Required"/>
    <s v="Standard"/>
    <s v="techm_prramasamy"/>
    <s v="Techm_Prakash.Ramasamy@rta.ae"/>
    <s v="Within the Service Target"/>
  </r>
  <r>
    <s v="INC000001320212"/>
    <s v="User Service Request"/>
    <s v="Prakash"/>
    <s v="Ramasamy"/>
    <s v="External Monitor"/>
    <d v="2026-02-23T08:36:49"/>
    <s v="Information Technology"/>
    <s v="RTA"/>
    <x v="4"/>
    <s v="OnSite  EUS"/>
    <s v="Techm Vipin Ravindran"/>
    <s v="Incident"/>
    <s v="Self-service"/>
    <s v="Mendix"/>
    <s v="Low"/>
    <d v="2026-02-26T09:46:48"/>
    <m/>
    <s v="Pending"/>
    <m/>
    <s v="No"/>
    <s v="mendix"/>
    <m/>
    <m/>
    <m/>
    <s v="V0034741"/>
    <s v="Self Service"/>
    <s v="Local Site Action Required"/>
    <s v="Standard"/>
    <s v="techm_prramasamy"/>
    <s v="Techm_Prakash.Ramasamy@rta.ae"/>
    <s v="Within the Service Target"/>
  </r>
  <r>
    <s v="INC000001320210"/>
    <s v="User Service Request"/>
    <s v="Balram"/>
    <s v="Devraj"/>
    <s v="LCD / LED Screen"/>
    <d v="2026-02-23T08:35:52"/>
    <s v="Information Technology"/>
    <s v="RTA"/>
    <x v="4"/>
    <s v="OnSite  EUS"/>
    <s v="Techm Vipin Ravindran"/>
    <s v="Incident"/>
    <s v="Self-service"/>
    <s v="Mendix"/>
    <s v="Low"/>
    <d v="2026-02-26T09:45:06"/>
    <m/>
    <s v="Pending"/>
    <m/>
    <s v="No"/>
    <s v="mendix"/>
    <m/>
    <m/>
    <m/>
    <s v="V0034733"/>
    <s v="Self Service"/>
    <s v="Local Site Action Required"/>
    <s v="Standard"/>
    <s v="techm_bddevraj"/>
    <s v="Techm_Balram.Devraj@rta.ae"/>
    <s v="Within the Service Target"/>
  </r>
  <r>
    <s v="INC000001320132"/>
    <s v="User Service Request"/>
    <s v="Shaima"/>
    <s v="Hajji"/>
    <s v="FOLLOW UP - Temporary Laptop"/>
    <d v="2026-02-23T09:00:00"/>
    <s v="Information Technology"/>
    <s v="RTA"/>
    <x v="4"/>
    <s v="OnSite  EUS"/>
    <s v="Techm Elsayed Mohamed"/>
    <s v="Incident"/>
    <s v="Self-service"/>
    <s v="Mendix"/>
    <s v="Low"/>
    <d v="2026-02-25T09:00:56"/>
    <d v="2026-02-25T09:00:55"/>
    <s v="Resolved"/>
    <s v="The laptop has extended as requested"/>
    <s v="No"/>
    <s v="AR_ESCALATOR"/>
    <s v="Desktop"/>
    <s v="Temporary Hardware"/>
    <s v="Laptop"/>
    <n v="15740"/>
    <s v="Self Service"/>
    <s v="USER TO CONFIRM"/>
    <s v="Sensitive"/>
    <s v="sjhajji"/>
    <s v="Shaima.Hajji@rta.ae"/>
    <s v="Within the Service Target"/>
  </r>
  <r>
    <s v="INC000001320131"/>
    <s v="User Service Request"/>
    <s v="Ali"/>
    <s v="Badrawi"/>
    <s v="FOLLOW UP - 23FEB26_Request to provide  used Macbook on temporary basis."/>
    <d v="2026-02-23T09:00:00"/>
    <s v="Planning &amp; Business Development"/>
    <s v="RTA"/>
    <x v="5"/>
    <s v="OnSite  EUS"/>
    <s v="Ali Adam"/>
    <s v="Desktop"/>
    <s v="Temporary Hardware"/>
    <s v="Laptop"/>
    <s v="Low"/>
    <d v="2026-02-26T06:53:43"/>
    <m/>
    <s v="Pending"/>
    <m/>
    <s v="No"/>
    <s v="AR_ESCALATOR"/>
    <s v="Desktop"/>
    <s v="Others"/>
    <s v="Follow-up/Extension"/>
    <n v="15492"/>
    <s v="Email"/>
    <s v="Client Action Required"/>
    <s v="Standard"/>
    <s v="aabadrawi"/>
    <s v="Ali.Badrawi@rta.ae"/>
    <s v="Within the Service Target"/>
  </r>
  <r>
    <s v="INC000001320107"/>
    <s v="User Service Request"/>
    <s v="Suad"/>
    <s v="Almakrani"/>
    <s v="network cable request"/>
    <d v="2026-02-23T09:09:58"/>
    <s v="Commercial &amp; Investment"/>
    <s v="RTA"/>
    <x v="1"/>
    <s v="OnSite  EUS"/>
    <s v="Solaiman Alhussni"/>
    <s v="Desktop"/>
    <s v="Peripherals"/>
    <s v="Network Cable"/>
    <s v="Low"/>
    <d v="2026-02-25T13:09:48"/>
    <d v="2026-02-25T13:09:47"/>
    <s v="Resolved"/>
    <s v="the user is working remotely today  the Network cable has been connected to the socket and it is ready to use"/>
    <s v="No"/>
    <s v="techm_iaismael"/>
    <s v="Desktop"/>
    <s v="Peripherals"/>
    <s v="Network Cable"/>
    <n v="10331"/>
    <s v="Phone"/>
    <s v="USER TO CONFIRM"/>
    <s v="Standard"/>
    <s v="ssalmakrani"/>
    <s v="Suad.Almakrani@rta.ae"/>
    <s v="Within the Service Target"/>
  </r>
  <r>
    <s v="INC000001320106"/>
    <s v="User Service Request"/>
    <s v="Samiha Ahmed"/>
    <s v="Al Zarouni"/>
    <s v="Guide user to Reset Password through Self services portal."/>
    <d v="2026-02-23T08:36:54"/>
    <s v="Dubai Traffic &amp; Roads CEO"/>
    <s v="RTA"/>
    <x v="7"/>
    <s v="Service Desk"/>
    <s v="Mohamed Alajlani"/>
    <s v="Desktop"/>
    <s v="User Education"/>
    <s v="User Education"/>
    <s v="Low"/>
    <d v="2026-02-23T08:40:10"/>
    <d v="2026-02-23T08:37:20"/>
    <s v="Resolved"/>
    <s v="As per the request, SMS with Reset Password self-services URL has been shared with the user."/>
    <s v="No"/>
    <s v="techm_myalajlani"/>
    <s v="Desktop"/>
    <s v="User Education"/>
    <s v="User Education"/>
    <n v="3026"/>
    <s v="Phone"/>
    <s v="USER TO CONFIRM"/>
    <s v="Standard"/>
    <s v="sazarouni"/>
    <s v="samiha.alzarouni@rta.ae"/>
    <s v="Within the Service Target"/>
  </r>
  <r>
    <s v="INC000001320101"/>
    <s v="User Service Request"/>
    <s v="Samiha Ahmed"/>
    <s v="Al Zarouni"/>
    <s v="Guide user to Unlock Account through Self services portal."/>
    <d v="2026-02-23T08:33:57"/>
    <s v="Dubai Traffic &amp; Roads CEO"/>
    <s v="RTA"/>
    <x v="7"/>
    <s v="Service Desk"/>
    <s v="Mohamed Alajlani"/>
    <s v="Desktop"/>
    <s v="User Education"/>
    <s v="User Education"/>
    <s v="Low"/>
    <d v="2026-02-23T08:34:28"/>
    <d v="2026-02-23T08:34:26"/>
    <s v="Resolved"/>
    <s v="As per the request, SMS with Unlock Account self-services URL has been shared with the user."/>
    <s v="No"/>
    <s v="techm_myalajlani"/>
    <s v="Desktop"/>
    <s v="User Education"/>
    <s v="User Education"/>
    <n v="3026"/>
    <s v="Phone"/>
    <s v="USER TO CONFIRM"/>
    <s v="Standard"/>
    <s v="sazarouni"/>
    <s v="samiha.alzarouni@rta.ae"/>
    <s v="Within the Service Target"/>
  </r>
  <r>
    <s v="INC000001320096"/>
    <s v="User Service Request"/>
    <s v="Anji"/>
    <s v="Alghafeer"/>
    <s v="unlock account request"/>
    <d v="2026-02-23T08:39:33"/>
    <s v="Buses"/>
    <s v="RTA"/>
    <x v="5"/>
    <s v="Service Desk"/>
    <s v="Mohamed Siragelnour"/>
    <s v="Desktop"/>
    <s v="Profile"/>
    <s v="Account Lock Out"/>
    <s v="Low"/>
    <d v="2026-02-23T08:40:16"/>
    <d v="2026-02-23T08:39:54"/>
    <s v="Resolved"/>
    <s v="The account &quot;BSMaintenance&quot; has been unlocked successfully."/>
    <s v="No"/>
    <s v="techm_mbsiragelnour"/>
    <s v="Desktop"/>
    <s v="Profile"/>
    <s v="Account Lock Out"/>
    <s v="V0025357"/>
    <s v="Phone"/>
    <s v="USER TO CONFIRM"/>
    <s v="Standard"/>
    <s v="srsl_ahalghafeer"/>
    <s v="Srsl_Anji.Alghafeer@rta.ae"/>
    <s v="Within the Service Target"/>
  </r>
  <r>
    <s v="INC000001320080"/>
    <s v="User Service Request"/>
    <s v="Amar"/>
    <s v="Tewari"/>
    <s v="Network Folder Change Access"/>
    <d v="2026-02-23T08:17:52"/>
    <s v="Information Technology"/>
    <s v="RTA"/>
    <x v="4"/>
    <s v="Service Desk"/>
    <s v="Techm Nabeesu Mohamed"/>
    <s v="Incident"/>
    <s v="Self-service"/>
    <s v="Mendix"/>
    <s v="Low"/>
    <d v="2026-02-26T08:52:04"/>
    <m/>
    <s v="Pending"/>
    <m/>
    <s v="No"/>
    <s v="mendix"/>
    <m/>
    <m/>
    <m/>
    <n v="15898"/>
    <s v="Self Service"/>
    <s v="Local Site Action Required"/>
    <s v="Standard"/>
    <s v="antewari"/>
    <s v="Amar.Tewari@rta.ae"/>
    <s v="Within the Service Target"/>
  </r>
  <r>
    <s v="INC000001320075"/>
    <s v="User Service Request"/>
    <s v="Elaaf"/>
    <s v="Osman Sayedahmed"/>
    <s v="unlock account request"/>
    <d v="2026-02-23T08:11:56"/>
    <s v="Customer Happiness"/>
    <s v="RTA"/>
    <x v="0"/>
    <s v="Service Desk"/>
    <s v="Techm Hussein Aljayeh"/>
    <s v="Desktop"/>
    <s v="Profile"/>
    <s v="Account Lock Out"/>
    <s v="Low"/>
    <d v="2026-02-23T08:14:24"/>
    <d v="2026-02-23T08:12:31"/>
    <s v="Resolved"/>
    <s v="User Account has been unlocked"/>
    <s v="No"/>
    <s v="Techm_HHAljayeh"/>
    <s v="Desktop"/>
    <s v="Profile"/>
    <s v="Account Lock Out"/>
    <s v="V0024655"/>
    <s v="Phone"/>
    <s v="USER TO CONFIRM"/>
    <s v="Standard"/>
    <s v="avaya_esosmansayedah"/>
    <s v="Avaya_Elaaf.Osmansayedahmed@rta.ae"/>
    <s v="Within the Service Target"/>
  </r>
  <r>
    <s v="INC000001320071"/>
    <s v="User Service Restoration"/>
    <s v="Maitha"/>
    <s v="Altamimi"/>
    <s v="HDMI Screen Cable issue"/>
    <d v="2026-02-23T08:07:53"/>
    <s v="Finance"/>
    <s v="RTA"/>
    <x v="0"/>
    <s v="OnSite  EUS"/>
    <s v="Ali Adam"/>
    <s v="Desktop"/>
    <s v="Audio and Video"/>
    <s v="Issue with HDMI / VGA / Audio cable"/>
    <s v="Medium"/>
    <d v="2026-02-24T11:50:13"/>
    <d v="2026-02-24T11:50:03"/>
    <s v="Resolved"/>
    <e v="#NAME?"/>
    <s v="No"/>
    <s v="Techm_HHAljayeh"/>
    <s v="Desktop"/>
    <s v="Peripherals"/>
    <s v="Monitor"/>
    <n v="15128"/>
    <s v="Phone"/>
    <s v="USER TO CONFIRM"/>
    <s v="Standard"/>
    <s v="msaltamimi"/>
    <s v="Maitha.Altamimi@rta.ae"/>
    <s v="Within the Service Target"/>
  </r>
  <r>
    <s v="INC000001320069"/>
    <s v="User Service Request"/>
    <s v="Syed Majid"/>
    <s v="Sm Ikhlaq"/>
    <s v="Software Installing Request"/>
    <d v="2026-02-23T07:57:50"/>
    <s v="Buses"/>
    <s v="RTA"/>
    <x v="5"/>
    <s v="Service Desk"/>
    <s v="Zain Alabedein Skheih"/>
    <s v="Incident"/>
    <s v="Self-service"/>
    <s v="Mendix"/>
    <s v="Low"/>
    <d v="2026-02-26T07:27:28"/>
    <m/>
    <s v="Pending"/>
    <m/>
    <s v="No"/>
    <s v="mendix"/>
    <m/>
    <m/>
    <m/>
    <s v="V0034659"/>
    <s v="Self Service"/>
    <s v="Pending for Software Approval"/>
    <s v="Standard"/>
    <s v="reach_sbsmikhlaq"/>
    <s v="Reach_Syedmajid.Smikhlaq@rta.ae"/>
    <s v="Within the Service Target"/>
  </r>
  <r>
    <s v="INC000001320067"/>
    <s v="User Service Request"/>
    <s v="Saud"/>
    <s v="Al Ali"/>
    <s v="Low Disk Space C Drive Full"/>
    <d v="2026-02-23T07:56:10"/>
    <s v="Intelligent Traffic System"/>
    <s v="RTA"/>
    <x v="7"/>
    <s v="Service Desk"/>
    <s v="Techm Hussein Aljayeh"/>
    <s v="Desktop"/>
    <s v="Disk Space"/>
    <s v="Low Disk Space(RE)"/>
    <s v="Low"/>
    <d v="2026-02-26T06:53:38"/>
    <m/>
    <s v="Pending"/>
    <m/>
    <s v="No"/>
    <s v="Techm_HHAljayeh"/>
    <m/>
    <m/>
    <m/>
    <n v="10604"/>
    <s v="Phone"/>
    <s v="Client Action Required"/>
    <s v="Standard"/>
    <s v="sabalali"/>
    <s v="Saud.Alali@rta.ae"/>
    <s v="Within the Service Target"/>
  </r>
  <r>
    <s v="INC000001320064"/>
    <s v="User Service Request"/>
    <s v="Samir"/>
    <s v="Galaleldin"/>
    <s v="Laptop"/>
    <d v="2026-02-23T07:35:06"/>
    <s v="Digital Services"/>
    <s v="RTA"/>
    <x v="4"/>
    <s v="OnSite  EUS"/>
    <s v="Techm Vipin Ravindran"/>
    <s v="Incident"/>
    <s v="Self-service"/>
    <s v="Mendix"/>
    <s v="Low"/>
    <d v="2026-02-26T08:09:23"/>
    <m/>
    <s v="Pending"/>
    <m/>
    <s v="No"/>
    <s v="mendix"/>
    <m/>
    <m/>
    <m/>
    <s v="V0031246"/>
    <s v="Self Service"/>
    <s v="Pending for Stocks/Spares"/>
    <s v="Standard"/>
    <s v="smartvision_shgalale"/>
    <s v="Smartvision_Samir.Galaleldin@rta.ae"/>
    <s v="Within the Service Target"/>
  </r>
  <r>
    <s v="INC000001320063"/>
    <s v="User Service Request"/>
    <s v="Youssef"/>
    <s v="Albloushi"/>
    <s v="Guide user to reset the Password through Self services portal."/>
    <d v="2026-02-23T07:29:32"/>
    <s v="Drivers Licensing"/>
    <s v="RTA"/>
    <x v="3"/>
    <s v="Service Desk"/>
    <s v="Techm Hussein Aljayeh"/>
    <s v="Desktop"/>
    <s v="User Education"/>
    <s v="User Education"/>
    <s v="Low"/>
    <d v="2026-02-23T07:32:07"/>
    <d v="2026-02-23T07:30:03"/>
    <s v="Resolved"/>
    <s v="Password Reset SOP Sent to User by SMS,User Confirm On the same Hence ticket closed"/>
    <s v="No"/>
    <s v="Techm_HHAljayeh"/>
    <s v="Desktop"/>
    <s v="User Education"/>
    <s v="User Education"/>
    <n v="12796"/>
    <s v="Phone"/>
    <s v="USER TO CONFIRM"/>
    <s v="Standard"/>
    <s v="YHAlbloushi"/>
    <s v="Youssef.HAlbloushi@rta.ae"/>
    <s v="Within the Service Target"/>
  </r>
  <r>
    <s v="INC000001320062"/>
    <s v="User Service Request"/>
    <s v="Noura"/>
    <s v="Alhamadi"/>
    <s v="unlock account request"/>
    <d v="2026-02-23T07:22:21"/>
    <s v="Legal Affairs"/>
    <s v="RTA"/>
    <x v="1"/>
    <s v="Service Desk"/>
    <s v="Techm Hussein Aljayeh"/>
    <s v="Desktop"/>
    <s v="Profile"/>
    <s v="Account Lock Out"/>
    <s v="Low"/>
    <d v="2026-02-23T07:25:06"/>
    <d v="2026-02-23T07:23:42"/>
    <s v="Resolved"/>
    <s v="User Account has been unlocked"/>
    <s v="No"/>
    <s v="Techm_HHAljayeh"/>
    <s v="Desktop"/>
    <s v="Profile"/>
    <s v="Account Lock Out"/>
    <n v="12083"/>
    <s v="Phone"/>
    <s v="USER TO CONFIRM"/>
    <s v="Standard"/>
    <s v="naalhamadi"/>
    <s v="Noura.Alhamadi@rta.ae"/>
    <s v="Within the Service Target"/>
  </r>
  <r>
    <s v="INC000001320056"/>
    <s v="User Service Request"/>
    <s v="Bakhtullah"/>
    <s v="Khan"/>
    <s v="unlock account request"/>
    <d v="2026-02-23T06:54:19"/>
    <s v="Rail Right Of Way"/>
    <s v="RTA"/>
    <x v="6"/>
    <s v="Service Desk"/>
    <s v="Techm Hussein Aljayeh"/>
    <s v="Desktop"/>
    <s v="Profile"/>
    <s v="Account Lock Out"/>
    <s v="Low"/>
    <d v="2026-02-23T06:57:00"/>
    <d v="2026-02-23T06:55:22"/>
    <s v="Resolved"/>
    <s v="User Account has been unlocked"/>
    <s v="No"/>
    <s v="Techm_HHAljayeh"/>
    <s v="Desktop"/>
    <s v="Profile"/>
    <s v="Account Lock Out"/>
    <n v="4372"/>
    <s v="Phone"/>
    <s v="USER TO CONFIRM"/>
    <s v="Standard"/>
    <s v="bkkhan"/>
    <s v="bakhtullah.khan@rta.ae"/>
    <s v="Within the Service Target"/>
  </r>
  <r>
    <s v="INC000001320055"/>
    <s v="User Service Request"/>
    <s v="Mohammad"/>
    <s v="Albalooshi"/>
    <s v="Guide user to reset the Password through Self services portal."/>
    <d v="2026-02-23T06:23:55"/>
    <s v="Drivers Licensing"/>
    <s v="RTA"/>
    <x v="3"/>
    <s v="Service Desk"/>
    <s v="Techm Hussein Aljayeh"/>
    <s v="Desktop"/>
    <s v="User Education"/>
    <s v="User Education"/>
    <s v="Low"/>
    <d v="2026-02-23T06:25:58"/>
    <d v="2026-02-23T06:25:20"/>
    <s v="Resolved"/>
    <s v="Password Reset SOP Sent to User by SMS,User Confirm On the same Hence ticket closed"/>
    <s v="No"/>
    <s v="Techm_HHAljayeh"/>
    <s v="Desktop"/>
    <s v="User Education"/>
    <s v="User Education"/>
    <n v="6102"/>
    <s v="Phone"/>
    <s v="USER TO CONFIRM"/>
    <s v="Standard"/>
    <s v="MJAlbalooshi"/>
    <s v="Mohammad.JAlbalooshi@rta.ae"/>
    <s v="Within the Service Target"/>
  </r>
  <r>
    <s v="INC000001320054"/>
    <s v="User Service Request"/>
    <s v="Tanzila"/>
    <s v="Shaikh"/>
    <s v="RTA Office365 Login configuration"/>
    <d v="2026-02-23T06:22:32"/>
    <s v="Information Technology"/>
    <s v="RTA"/>
    <x v="4"/>
    <s v="Service Desk"/>
    <s v="Techm Hussein Aljayeh"/>
    <s v="Desktop"/>
    <s v="Mail"/>
    <s v="Outlook Reconfiguration(RE)"/>
    <s v="Low"/>
    <d v="2026-02-23T06:24:57"/>
    <d v="2026-02-23T06:24:56"/>
    <s v="Resolved"/>
    <s v="Request has been Completed Through Remote Access,User Confirm On the same Hence ticket closed"/>
    <s v="No"/>
    <s v="Techm_HHAljayeh"/>
    <s v="Desktop"/>
    <s v="Mail"/>
    <s v="Outlook Reconfiguration"/>
    <s v="V0033924"/>
    <s v="Phone"/>
    <s v="USER TO CONFIRM"/>
    <s v="Standard"/>
    <s v="techm_tashaikh"/>
    <s v="Techm_Tanzila.Shaikh@rta.ae"/>
    <s v="Within the Service Target"/>
  </r>
  <r>
    <s v="INC000001320053"/>
    <s v="User Service Request"/>
    <s v="Azzam"/>
    <s v="Elhassan"/>
    <s v="unlock account request"/>
    <d v="2026-02-23T06:15:24"/>
    <s v="Buses"/>
    <s v="RTA"/>
    <x v="5"/>
    <s v="Service Desk"/>
    <s v="Techm Hussein Aljayeh"/>
    <s v="Desktop"/>
    <s v="Profile"/>
    <s v="Account Lock Out"/>
    <s v="Low"/>
    <d v="2026-02-23T06:24:27"/>
    <d v="2026-02-23T06:24:26"/>
    <s v="Resolved"/>
    <s v="User Account has been unlocked"/>
    <s v="No"/>
    <s v="Techm_HHAljayeh"/>
    <s v="Desktop"/>
    <s v="Profile"/>
    <s v="Account Lock Out"/>
    <s v="V0025199"/>
    <s v="Phone"/>
    <s v="USER TO CONFIRM"/>
    <s v="Standard"/>
    <s v="srsl_aoelhassan"/>
    <s v="Srsl_Azzam.Elhassan@rta.ae"/>
    <s v="Within the Service Target"/>
  </r>
  <r>
    <s v="INC000001320052"/>
    <s v="User Service Request"/>
    <s v="Bus"/>
    <s v="Maintenance"/>
    <s v="unlock account request"/>
    <d v="2026-02-23T06:13:29"/>
    <s v="Buses"/>
    <s v="RTA"/>
    <x v="5"/>
    <s v="Service Desk"/>
    <s v="Techm Hussein Aljayeh"/>
    <s v="Desktop"/>
    <s v="Profile"/>
    <s v="Account Lock Out"/>
    <s v="Low"/>
    <d v="2026-02-23T06:24:14"/>
    <d v="2026-02-23T06:24:12"/>
    <s v="Resolved"/>
    <s v="User Account has been unlocked"/>
    <s v="No"/>
    <s v="Techm_HHAljayeh"/>
    <s v="Desktop"/>
    <s v="Profile"/>
    <s v="Account Lock Out"/>
    <m/>
    <s v="Phone"/>
    <s v="USER TO CONFIRM"/>
    <s v="Standard"/>
    <s v="BSMaintenance"/>
    <s v="Busstation.Maintenance@rta.ae"/>
    <s v="Within the Service Target"/>
  </r>
  <r>
    <s v="INC000001320020"/>
    <s v="User Service Request"/>
    <s v="Surjeet"/>
    <s v="Samanta"/>
    <s v="Nexthink: Device Crash 0X9F (Driver_Power_State_Failure)"/>
    <d v="2026-02-23T02:15:01"/>
    <s v="Information Technology"/>
    <s v="RTA"/>
    <x v="4"/>
    <s v="SCCM-Nexthink Support"/>
    <s v="Surjeet Samanta"/>
    <s v="Desktop"/>
    <s v="Proactive Monitoring"/>
    <s v="Proactive Action"/>
    <s v="Low"/>
    <d v="2026-02-24T23:14:04"/>
    <d v="2026-02-24T23:14:02"/>
    <s v="Resolved"/>
    <s v="Require registry fix has been pushed to the affected device.. No further action require"/>
    <s v="No"/>
    <s v="Techm_HHAljayeh"/>
    <s v="Desktop"/>
    <s v="Proactive Monitoring"/>
    <s v="Proactive Action"/>
    <s v="V0024624"/>
    <s v="Email"/>
    <s v="No Further Action Required"/>
    <s v="Standard"/>
    <s v="techm_sjsamanta"/>
    <s v="Techm_Surjeet.Samanta@rta.ae"/>
    <s v="Within the Service Target"/>
  </r>
  <r>
    <s v="INC000001320018"/>
    <s v="User Service Request"/>
    <s v="Ahmad"/>
    <s v="Shaban"/>
    <s v="Nexthink: Desktops with system disk nearly full"/>
    <d v="2026-02-23T02:11:09"/>
    <s v="Buses"/>
    <s v="RTA"/>
    <x v="5"/>
    <s v="OnSite  EUS"/>
    <s v="Techm Ahmed Mahmoud"/>
    <s v="Desktop"/>
    <s v="Proactive Monitoring"/>
    <s v="Proactive Action"/>
    <s v="Low"/>
    <d v="2026-02-26T06:53:37"/>
    <m/>
    <s v="Pending"/>
    <m/>
    <s v="No"/>
    <s v="Techm_HHAljayeh"/>
    <m/>
    <m/>
    <m/>
    <s v="V0025190"/>
    <s v="Email"/>
    <s v="Client Action Required"/>
    <s v="Standard"/>
    <s v="srsl_ajshaban"/>
    <s v="Srsl_Ahmad.Shaban@rta.ae"/>
    <s v="Within the Service Target"/>
  </r>
  <r>
    <s v="INC000001320016"/>
    <s v="User Service Request"/>
    <s v="Deep"/>
    <s v="Thampan"/>
    <s v="Nexthink: Desktops with system disk nearly full"/>
    <d v="2026-02-23T02:09:33"/>
    <s v="Procurement"/>
    <s v="RTA"/>
    <x v="0"/>
    <s v="OnSite  EUS"/>
    <s v="Solaiman Alhussni"/>
    <s v="Desktop"/>
    <s v="Proactive Monitoring"/>
    <s v="Proactive Action"/>
    <s v="Low"/>
    <d v="2026-02-24T07:44:38"/>
    <d v="2026-02-24T07:44:35"/>
    <s v="Resolved"/>
    <s v="all temp folders and files have been deleted  all temp user folder have been deleted  the user has 44GB as free space now in partition C"/>
    <s v="No"/>
    <s v="Techm_HHAljayeh"/>
    <s v="Desktop"/>
    <s v="Proactive Monitoring"/>
    <s v="Proactive Action"/>
    <s v="V0031695"/>
    <s v="Email"/>
    <s v="USER TO CONFIRM"/>
    <s v="Standard"/>
    <s v="trans_dtthampan"/>
    <s v="Trans_Deep.Thampan@rta.ae"/>
    <s v="Within the Service Target"/>
  </r>
  <r>
    <s v="INC000001320014"/>
    <s v="User Service Request"/>
    <s v="Arwa"/>
    <s v="Al Naggar"/>
    <s v="Nexthink: Desktops with system disk nearly full"/>
    <d v="2026-02-23T02:06:23"/>
    <s v="Commercial Transport Activities"/>
    <s v="RTA"/>
    <x v="3"/>
    <s v="OnSite  EUS"/>
    <s v="Techm Omer Idris"/>
    <s v="Desktop"/>
    <s v="Proactive Monitoring"/>
    <s v="Proactive Action"/>
    <s v="Low"/>
    <d v="2026-02-25T08:20:22"/>
    <d v="2026-02-25T08:20:21"/>
    <s v="Resolved"/>
    <s v="C Drive is cleaned now 41 GB is free size"/>
    <s v="No"/>
    <s v="Techm_HHAljayeh"/>
    <s v="Desktop"/>
    <s v="Proactive Monitoring"/>
    <s v="Proactive Action"/>
    <s v="V0012494"/>
    <s v="Email"/>
    <s v="USER TO CONFIRM"/>
    <s v="Standard"/>
    <s v="ultimate_amalnaggar"/>
    <s v="Ultimate_Arwa.Alnaggar@rta.ae"/>
    <s v="Within the Service Target"/>
  </r>
  <r>
    <s v="INC000001320012"/>
    <s v="User Service Request"/>
    <s v="Cleanway Jaafar"/>
    <s v="Lahchir"/>
    <s v="Nexthink: Desktops with system disk nearly full"/>
    <d v="2026-02-23T02:04:46"/>
    <s v="Administration Services"/>
    <s v="RTA"/>
    <x v="0"/>
    <s v="OnSite  EUS"/>
    <s v="Solaiman Alhussni"/>
    <s v="Desktop"/>
    <s v="Proactive Monitoring"/>
    <s v="Proactive Action"/>
    <s v="Low"/>
    <d v="2026-02-25T08:33:41"/>
    <d v="2026-02-25T08:33:40"/>
    <s v="Resolved"/>
    <s v="there was 490 GB in the HD as unlocated space , it is added to the partition C the windows has been upgraded to windows 11 successfully"/>
    <s v="No"/>
    <s v="Techm_HHAljayeh"/>
    <s v="Desktop"/>
    <s v="Proactive Monitoring"/>
    <s v="Proactive Action"/>
    <s v="V0011067"/>
    <s v="Email"/>
    <s v="USER TO CONFIRM"/>
    <s v="Standard"/>
    <s v="cleanway_jllahchir"/>
    <s v="Cleanway_Jaafar.Lahchir@rta.ae"/>
    <s v="Within the Service Target"/>
  </r>
  <r>
    <s v="INC000001320010"/>
    <s v="User Service Request"/>
    <s v="Salaheddin"/>
    <s v="Abuqube"/>
    <s v="Nexthink: Desktops with system disk nearly full"/>
    <d v="2026-02-23T02:02:31"/>
    <s v="Buses"/>
    <s v="RTA"/>
    <x v="5"/>
    <s v="OnSite  EUS"/>
    <s v="Techm Ahmad Khantomany"/>
    <s v="Desktop"/>
    <s v="Proactive Monitoring"/>
    <s v="Proactive Action"/>
    <s v="Low"/>
    <d v="2026-02-25T11:06:10"/>
    <d v="2026-02-25T11:06:08"/>
    <s v="Resolved"/>
    <s v="19 GB freed from the user machine in the C drive."/>
    <s v="No"/>
    <s v="Techm_HHAljayeh"/>
    <s v="Desktop"/>
    <s v="Proactive Monitoring"/>
    <s v="Proactive Action"/>
    <n v="14868"/>
    <s v="Email"/>
    <s v="USER TO CONFIRM"/>
    <s v="Standard"/>
    <s v="saabuqube"/>
    <s v="Salaheddin.Abuqube@rta.ae"/>
    <s v="Within the Service Target"/>
  </r>
  <r>
    <s v="INC000001320008"/>
    <s v="User Service Request"/>
    <s v="Taher"/>
    <s v="Taher"/>
    <s v="Nexthink: Desktops with system disk nearly full"/>
    <d v="2026-02-23T02:00:10"/>
    <s v="Strategy &amp; Corporate Governance CEO Administration"/>
    <s v="RTA"/>
    <x v="1"/>
    <s v="OnSite  EUS"/>
    <s v="Mohamed Nishad Usman"/>
    <s v="Desktop"/>
    <s v="Proactive Monitoring"/>
    <s v="Proactive Action"/>
    <s v="Low"/>
    <d v="2026-02-25T10:05:20"/>
    <d v="2026-02-25T10:05:14"/>
    <s v="Resolved"/>
    <s v="Cleaned up the space in C drive and user is having space in C Drive now"/>
    <s v="No"/>
    <s v="Techm_HHAljayeh"/>
    <s v="Desktop"/>
    <s v="Proactive Monitoring"/>
    <s v="Proactive Action"/>
    <n v="12415"/>
    <s v="Email"/>
    <s v="USER TO CONFIRM"/>
    <s v="Standard"/>
    <s v="tmtaher"/>
    <s v="Taher.Taher@rta.ae"/>
    <s v="Within the Service Target"/>
  </r>
  <r>
    <s v="INC000001319941"/>
    <s v="User Service Request"/>
    <s v="Avaya Mubeen"/>
    <s v="Khan"/>
    <s v="VPN Configuration Request"/>
    <d v="2026-02-22T20:16:30"/>
    <s v="Customer Happiness"/>
    <s v="RTA"/>
    <x v="0"/>
    <s v="Service Desk"/>
    <s v="Techm Omer Mohamed"/>
    <s v="Desktop"/>
    <s v="Configuration"/>
    <s v="VPN Configuration"/>
    <s v="Low"/>
    <d v="2026-02-26T02:01:56"/>
    <d v="2026-02-22T20:18:04"/>
    <s v="Closed"/>
    <s v="VPN has been configured as per the request ."/>
    <s v="No"/>
    <s v="Techm_OFMohamed"/>
    <s v="Desktop"/>
    <s v="Configuration"/>
    <s v="VPN Configuration"/>
    <s v="V0046"/>
    <s v="Phone"/>
    <s v="Automated Resolution Reported"/>
    <s v="Standard"/>
    <s v="avaya_mukhan"/>
    <s v="Avaya_Mubeen.Khan@rta.ae"/>
    <s v="Within the Service Target"/>
  </r>
  <r>
    <s v="INC000001319940"/>
    <s v="User Service Request"/>
    <s v="Nour"/>
    <s v="Altarawneh"/>
    <s v="VPN configuration Request"/>
    <d v="2026-02-22T20:15:13"/>
    <s v="DG, Chairman of the Board of Executive Directors Office"/>
    <s v="RTA"/>
    <x v="2"/>
    <s v="Service Desk"/>
    <s v="Techm Omer Mohamed"/>
    <s v="Desktop"/>
    <s v="Configuration"/>
    <s v="VPN Configuration"/>
    <s v="Low"/>
    <d v="2026-02-26T02:01:55"/>
    <d v="2026-02-22T20:17:50"/>
    <s v="Closed"/>
    <s v="VPN has been configured as per the request ."/>
    <s v="No"/>
    <s v="Techm_OFMohamed"/>
    <s v="Desktop"/>
    <s v="Configuration"/>
    <s v="VPN Configuration"/>
    <n v="15301"/>
    <s v="Phone"/>
    <s v="Automated Resolution Reported"/>
    <s v="Standard"/>
    <s v="nsaltarawneh"/>
    <s v="Nour.Altarawneh@rta.ae"/>
    <s v="Within the Service Target"/>
  </r>
  <r>
    <s v="INC000001319927"/>
    <s v="User Service Request"/>
    <s v="Hasan"/>
    <s v="Dardas"/>
    <s v="VPN configuration Request"/>
    <d v="2026-02-22T17:25:27"/>
    <s v="Rail Planning &amp; Projects Development"/>
    <s v="RTA"/>
    <x v="6"/>
    <s v="Service Desk"/>
    <s v="Techm Omer Mohamed"/>
    <s v="Desktop"/>
    <s v="Configuration"/>
    <s v="VPN Configuration"/>
    <s v="Low"/>
    <d v="2026-02-26T02:01:46"/>
    <d v="2026-02-22T17:26:22"/>
    <s v="Closed"/>
    <s v="VPN has been configured and connected successfully"/>
    <s v="No"/>
    <s v="Techm_OFMohamed"/>
    <s v="Desktop"/>
    <s v="Configuration"/>
    <s v="VPN Configuration"/>
    <n v="11111"/>
    <s v="Phone"/>
    <s v="Automated Resolution Reported"/>
    <s v="Standard"/>
    <s v="hddardas"/>
    <s v="Hasan.Dardas@rta.ae"/>
    <s v="Within the Service Target"/>
  </r>
  <r>
    <s v="INC000001319909"/>
    <s v="User Service Request"/>
    <s v="Essa"/>
    <s v="Alnjada"/>
    <s v="unlock account request"/>
    <d v="2026-02-22T15:42:35"/>
    <s v="Traffic"/>
    <s v="RTA"/>
    <x v="7"/>
    <s v="Service Desk"/>
    <s v="Mohamed Siragelnour"/>
    <s v="Desktop"/>
    <s v="Profile"/>
    <s v="Account Lock Out"/>
    <s v="Low"/>
    <d v="2026-02-26T02:01:38"/>
    <d v="2026-02-22T15:47:17"/>
    <s v="Closed"/>
    <s v="The Account has been unlocked successfully."/>
    <s v="No"/>
    <s v="techm_mbsiragelnour"/>
    <s v="Desktop"/>
    <s v="Profile"/>
    <s v="Account Lock Out"/>
    <n v="5781"/>
    <s v="Phone"/>
    <s v="Automated Resolution Reported"/>
    <s v="Standard"/>
    <s v="ealnjada"/>
    <s v="Essa.Alnjada@rta.ae"/>
    <s v="Within the Service Target"/>
  </r>
  <r>
    <s v="INC000001319880"/>
    <s v="User Service Request"/>
    <s v="Amal"/>
    <s v="Al Raisi"/>
    <s v="unlock account request"/>
    <d v="2026-02-22T14:29:11"/>
    <s v="Customer Happiness"/>
    <s v="RTA"/>
    <x v="0"/>
    <s v="Service Desk"/>
    <s v="Mohamed Siragelnour"/>
    <s v="Desktop"/>
    <s v="Profile"/>
    <s v="Account Lock Out"/>
    <s v="Low"/>
    <d v="2026-02-26T02:01:33"/>
    <d v="2026-02-22T14:29:22"/>
    <s v="Closed"/>
    <s v="Account has been unlocked successfully."/>
    <s v="No"/>
    <s v="techm_mbsiragelnour"/>
    <s v="Desktop"/>
    <s v="Profile"/>
    <s v="Account Lock Out"/>
    <n v="9916"/>
    <s v="Phone"/>
    <s v="Automated Resolution Reported"/>
    <s v="Sensitive"/>
    <s v="amaalraisi"/>
    <s v="Amal.AlRaisi@RTA.ae"/>
    <s v="Within the Service Target"/>
  </r>
  <r>
    <s v="INC000001319878"/>
    <s v="User Service Request"/>
    <s v="Avaya Mohamed"/>
    <s v="Senedak"/>
    <s v="unlock account request"/>
    <d v="2026-02-22T14:17:04"/>
    <s v="Customer Happiness"/>
    <s v="RTA"/>
    <x v="0"/>
    <s v="Service Desk"/>
    <s v="Mohamed Siragelnour"/>
    <s v="Desktop"/>
    <s v="Profile"/>
    <s v="Account Lock Out"/>
    <s v="Low"/>
    <d v="2026-02-26T02:01:31"/>
    <d v="2026-02-22T14:17:30"/>
    <s v="Closed"/>
    <s v="The account &quot;CC Information Team&quot; has been unlocked successfully."/>
    <s v="No"/>
    <s v="techm_mbsiragelnour"/>
    <s v="Desktop"/>
    <s v="Profile"/>
    <s v="Account Lock Out"/>
    <s v="V002243"/>
    <s v="Phone"/>
    <s v="Automated Resolution Reported"/>
    <s v="Standard"/>
    <s v="Avaya_MSSenedak"/>
    <s v="Avaya_Mohamed.Senedak@rta.ae"/>
    <s v="Within the Service Target"/>
  </r>
  <r>
    <s v="INC000001319864"/>
    <s v="User Service Restoration"/>
    <s v="Techm Merin"/>
    <s v="George"/>
    <s v="Laptop not working as desired"/>
    <d v="2026-02-22T11:45:55"/>
    <s v="Information Technology"/>
    <s v="RTA"/>
    <x v="4"/>
    <s v="OnSite  EUS"/>
    <s v="Techm Elsayed Mohamed"/>
    <s v="Desktop"/>
    <s v="OS Issue"/>
    <s v="PC Slowness Issue"/>
    <s v="Medium"/>
    <d v="2026-02-26T06:53:42"/>
    <m/>
    <s v="Pending"/>
    <m/>
    <s v="No"/>
    <s v="Techm_MPGeorge"/>
    <m/>
    <m/>
    <m/>
    <s v="V004501"/>
    <s v="Direct Input"/>
    <s v="Local Site Action Required"/>
    <s v="Standard"/>
    <s v="Techm_MPGeorge"/>
    <s v="Techm_Merin.George@rta.ae"/>
    <s v="Within the Service Target"/>
  </r>
  <r>
    <s v="INC000001319861"/>
    <s v="User Service Request"/>
    <s v="Aishwarya"/>
    <s v="Laddigatti"/>
    <s v="Outlook configuration"/>
    <d v="2026-02-22T11:34:25"/>
    <s v="Information Technology"/>
    <s v="RTA"/>
    <x v="4"/>
    <s v="Service Desk"/>
    <s v="Mohamed Siragelnour"/>
    <s v="Desktop"/>
    <s v="Mail"/>
    <s v="Outlook Reconfiguration(RE)"/>
    <s v="Low"/>
    <d v="2026-02-26T02:01:19"/>
    <d v="2026-02-22T11:35:59"/>
    <s v="Closed"/>
    <s v="Outlook has been configured successfully."/>
    <s v="No"/>
    <s v="techm_mbsiragelnour"/>
    <s v="Desktop"/>
    <s v="Mail"/>
    <s v="Outlook Reconfiguration(RE)"/>
    <s v="V0033920"/>
    <s v="Other"/>
    <s v="Automated Resolution Reported"/>
    <s v="Standard"/>
    <s v="techm_aaladdigatti"/>
    <s v="Techm_Aishwarya.Laddigatti@rta.ae"/>
    <s v="Within the Service Target"/>
  </r>
  <r>
    <s v="INC000001319844"/>
    <s v="User Service Request"/>
    <s v="Ahmad"/>
    <s v="Al Hamadi"/>
    <s v="FOLLOW UP - Email Forward request"/>
    <d v="2026-02-22T09:00:00"/>
    <s v="Security &amp; Monitoring"/>
    <s v="RTA"/>
    <x v="2"/>
    <s v="Service Desk"/>
    <s v="Mohamed Siragelnour"/>
    <s v="Application"/>
    <s v="Application Services"/>
    <s v="Add / Revoke Privilege"/>
    <s v="Low"/>
    <d v="2026-02-25T00:16:23"/>
    <d v="2026-02-25T00:16:19"/>
    <s v="Resolved"/>
    <s v="Email Forwarding has been revoked as per the 30days approval is completed."/>
    <s v="No"/>
    <s v="AR_ESCALATOR"/>
    <s v="System Domain"/>
    <s v="Messaging and collaboration"/>
    <s v="Email Forwarding"/>
    <s v="V0033324"/>
    <s v="Email"/>
    <s v="USER TO CONFIRM"/>
    <s v="Standard"/>
    <s v="transguard_amalhamad"/>
    <s v="Transguard_Ahmad.Alhamadi@rta.ae"/>
    <s v="Within the Service Target"/>
  </r>
  <r>
    <s v="INC000001319825"/>
    <s v="User Service Request"/>
    <s v="Abdulhadi"/>
    <s v="Abdulrahim"/>
    <s v="Office365 Login Configuration"/>
    <d v="2026-02-22T05:35:21"/>
    <s v="Maintenance &amp; Services"/>
    <s v="RTA"/>
    <x v="5"/>
    <s v="Service Desk"/>
    <s v="Techm Hussein Aljayeh"/>
    <s v="Desktop"/>
    <s v="Mail"/>
    <s v="Outlook Reconfiguration(RE)"/>
    <s v="Low"/>
    <d v="2026-02-26T02:01:03"/>
    <d v="2026-02-22T05:39:05"/>
    <s v="Closed"/>
    <s v="Request has been Completed Through Remote Access,User Confirm On the same Hence ticket closed"/>
    <s v="No"/>
    <s v="Techm_HHAljayeh"/>
    <s v="Desktop"/>
    <s v="Mail"/>
    <s v="Outlook Reconfiguration"/>
    <n v="11629"/>
    <s v="Phone"/>
    <s v="Automated Resolution Reported"/>
    <s v="Standard"/>
    <s v="Aababdulrahim"/>
    <s v="Abdulhadi.AAbdulrahim@rta.ae"/>
    <s v="Within the Service Target"/>
  </r>
  <r>
    <s v="INC000001319824"/>
    <s v="User Service Request"/>
    <s v="Talal"/>
    <s v="Albalooshi"/>
    <s v="RTA Mail configuration in Personal Smart Phone"/>
    <d v="2026-02-22T05:34:21"/>
    <s v="Parking"/>
    <s v="RTA"/>
    <x v="7"/>
    <s v="Service Desk"/>
    <s v="Techm Hussein Aljayeh"/>
    <s v="Desktop"/>
    <s v="Personal Device Support"/>
    <s v="Personal Smart Phone"/>
    <s v="Low"/>
    <d v="2026-02-26T02:01:02"/>
    <d v="2026-02-22T05:38:32"/>
    <s v="Closed"/>
    <s v="SOP - SMS Sent to User ,User Confirm On the same Hence ticket Closed."/>
    <s v="No"/>
    <s v="Techm_HHAljayeh"/>
    <s v="Desktop"/>
    <s v="Personal Device Support"/>
    <s v="Personal Smart Phone"/>
    <n v="1964"/>
    <s v="Phone"/>
    <s v="Automated Resolution Reported"/>
    <s v="Standard"/>
    <s v="thjalbalooshi"/>
    <s v="Talal.Albalooshi@rta.ae"/>
    <s v="Within the Service Target"/>
  </r>
  <r>
    <s v="INC000001319823"/>
    <s v="User Service Request"/>
    <s v="Mohammad"/>
    <s v="Mohammad"/>
    <s v="unlock account request"/>
    <d v="2026-02-22T05:33:13"/>
    <s v="Parkin"/>
    <s v="RTA"/>
    <x v="8"/>
    <s v="Service Desk"/>
    <s v="Techm Hussein Aljayeh"/>
    <s v="Desktop"/>
    <s v="Profile"/>
    <s v="Account Lock Out"/>
    <s v="Low"/>
    <d v="2026-02-26T02:01:01"/>
    <d v="2026-02-22T05:37:53"/>
    <s v="Closed"/>
    <s v="User Account has been unlocked"/>
    <s v="No"/>
    <s v="Techm_HHAljayeh"/>
    <s v="Desktop"/>
    <s v="Profile"/>
    <s v="Account Lock Out"/>
    <n v="871"/>
    <s v="Phone"/>
    <s v="Automated Resolution Reported"/>
    <s v="Standard"/>
    <s v="MOAalbalooshi"/>
    <s v="Mohammed.Albalooshi@rta.ae"/>
    <s v="Within the Service Target"/>
  </r>
  <r>
    <s v="INC000001319822"/>
    <s v="User Service Request"/>
    <s v="Anas"/>
    <s v="Alouda"/>
    <s v="unlock account request"/>
    <d v="2026-02-22T05:32:51"/>
    <s v="Right Of Way"/>
    <s v="RTA"/>
    <x v="7"/>
    <s v="Service Desk"/>
    <s v="Techm Hussein Aljayeh"/>
    <s v="Desktop"/>
    <s v="Profile"/>
    <s v="Account Lock Out"/>
    <s v="Low"/>
    <d v="2026-02-26T02:01:00"/>
    <d v="2026-02-22T05:37:42"/>
    <s v="Closed"/>
    <s v="User Account has been unlocked"/>
    <s v="No"/>
    <s v="Techm_HHAljayeh"/>
    <s v="Desktop"/>
    <s v="Profile"/>
    <s v="Account Lock Out"/>
    <n v="15693"/>
    <s v="Phone"/>
    <s v="Automated Resolution Reported"/>
    <s v="Standard"/>
    <s v="ayalouda"/>
    <s v="Anas.Alouda@rta.ae"/>
    <s v="Within the Service Target"/>
  </r>
  <r>
    <s v="INC000001319821"/>
    <s v="User Service Request"/>
    <s v="Hana Thani"/>
    <s v="Al Halyan"/>
    <s v="unlock account request"/>
    <d v="2026-02-22T05:32:26"/>
    <s v="Strategy &amp; Corporate Governance CEO Administration"/>
    <s v="RTA"/>
    <x v="1"/>
    <s v="Service Desk"/>
    <s v="Techm Hussein Aljayeh"/>
    <s v="Desktop"/>
    <s v="Profile"/>
    <s v="Account Lock Out"/>
    <s v="Low"/>
    <d v="2026-02-26T02:01:00"/>
    <d v="2026-02-22T05:37:28"/>
    <s v="Closed"/>
    <s v="User Account has been unlocked"/>
    <s v="No"/>
    <s v="Techm_HHAljayeh"/>
    <s v="Desktop"/>
    <s v="Profile"/>
    <s v="Account Lock Out"/>
    <n v="3737"/>
    <s v="Phone"/>
    <s v="Automated Resolution Reported"/>
    <s v="Sensitive"/>
    <s v="htalhalyan"/>
    <s v="hana.alhalyan@rta.ae"/>
    <s v="Within the Service Target"/>
  </r>
  <r>
    <s v="INC000001319819"/>
    <s v="User Service Request"/>
    <s v="Jithin"/>
    <s v="Valappil"/>
    <s v="unlock account request"/>
    <d v="2026-02-22T05:32:06"/>
    <s v="Maintenance &amp; Services"/>
    <s v="RTA"/>
    <x v="5"/>
    <s v="Service Desk"/>
    <s v="Techm Hussein Aljayeh"/>
    <s v="Desktop"/>
    <s v="Profile"/>
    <s v="Account Lock Out"/>
    <s v="Low"/>
    <d v="2026-02-26T02:00:59"/>
    <d v="2026-02-22T05:37:13"/>
    <s v="Closed"/>
    <s v="User Account has been unlocked"/>
    <s v="No"/>
    <s v="Techm_HHAljayeh"/>
    <s v="Desktop"/>
    <s v="Profile"/>
    <s v="Account Lock Out"/>
    <n v="11272"/>
    <s v="Phone"/>
    <s v="Automated Resolution Reported"/>
    <s v="Standard"/>
    <s v="Jcvalappil"/>
    <s v="Jithin.Valappil@rta.ae"/>
    <s v="Within the Service Target"/>
  </r>
  <r>
    <s v="INC000001319816"/>
    <s v="User Service Request"/>
    <s v="Abdullgani"/>
    <s v="Murad"/>
    <s v="unlock account request"/>
    <d v="2026-02-22T05:31:45"/>
    <s v="Parking"/>
    <s v="RTA"/>
    <x v="7"/>
    <s v="Service Desk"/>
    <s v="Techm Hussein Aljayeh"/>
    <s v="Desktop"/>
    <s v="Profile"/>
    <s v="Account Lock Out"/>
    <s v="Low"/>
    <d v="2026-02-26T02:00:56"/>
    <d v="2026-02-22T05:36:56"/>
    <s v="Closed"/>
    <s v="User Account has been unlocked"/>
    <s v="No"/>
    <s v="Techm_HHAljayeh"/>
    <s v="Desktop"/>
    <s v="Profile"/>
    <s v="Account Lock Out"/>
    <n v="886"/>
    <s v="Phone"/>
    <s v="Automated Resolution Reported"/>
    <s v="Standard"/>
    <s v="aamurad"/>
    <s v="Abdullgani.Murad@rta.ae"/>
    <s v="Within the Service Target"/>
  </r>
  <r>
    <s v="INC000001319812"/>
    <s v="User Service Restoration"/>
    <s v="Noureldin"/>
    <s v="Mohamed"/>
    <s v="Single Risk Event: machine RTA-PTA-BUS-173 infected with DNS Change, action Details pending"/>
    <d v="2026-02-22T05:28:12"/>
    <s v="Buses"/>
    <s v="RTA"/>
    <x v="5"/>
    <s v="OnSite  EUS"/>
    <s v="Techm Osama Abdullatif"/>
    <s v="Desktop"/>
    <s v="Virus Issue"/>
    <s v="Virus issue"/>
    <s v="Critical"/>
    <d v="2026-02-24T08:08:22"/>
    <d v="2026-02-24T08:08:21"/>
    <s v="Resolved"/>
    <e v="#NAME?"/>
    <s v="No"/>
    <s v="Techm_HHAljayeh"/>
    <s v="Desktop"/>
    <s v="Virus Issue"/>
    <s v="Virus issue"/>
    <s v="V0025410"/>
    <s v="Email"/>
    <s v="USER TO CONFIRM"/>
    <s v="Standard"/>
    <s v="srsl_nalmohamed"/>
    <s v="Srsl_Noureldin.Mohamed@rta.ae"/>
    <s v="Within the Service Target"/>
  </r>
  <r>
    <s v="INC000001319790"/>
    <s v="User Service Restoration"/>
    <s v="Usama"/>
    <s v="Ahmed"/>
    <s v="Production PAM Connectivity"/>
    <d v="2026-02-21T21:48:33"/>
    <s v="Information Technology"/>
    <s v="RTA"/>
    <x v="4"/>
    <s v="Service Desk"/>
    <s v="Techm Wahbaelrahman Hassan"/>
    <s v="Application"/>
    <s v="Application Bug/Error"/>
    <s v="Application Bug/Error"/>
    <s v="Medium"/>
    <d v="2026-02-26T08:07:39"/>
    <m/>
    <s v="Pending"/>
    <m/>
    <s v="No"/>
    <s v="Techm_OFMohamed"/>
    <m/>
    <m/>
    <m/>
    <s v="V0031997"/>
    <s v="Email"/>
    <s v="Client Action Required"/>
    <s v="Standard"/>
    <s v="techvista_uaahmed"/>
    <s v="Techvista_Usama.Ahmed@rta.ae"/>
    <s v="Within the Service Target"/>
  </r>
  <r>
    <s v="INC000001319763"/>
    <s v="User Service Request"/>
    <s v="Omar"/>
    <s v="Hesham"/>
    <s v="Request to release Qurantine email"/>
    <d v="2026-02-21T17:25:37"/>
    <s v="Parkin"/>
    <s v="RTA"/>
    <x v="8"/>
    <s v="Service Desk"/>
    <s v="Techm Nabeesu Mohamed"/>
    <s v="Desktop"/>
    <s v="Mail"/>
    <s v="Release Encrypted Email"/>
    <s v="Low"/>
    <d v="2026-02-26T08:49:18"/>
    <m/>
    <s v="Pending"/>
    <m/>
    <s v="No"/>
    <s v="Techm_OFMohamed"/>
    <m/>
    <m/>
    <m/>
    <s v="V0032627"/>
    <s v="Email"/>
    <s v="Client Action Required"/>
    <s v="Standard"/>
    <s v="omhesham"/>
    <s v="Omar.Hesham@rta.ae"/>
    <s v="Within the Service Target"/>
  </r>
  <r>
    <s v="INC000001319752"/>
    <s v="User Service Request"/>
    <s v="Shaik"/>
    <s v="Vali"/>
    <s v="VPN configuration Request"/>
    <d v="2026-02-21T16:14:55"/>
    <s v="Right Of Way"/>
    <s v="RTA"/>
    <x v="7"/>
    <s v="Service Desk"/>
    <s v="Zain Alabedein Skheih"/>
    <s v="Desktop"/>
    <s v="Configuration"/>
    <s v="VPN Configuration"/>
    <s v="Low"/>
    <d v="2026-02-23T10:19:14"/>
    <d v="2026-02-23T10:19:13"/>
    <s v="Resolved"/>
    <s v="we accessed remotely and configured the VPN for the user. We guided the user and it had been successfully connected to VPN"/>
    <s v="No"/>
    <s v="Techm_OFMohamed"/>
    <s v="Desktop"/>
    <s v="Configuration"/>
    <s v="VPN Configuration"/>
    <n v="5033"/>
    <s v="Email"/>
    <s v="USER TO CONFIRM"/>
    <s v="Standard"/>
    <s v="savali"/>
    <s v="Shaik.vali@rta.ae"/>
    <s v="Within the Service Target"/>
  </r>
  <r>
    <s v="INC000001319745"/>
    <s v="User Service Request"/>
    <s v="Tanzila"/>
    <s v="Shaikh"/>
    <s v="Outlook configuration"/>
    <d v="2026-02-21T15:09:56"/>
    <s v="Information Technology"/>
    <s v="RTA"/>
    <x v="4"/>
    <s v="Service Desk"/>
    <s v="Mohamed Alajlani"/>
    <s v="Desktop"/>
    <s v="Mail"/>
    <s v="Outlook Reconfiguration(RE)"/>
    <s v="Low"/>
    <d v="2026-02-25T02:03:05"/>
    <d v="2026-02-21T15:10:16"/>
    <s v="Closed"/>
    <s v="The Outlook has been configured as requested."/>
    <s v="No"/>
    <s v="techm_myalajlani"/>
    <s v="Desktop"/>
    <s v="Mail"/>
    <s v="Outlook Reconfiguration(RE)"/>
    <s v="V0033924"/>
    <s v="Phone"/>
    <s v="Automated Resolution Reported"/>
    <s v="Standard"/>
    <s v="techm_tashaikh"/>
    <s v="Techm_Tanzila.Shaikh@rta.ae"/>
    <s v="Within the Service Target"/>
  </r>
  <r>
    <s v="INC000001319725"/>
    <s v="User Service Request"/>
    <s v="Ali"/>
    <s v="Ashkanani"/>
    <s v="Request for configure print screen"/>
    <d v="2026-02-21T12:53:12"/>
    <s v="Drivers Licensing"/>
    <s v="RTA"/>
    <x v="3"/>
    <s v="Service Desk"/>
    <s v="Mohamed Alajlani"/>
    <s v="Desktop"/>
    <s v="Configuration"/>
    <s v="Profile Configuration"/>
    <s v="Low"/>
    <d v="2026-02-25T02:02:55"/>
    <d v="2026-02-21T12:54:13"/>
    <s v="Closed"/>
    <s v="The Print Screen feature has been configured successfully after modifying the default apps in Settings."/>
    <s v="No"/>
    <s v="techm_myalajlani"/>
    <s v="Desktop"/>
    <s v="Configuration"/>
    <s v="Profile Configuration"/>
    <n v="11214"/>
    <s v="Phone"/>
    <s v="Automated Resolution Reported"/>
    <s v="Standard"/>
    <s v="Aaashkanani"/>
    <s v="Ali.Ashkanani@rta.ae"/>
    <s v="Within the Service Target"/>
  </r>
  <r>
    <s v="INC000001319717"/>
    <s v="User Service Request"/>
    <s v="Cyber Security Center"/>
    <s v="Alerts"/>
    <s v="CSC Alert - Scan Failure Detected - 21022026-01"/>
    <d v="2026-02-21T11:52:38"/>
    <s v="Information Security"/>
    <s v="RTA"/>
    <x v="4"/>
    <s v="Service Desk"/>
    <s v="Mohamed Alajlani"/>
    <s v="Desktop"/>
    <s v="Proactive Monitoring"/>
    <s v="Proactive Action"/>
    <s v="Low"/>
    <d v="2026-02-26T06:53:42"/>
    <m/>
    <s v="Pending"/>
    <m/>
    <s v="No"/>
    <s v="techm_myalajlani"/>
    <m/>
    <m/>
    <m/>
    <m/>
    <s v="Phone"/>
    <s v="Client Action Required"/>
    <s v="Standard"/>
    <s v="socalerts"/>
    <s v="CSC.alert@rta.ae"/>
    <s v="Within the Service Target"/>
  </r>
  <r>
    <s v="INC000001319714"/>
    <s v="User Service Request"/>
    <s v="Ali"/>
    <s v="Moosa Ali"/>
    <s v="Guide user to Reset Password through Self services portal."/>
    <d v="2026-02-21T11:37:31"/>
    <s v="Parking"/>
    <s v="RTA"/>
    <x v="7"/>
    <s v="Service Desk"/>
    <s v="Mohamed Alajlani"/>
    <s v="Desktop"/>
    <s v="User Education"/>
    <s v="User Education"/>
    <s v="Low"/>
    <d v="2026-02-25T02:02:50"/>
    <d v="2026-02-21T11:37:55"/>
    <s v="Closed"/>
    <s v="As per the request, SMS with Reset Password self-services URL has been shared with the user."/>
    <s v="No"/>
    <s v="techm_myalajlani"/>
    <s v="Desktop"/>
    <s v="User Education"/>
    <s v="User Education"/>
    <n v="1722"/>
    <s v="Phone"/>
    <s v="Automated Resolution Reported"/>
    <s v="Standard"/>
    <s v="amoali"/>
    <s v="Ali.Moosa@rta.ae"/>
    <s v="Within the Service Target"/>
  </r>
  <r>
    <s v="INC000001319710"/>
    <s v="User Service Request"/>
    <s v="Shiiju"/>
    <s v="Abdul Basheer"/>
    <s v="Guide user to Reset Password through Self services portal."/>
    <d v="2026-02-21T11:28:15"/>
    <s v="Buses"/>
    <s v="RTA"/>
    <x v="5"/>
    <s v="Service Desk"/>
    <s v="Mohamed Alajlani"/>
    <s v="Desktop"/>
    <s v="User Education"/>
    <s v="User Education"/>
    <s v="Low"/>
    <d v="2026-02-25T02:02:49"/>
    <d v="2026-02-21T11:36:40"/>
    <s v="Closed"/>
    <s v="As per the request, SMS with Reset Password self-services URL has been shared with the user."/>
    <s v="No"/>
    <s v="techm_myalajlani"/>
    <s v="Desktop"/>
    <s v="User Education"/>
    <s v="User Education"/>
    <s v="V0034623"/>
    <s v="Phone"/>
    <s v="Automated Resolution Reported"/>
    <s v="Standard"/>
    <s v="ultimate_stabdulbash"/>
    <s v="Ultimate_Shiiju.Abdulbasheer@rta.ae"/>
    <s v="Within the Service Target"/>
  </r>
  <r>
    <s v="INC000001319682"/>
    <s v="User Service Request"/>
    <s v="Usama"/>
    <s v="Ahmed"/>
    <s v="VPN Configuration Request"/>
    <d v="2026-02-21T09:21:32"/>
    <s v="Information Technology"/>
    <s v="RTA"/>
    <x v="4"/>
    <s v="Service Desk"/>
    <s v="Mohamed Alajlani"/>
    <s v="Desktop"/>
    <s v="Configuration"/>
    <s v="VPN Configuration"/>
    <s v="Low"/>
    <d v="2026-02-25T02:02:34"/>
    <d v="2026-02-21T09:23:24"/>
    <s v="Closed"/>
    <s v="The VPN has been configured successfully"/>
    <s v="No"/>
    <s v="techm_myalajlani"/>
    <s v="Desktop"/>
    <s v="Configuration"/>
    <s v="VPN Configuration"/>
    <s v="V0031997"/>
    <s v="Phone"/>
    <s v="Automated Resolution Reported"/>
    <s v="Standard"/>
    <s v="techvista_uaahmed"/>
    <s v="Techvista_Usama.Ahmed@rta.ae"/>
    <s v="Within the Service Target"/>
  </r>
  <r>
    <s v="INC000001319661"/>
    <s v="User Service Request"/>
    <s v="Nabil"/>
    <s v="Al Matroush"/>
    <s v="Guide user to unlock through Self services portal."/>
    <d v="2026-02-21T06:50:45"/>
    <s v="Buses"/>
    <s v="RTA"/>
    <x v="5"/>
    <s v="Service Desk"/>
    <s v="Techm Abdalbagee Hamed"/>
    <s v="Desktop"/>
    <s v="User Education"/>
    <s v="User Education"/>
    <s v="Low"/>
    <d v="2026-02-25T02:02:20"/>
    <d v="2026-02-21T06:50:52"/>
    <s v="Closed"/>
    <s v="As per the request, SMS with Unlock self-services URL has been shared with the user."/>
    <s v="No"/>
    <s v="Techm_AMHamed"/>
    <s v="Desktop"/>
    <s v="User Education"/>
    <s v="User Education"/>
    <n v="3607"/>
    <s v="Phone"/>
    <s v="Automated Resolution Reported"/>
    <s v="Standard"/>
    <s v="nmalmatroush"/>
    <s v="nabil.almatroush@rta.ae"/>
    <s v="Within the Service Target"/>
  </r>
  <r>
    <s v="INC000001319660"/>
    <s v="User Service Request"/>
    <s v="Nabil"/>
    <s v="Al Matroush"/>
    <s v="Guide user to unlock through Self services portal."/>
    <d v="2026-02-21T06:50:25"/>
    <s v="Buses"/>
    <s v="RTA"/>
    <x v="5"/>
    <s v="Service Desk"/>
    <s v="Techm Abdalbagee Hamed"/>
    <s v="Desktop"/>
    <s v="User Education"/>
    <s v="User Education"/>
    <s v="Low"/>
    <d v="2026-02-25T02:02:19"/>
    <d v="2026-02-21T06:50:34"/>
    <s v="Closed"/>
    <s v="As per the request, SMS with Unlock self-services URL has been shared with the user."/>
    <s v="No"/>
    <s v="Techm_AMHamed"/>
    <s v="Desktop"/>
    <s v="User Education"/>
    <s v="User Education"/>
    <n v="3607"/>
    <s v="Phone"/>
    <s v="Automated Resolution Reported"/>
    <s v="Standard"/>
    <s v="nmalmatroush"/>
    <s v="nabil.almatroush@rta.ae"/>
    <s v="Within the Service Target"/>
  </r>
  <r>
    <s v="INC000001319658"/>
    <s v="User Service Request"/>
    <s v="Mohamed"/>
    <s v="Abdelrahman"/>
    <s v="Request to activate office 365 license"/>
    <d v="2026-02-21T06:43:50"/>
    <s v="Buses"/>
    <s v="RTA"/>
    <x v="5"/>
    <s v="Service Desk"/>
    <s v="Techm Abdalbagee Hamed"/>
    <s v="Desktop"/>
    <s v="RTA Standard Application installation Request"/>
    <s v="MS Office Installation Request"/>
    <s v="Low"/>
    <d v="2026-02-25T02:02:17"/>
    <d v="2026-02-21T06:44:00"/>
    <s v="Closed"/>
    <s v="in excel app: - Go to file. - Office account. - Sign in. - Enter username@rta.ae - Enter password. - click option to sign in to all MS apps."/>
    <s v="No"/>
    <s v="Techm_AMHamed"/>
    <s v="Desktop"/>
    <s v="RTA Standard Application installation Request"/>
    <s v="MS Edge"/>
    <s v="V0025192"/>
    <s v="Phone"/>
    <s v="Automated Resolution Reported"/>
    <s v="Standard"/>
    <s v="srsl_maabdelrahman"/>
    <s v="Srsl_Mohamed.Abdelrahman@rta.ae"/>
    <s v="Within the Service Target"/>
  </r>
  <r>
    <s v="INC000001319654"/>
    <s v="User Service Request"/>
    <s v="Anji"/>
    <s v="Alghafeer"/>
    <s v="unlock account request"/>
    <d v="2026-02-21T06:16:05"/>
    <s v="Buses"/>
    <s v="RTA"/>
    <x v="5"/>
    <s v="Service Desk"/>
    <s v="Techm Abdalbagee Hamed"/>
    <s v="Desktop"/>
    <s v="Profile"/>
    <s v="Account Lock Out"/>
    <s v="Low"/>
    <d v="2026-02-25T02:02:15"/>
    <d v="2026-02-21T06:16:14"/>
    <s v="Closed"/>
    <s v="Generic Id BSMaintenance has been unlocked."/>
    <s v="No"/>
    <s v="Techm_AMHamed"/>
    <s v="Desktop"/>
    <s v="Profile"/>
    <s v="Account Lock Out"/>
    <s v="V0025357"/>
    <s v="Phone"/>
    <s v="Automated Resolution Reported"/>
    <s v="Standard"/>
    <s v="srsl_ahalghafeer"/>
    <s v="Srsl_Anji.Alghafeer@rta.ae"/>
    <s v="Within the Service Target"/>
  </r>
  <r>
    <s v="INC000001319641"/>
    <s v="User Service Request"/>
    <s v="Mohammad"/>
    <s v="Mohammad"/>
    <s v="Guide user to unlock through Self services portal."/>
    <d v="2026-02-21T04:39:31"/>
    <s v="Parkin"/>
    <s v="RTA"/>
    <x v="8"/>
    <s v="Service Desk"/>
    <s v="Techm Abdalbagee Hamed"/>
    <s v="Desktop"/>
    <s v="User Education"/>
    <s v="User Education"/>
    <s v="Low"/>
    <d v="2026-02-25T02:02:09"/>
    <d v="2026-02-21T04:39:38"/>
    <s v="Closed"/>
    <s v="As per the request, SMS with Unlock self-services URL has been shared with the user."/>
    <s v="No"/>
    <s v="Techm_AMHamed"/>
    <s v="Desktop"/>
    <s v="User Education"/>
    <s v="User Education"/>
    <n v="871"/>
    <s v="Phone"/>
    <s v="Automated Resolution Reported"/>
    <s v="Standard"/>
    <s v="MOAalbalooshi"/>
    <s v="Mohammed.Albalooshi@rta.ae"/>
    <s v="Within the Service Target"/>
  </r>
  <r>
    <s v="INC000001319640"/>
    <s v="User Service Request"/>
    <s v="Mohammad"/>
    <s v="Mohammad"/>
    <s v="Guide user to Reset Password through Self services portal."/>
    <d v="2026-02-21T04:39:00"/>
    <s v="Parkin"/>
    <s v="RTA"/>
    <x v="8"/>
    <s v="Service Desk"/>
    <s v="Techm Abdalbagee Hamed"/>
    <s v="Desktop"/>
    <s v="User Education"/>
    <s v="User Education"/>
    <s v="Low"/>
    <d v="2026-02-25T02:02:08"/>
    <d v="2026-02-21T04:39:12"/>
    <s v="Closed"/>
    <s v="As per the request, SMS with Reset Password self-services URL has been shared with the user."/>
    <s v="No"/>
    <s v="Techm_AMHamed"/>
    <s v="Desktop"/>
    <s v="User Education"/>
    <s v="User Education"/>
    <n v="871"/>
    <s v="Phone"/>
    <s v="Automated Resolution Reported"/>
    <s v="Standard"/>
    <s v="MOAalbalooshi"/>
    <s v="Mohammed.Albalooshi@rta.ae"/>
    <s v="Within the Service Target"/>
  </r>
  <r>
    <s v="INC000001319609"/>
    <s v="User Service Request"/>
    <s v="Nazar"/>
    <s v="Ibrahim"/>
    <s v="unlock account request"/>
    <d v="2026-02-20T23:09:25"/>
    <s v="Enterprise Command &amp; Control"/>
    <s v="RTA"/>
    <x v="1"/>
    <s v="Service Desk"/>
    <s v="Techm Wahbaelrahman Hassan"/>
    <s v="Desktop"/>
    <s v="Profile"/>
    <s v="Account Lock Out"/>
    <s v="Low"/>
    <d v="2026-02-24T02:08:31"/>
    <d v="2026-02-20T23:10:28"/>
    <s v="Closed"/>
    <s v="User account ec3_itservicedesk has been Unlocked"/>
    <s v="No"/>
    <s v="Techm_WAHassan"/>
    <s v="Desktop"/>
    <s v="Profile"/>
    <s v="Account Lock Out"/>
    <s v="V0030814"/>
    <s v="Phone"/>
    <s v="Automated Resolution Reported"/>
    <s v="Standard"/>
    <s v="cns_niibrahim"/>
    <s v="Cns_Nazar.Ibrahim@rta.ae"/>
    <s v="Within the Service Target"/>
  </r>
  <r>
    <s v="INC000001319597"/>
    <s v="User Service Restoration"/>
    <s v="Kabeer"/>
    <s v="Veerriparambil"/>
    <s v="PC Slowness Issue"/>
    <d v="2026-02-20T21:48:58"/>
    <s v="Buses"/>
    <s v="RTA"/>
    <x v="5"/>
    <s v="Service Desk"/>
    <s v="Techm Wahbaelrahman Hassan"/>
    <s v="Desktop"/>
    <s v="OS Issue"/>
    <s v="PC Slowness Issue"/>
    <s v="Medium"/>
    <d v="2026-02-24T02:08:26"/>
    <d v="2026-02-20T21:53:50"/>
    <s v="Closed"/>
    <s v="- Run disk cleanup utility / cleared all temporary files and temporary internet files and cookies. - Check event viewer logs. - PC Restarted - Deleted Tepm files  - %tepm% - Run SFC /Scannow  no issue has found"/>
    <s v="No"/>
    <s v="Techm_WAHassan"/>
    <s v="Desktop"/>
    <s v="OS Issue"/>
    <s v="PC Slowness Issue"/>
    <n v="1892"/>
    <s v="Phone"/>
    <s v="Automated Resolution Reported"/>
    <s v="Standard"/>
    <s v="kkveerriparambil"/>
    <s v="Kabeer.Veerriparambil@rta.ae"/>
    <s v="Within the Service Target"/>
  </r>
  <r>
    <s v="INC000001319587"/>
    <s v="User Service Request"/>
    <s v="Mariam"/>
    <s v="Mohamed"/>
    <s v="CSC Alert - Scan Failure Detected - 20022026-04"/>
    <d v="2026-02-20T19:14:27"/>
    <s v="Licensing Activities Monitoring"/>
    <s v="RTA"/>
    <x v="3"/>
    <s v="OnSite  EUS"/>
    <s v="Ali Adam"/>
    <s v="Desktop"/>
    <s v="Proactive Monitoring"/>
    <s v="Proactive Action"/>
    <s v="Low"/>
    <d v="2026-02-23T17:19:21"/>
    <d v="2026-02-23T17:19:17"/>
    <s v="Resolved"/>
    <s v="- C Partition has been freed, and Full scan has been started."/>
    <s v="No"/>
    <s v="Techm_WAHassan"/>
    <s v="Desktop"/>
    <s v="Proactive Monitoring"/>
    <s v="Proactive Action"/>
    <s v="V0025947"/>
    <s v="Email"/>
    <s v="USER TO CONFIRM"/>
    <s v="Standard"/>
    <s v="okool_mamohamed"/>
    <s v="Okool_Mariam.Mohamed@rta.ae"/>
    <s v="Within the Service Target"/>
  </r>
  <r>
    <s v="INC000001319583"/>
    <s v="User Service Request"/>
    <s v="Epic Alia"/>
    <s v="Shihab"/>
    <s v="VPN configuration  Request"/>
    <d v="2026-02-20T18:57:03"/>
    <s v="Smart Services"/>
    <s v="RTA"/>
    <x v="4"/>
    <s v="Service Desk"/>
    <s v="Zain Alabedein Skheih"/>
    <s v="Desktop"/>
    <s v="Configuration"/>
    <s v="VPN Configuration"/>
    <s v="Low"/>
    <d v="2026-02-26T10:10:36"/>
    <d v="2026-02-26T10:10:34"/>
    <s v="Resolved"/>
    <s v="we accessed remotely and configured the VPN. &quot;Successfully Connected&quot;"/>
    <s v="No"/>
    <s v="Techm_WAHassan"/>
    <s v="Desktop"/>
    <s v="Configuration"/>
    <s v="VPN Configuration"/>
    <s v="V002118"/>
    <s v="Email"/>
    <s v="USER TO CONFIRM"/>
    <s v="Standard"/>
    <s v="Epic_AIShihab"/>
    <s v="Epic_Alia.Shihab@rta.ae"/>
    <s v="Within the Service Target"/>
  </r>
  <r>
    <s v="INC000001319579"/>
    <s v="User Service Request"/>
    <s v="Yara"/>
    <s v="Tarabay"/>
    <s v="VPN  configuration Request"/>
    <d v="2026-02-20T18:16:52"/>
    <s v="Information Technology"/>
    <s v="RTA"/>
    <x v="4"/>
    <s v="Service Desk"/>
    <s v="Mohamed Alajlani"/>
    <s v="Desktop"/>
    <s v="Configuration"/>
    <s v="VPN Configuration"/>
    <s v="Low"/>
    <d v="2026-02-24T12:29:46"/>
    <d v="2026-02-24T12:29:45"/>
    <s v="Resolved"/>
    <s v="The VPN has been configured successfully."/>
    <s v="No"/>
    <s v="Techm_WAHassan"/>
    <s v="Desktop"/>
    <s v="Configuration"/>
    <s v="VPN Configuration"/>
    <s v="V0033785"/>
    <s v="Email"/>
    <s v="USER TO CONFIRM"/>
    <s v="Standard"/>
    <s v="kaa_yrtarabay"/>
    <s v="Kaa_Yara.Tarabay@rta.ae"/>
    <s v="Within the Service Target"/>
  </r>
  <r>
    <s v="INC000001319577"/>
    <s v="User Service Request"/>
    <s v="Ead Rashid"/>
    <s v="Al Mutlk"/>
    <s v="User education"/>
    <d v="2026-02-20T17:42:37"/>
    <s v="Buses"/>
    <s v="RTA"/>
    <x v="5"/>
    <s v="Service Desk"/>
    <s v="Techm Wahbaelrahman Hassan"/>
    <s v="Desktop"/>
    <s v="User Education"/>
    <s v="User Education"/>
    <s v="Low"/>
    <d v="2026-02-24T02:08:15"/>
    <d v="2026-02-20T17:43:52"/>
    <s v="Closed"/>
    <s v="Guided user with accessing Outlook app from his PC Successfully"/>
    <s v="No"/>
    <s v="Techm_WAHassan"/>
    <s v="Desktop"/>
    <s v="User Education"/>
    <s v="User Education"/>
    <n v="4868"/>
    <s v="Phone"/>
    <s v="Automated Resolution Reported"/>
    <s v="Standard"/>
    <s v="eralmutlk"/>
    <s v="ead.almutlk@rta.ae"/>
    <s v="Within the Service Target"/>
  </r>
  <r>
    <s v="INC000001319571"/>
    <s v="User Service Request"/>
    <s v="Okool Waqas Khan"/>
    <s v="Khan"/>
    <s v="CSC Alert - Scan Failure Detected - 20022026-03"/>
    <d v="2026-02-20T17:00:49"/>
    <s v="Right Of Way"/>
    <s v="RTA"/>
    <x v="7"/>
    <s v="OnSite  EUS"/>
    <s v="Techm Osama Abdullatif"/>
    <s v="Desktop"/>
    <s v="Proactive Monitoring"/>
    <s v="Proactive Action"/>
    <s v="Low"/>
    <d v="2026-02-23T08:01:50"/>
    <d v="2026-02-23T08:01:46"/>
    <s v="Resolved"/>
    <e v="#NAME?"/>
    <s v="No"/>
    <s v="Techm_WAHassan"/>
    <s v="Desktop"/>
    <s v="Proactive Monitoring"/>
    <s v="Proactive Action"/>
    <s v="V0010337"/>
    <s v="Email"/>
    <s v="USER TO CONFIRM"/>
    <s v="Standard"/>
    <s v="Okool_WMKhan"/>
    <s v="Okool_Waqaskhan.Khan@rta.ae"/>
    <s v="Within the Service Target"/>
  </r>
  <r>
    <s v="INC000001319570"/>
    <s v="User Service Request"/>
    <s v="Youssef"/>
    <s v="Atia"/>
    <s v="CSC Alert : VPN user accessed from outside the approved country by user 'bsitet_ygatia'-20022026-02"/>
    <d v="2026-02-20T16:57:54"/>
    <s v="Security &amp; Monitoring"/>
    <s v="RTA"/>
    <x v="2"/>
    <s v="Service Desk"/>
    <s v="Techm Wahbaelrahman Hassan"/>
    <s v="Desktop"/>
    <s v="Proactive Monitoring"/>
    <s v="Proactive Action"/>
    <s v="Low"/>
    <d v="2026-02-24T02:08:13"/>
    <d v="2026-02-20T17:14:00"/>
    <s v="Closed"/>
    <s v="According to the email received from the CSC team, no further action is required; the  ticket has been closed"/>
    <s v="No"/>
    <s v="Techm_WAHassan"/>
    <s v="Desktop"/>
    <s v="Proactive Monitoring"/>
    <s v="Proactive Action"/>
    <s v="V0029747"/>
    <s v="Email"/>
    <s v="Automated Resolution Reported"/>
    <s v="Standard"/>
    <s v="bsitet_ygatia"/>
    <s v="Bsitet_Youssef.Atia@rta.ae"/>
    <s v="Within the Service Target"/>
  </r>
  <r>
    <s v="INC000001319563"/>
    <s v="User Service Restoration"/>
    <s v="Gubran Abdulalhakim"/>
    <s v="Hahoud"/>
    <s v="PC Files Inaccessible Issue"/>
    <d v="2026-02-20T16:11:43"/>
    <s v="Customer Happiness"/>
    <s v="RTA"/>
    <x v="0"/>
    <s v="OnSite  EUS"/>
    <s v="Mohamed Mustaq Ali"/>
    <s v="Desktop"/>
    <s v="OS Issue"/>
    <s v="PC Slowness Issue"/>
    <s v="Medium"/>
    <d v="2026-02-23T10:44:44"/>
    <d v="2026-02-23T10:44:41"/>
    <s v="Resolved"/>
    <s v="After replace the new pc the shortcut of in new desktop not found but all files inside the D drive, deleted the old shortcut and created the new shortcut, now user can access the files from desktop through shortcut."/>
    <s v="No"/>
    <s v="Techm_WAHassan"/>
    <s v="Desktop"/>
    <s v="Profile"/>
    <s v="Copy / Transfer Data"/>
    <n v="3297"/>
    <s v="Email"/>
    <s v="USER TO CONFIRM"/>
    <s v="Standard"/>
    <s v="ghahoud"/>
    <s v="Gubran.Hammod@rta.ae"/>
    <s v="Within the Service Target"/>
  </r>
  <r>
    <s v="INC000001319419"/>
    <s v="User Service Restoration"/>
    <s v="Omar"/>
    <s v="Zughayer"/>
    <s v="Log in issue"/>
    <d v="2026-02-20T13:46:27"/>
    <s v="Finance"/>
    <s v="RTA"/>
    <x v="0"/>
    <s v="OnSite  EUS"/>
    <s v="Nihad Mozayek"/>
    <s v="Desktop"/>
    <s v="Login Issue"/>
    <s v="Domain Trust Authentication Issue"/>
    <s v="Critical"/>
    <d v="2026-02-24T02:06:12"/>
    <d v="2026-02-20T16:03:48"/>
    <s v="Closed"/>
    <s v="Resolved by disjoining the laptop from the domain and joining again, the user now can login without any issues"/>
    <s v="No"/>
    <s v="techm_mbsiragelnour"/>
    <s v="Desktop"/>
    <s v="Login Issue"/>
    <s v="Domain Trust Authentication Issue"/>
    <n v="6110"/>
    <s v="Phone"/>
    <s v="Automated Resolution Reported"/>
    <s v="Standard"/>
    <s v="oazughayer"/>
    <s v="omar.zughayer@rta.ae"/>
    <s v="Within the Service Target"/>
  </r>
  <r>
    <s v="INC000001319402"/>
    <s v="User Service Restoration"/>
    <s v="Fatma"/>
    <s v="Fekri"/>
    <s v="Automation Issue"/>
    <d v="2026-02-20T12:21:19"/>
    <s v="Human Resources &amp; Development"/>
    <s v="RTA"/>
    <x v="0"/>
    <s v="Service Desk"/>
    <s v="Zain Alabedein Skheih"/>
    <s v="Desktop"/>
    <s v="RTA Standard application Incidents"/>
    <s v="MS Edge"/>
    <s v="Medium"/>
    <d v="2026-02-24T02:06:02"/>
    <d v="2026-02-20T12:27:51"/>
    <s v="Closed"/>
    <s v="We cleared browser data and cashes, configured the oracle authenticator then the issue solved."/>
    <s v="No"/>
    <s v="techm_ziskheih"/>
    <s v="Desktop"/>
    <s v="RTA Standard application Incidents"/>
    <s v="MS Edge"/>
    <n v="12556"/>
    <s v="Phone"/>
    <s v="Automated Resolution Reported"/>
    <s v="Standard"/>
    <s v="FAFekri"/>
    <s v="Fatma.Fekri@rta.ae"/>
    <s v="Within the Service Target"/>
  </r>
  <r>
    <s v="INC000001319396"/>
    <s v="User Service Restoration"/>
    <s v="Hessa"/>
    <s v="Ahmad"/>
    <s v="Outlook Issue"/>
    <d v="2026-02-20T12:09:03"/>
    <s v="Intelligent Traffic System"/>
    <s v="RTA"/>
    <x v="7"/>
    <s v="Service Desk"/>
    <s v="Aryam Juma Mohammad Albasata Albasata"/>
    <s v="Desktop"/>
    <s v="Mail Client Issue"/>
    <s v="Outlook Not Responding(RE)"/>
    <s v="Medium"/>
    <d v="2026-02-24T02:06:00"/>
    <d v="2026-02-20T12:10:26"/>
    <s v="Closed"/>
    <s v="clear creditiality and close reopen outlook add user and password again"/>
    <s v="No"/>
    <s v="techm_ajalbasata"/>
    <s v="Desktop"/>
    <s v="Mail Client Issue"/>
    <s v="Outlook Not Responding"/>
    <n v="13248"/>
    <s v="Phone"/>
    <s v="Automated Resolution Reported"/>
    <s v="Standard"/>
    <s v="HIBAhmad"/>
    <s v="Hessa.Ahmad@rta.ae"/>
    <s v="Within the Service Target"/>
  </r>
  <r>
    <s v="INC000001319393"/>
    <s v="User Service Request"/>
    <s v="Amal"/>
    <s v="Suliman"/>
    <s v="Network Folder Change Access"/>
    <d v="2026-02-20T12:03:14"/>
    <s v="Development &amp; Corporate Performance"/>
    <s v="RTA"/>
    <x v="1"/>
    <s v="Service Desk"/>
    <s v="Maitha Alhammadi"/>
    <s v="Incident"/>
    <s v="Self-service"/>
    <s v="Mendix"/>
    <s v="Low"/>
    <d v="2026-02-24T10:39:50"/>
    <d v="2026-02-24T10:39:49"/>
    <s v="Resolved"/>
    <s v="As per concerned team update, Shared folder access has been granted to the user.  Folder Path: \\rta.global\fileserver001\Share1$\Strategy and Corporate Performance\Internal\Corporate Performance Section\E 2025\RAA Folder Owner: mhalzehmi Folder Access:  User Name_x0009_Type Of Access_x0009_Duration Of Access_x0009_Expiry Date okandi_x0009_Read And Write_x0009_Temporary_x0009_30?/6?/2026 12:00 ?   Please note that the subject ticket will be closed."/>
    <s v="No"/>
    <s v="mendix"/>
    <s v="Desktop"/>
    <s v="Profile"/>
    <s v="Network Folder Access"/>
    <n v="2850"/>
    <s v="Self Service"/>
    <s v="USER TO CONFIRM"/>
    <s v="Standard"/>
    <s v="aasuliman"/>
    <s v="Amal.Suliman@rta.ae"/>
    <s v="Within the Service Target"/>
  </r>
  <r>
    <s v="INC000001319388"/>
    <s v="User Service Request"/>
    <s v="Amal"/>
    <s v="Suliman"/>
    <s v="Network Folder Change Access"/>
    <d v="2026-02-20T11:57:26"/>
    <s v="Development &amp; Corporate Performance"/>
    <s v="RTA"/>
    <x v="1"/>
    <s v="Service Desk"/>
    <s v="Techm Ghaya Hamad"/>
    <s v="Incident"/>
    <s v="Self-service"/>
    <s v="Mendix"/>
    <s v="Low"/>
    <d v="2026-02-24T12:07:11"/>
    <d v="2026-02-24T12:07:06"/>
    <s v="Resolved"/>
    <s v="Informed user that access has been provided to mthalji"/>
    <s v="No"/>
    <s v="mendix"/>
    <s v="Desktop"/>
    <s v="Profile"/>
    <s v="Re -Map Share Folder"/>
    <n v="2850"/>
    <s v="Self Service"/>
    <s v="USER TO CONFIRM"/>
    <s v="Standard"/>
    <s v="aasuliman"/>
    <s v="Amal.Suliman@rta.ae"/>
    <s v="Within the Service Target"/>
  </r>
  <r>
    <s v="INC000001319383"/>
    <s v="User Service Request"/>
    <s v="Amal"/>
    <s v="Suliman"/>
    <s v="Network Folder Change Access"/>
    <d v="2026-02-20T11:53:32"/>
    <s v="Development &amp; Corporate Performance"/>
    <s v="RTA"/>
    <x v="1"/>
    <s v="Service Desk"/>
    <s v="Maitha Alhammadi"/>
    <s v="Incident"/>
    <s v="Self-service"/>
    <s v="Mendix"/>
    <s v="Low"/>
    <d v="2026-02-24T10:36:53"/>
    <d v="2026-02-24T10:36:51"/>
    <s v="Resolved"/>
    <s v="As per concerned team update, Share folder access provided temporary as pert the request.   Path : \\rta.global\fileserver001\Share1$\Strategy and Corporate Performance\Internal\Corporate Performance Section\E 2025\PTA User: malmutawa Approver:Ayesha Buti Mubarak Hareb Almutawa  Please note that the subject ticket will be closed."/>
    <s v="No"/>
    <s v="mendix"/>
    <s v="Desktop"/>
    <s v="Profile"/>
    <s v="Network Folder Access"/>
    <n v="2850"/>
    <s v="Self Service"/>
    <s v="USER TO CONFIRM"/>
    <s v="Standard"/>
    <s v="aasuliman"/>
    <s v="Amal.Suliman@rta.ae"/>
    <s v="Within the Service Target"/>
  </r>
  <r>
    <s v="INC000001319382"/>
    <s v="User Service Request"/>
    <s v="Avaya Tarek Salama"/>
    <s v="Mohamed Khedr"/>
    <s v="Keyboard"/>
    <d v="2026-02-20T11:52:59"/>
    <s v="Customer Happiness"/>
    <s v="RTA"/>
    <x v="0"/>
    <s v="OnSite  EUS"/>
    <s v="Techm Osama Abdullatif"/>
    <s v="Incident"/>
    <s v="Self-service"/>
    <s v="Mendix"/>
    <s v="Low"/>
    <d v="2026-02-25T08:48:05"/>
    <d v="2026-02-25T08:48:04"/>
    <s v="Resolved"/>
    <e v="#NAME?"/>
    <s v="No"/>
    <s v="mendix"/>
    <s v="Desktop"/>
    <s v="PC Hardware Issue"/>
    <s v="Keyboard Not Working"/>
    <s v="V00969"/>
    <s v="Self Service"/>
    <s v="USER TO CONFIRM"/>
    <s v="Standard"/>
    <s v="Avaya_TMMohamedkhedr"/>
    <s v="Avaya_Tareksalama.Mohamedkhedr@rta.ae"/>
    <s v="Within the Service Target"/>
  </r>
  <r>
    <s v="INC000001319371"/>
    <s v="User Service Request"/>
    <s v="Fatma"/>
    <s v="Al Falasi"/>
    <s v="VPN Configuration Request"/>
    <d v="2026-02-20T11:44:58"/>
    <s v="Information Technology"/>
    <s v="RTA"/>
    <x v="4"/>
    <s v="Service Desk"/>
    <s v="Zain Alabedein Skheih"/>
    <s v="Desktop"/>
    <s v="Configuration"/>
    <s v="VPN Configuration"/>
    <s v="Low"/>
    <d v="2026-02-24T02:05:51"/>
    <d v="2026-02-20T11:45:36"/>
    <s v="Closed"/>
    <s v="we accessed remotely and configured the VPN on the user device"/>
    <s v="No"/>
    <s v="techm_ziskheih"/>
    <s v="Desktop"/>
    <s v="Configuration"/>
    <s v="VPN Configuration"/>
    <n v="12173"/>
    <s v="Phone"/>
    <s v="Automated Resolution Reported"/>
    <s v="Standard"/>
    <s v="fjalfalasi"/>
    <s v="Fatma.Alfalasi@rta.ae"/>
    <s v="Within the Service Target"/>
  </r>
  <r>
    <s v="INC000001319364"/>
    <s v="User Service Request"/>
    <s v="Mohamed"/>
    <s v="Attia"/>
    <s v="Hardware Upgrade"/>
    <d v="2026-02-20T11:40:00"/>
    <s v="Customer Happiness"/>
    <s v="RTA"/>
    <x v="0"/>
    <s v="Service Desk"/>
    <s v="Techm Wahbaelrahman Hassan"/>
    <s v="Incident"/>
    <s v="Self-service"/>
    <s v="Mendix"/>
    <s v="Low"/>
    <d v="2026-02-24T12:47:28"/>
    <d v="2026-02-24T12:47:27"/>
    <s v="Resolved"/>
    <s v="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
    <s v="No"/>
    <s v="mendix"/>
    <s v="Desktop"/>
    <s v="Hardware Request"/>
    <s v="Laptop"/>
    <s v="V0011783"/>
    <s v="Self Service"/>
    <s v="USER TO CONFIRM"/>
    <s v="Standard"/>
    <s v="avaya_maattia"/>
    <s v="Avaya_Mohamed.Attia@rta.ae"/>
    <s v="Within the Service Target"/>
  </r>
  <r>
    <s v="INC000001319360"/>
    <s v="User Service Request"/>
    <s v="Tamara"/>
    <s v="Albaz"/>
    <s v="Reset VPN account Request"/>
    <d v="2026-02-20T11:40:51"/>
    <s v="Roads"/>
    <s v="RTA"/>
    <x v="7"/>
    <s v="Service Desk"/>
    <s v="Techm Ghaya Hamad"/>
    <s v="Network Domain"/>
    <s v="Wide Area Network (WAN)"/>
    <s v="VPN Extension"/>
    <s v="Low"/>
    <d v="2026-02-24T02:05:49"/>
    <d v="2026-02-20T11:47:48"/>
    <s v="Closed"/>
    <s v="Guided user to scan QR Configured VPN successfully through LogMeIn"/>
    <s v="No"/>
    <s v="Techm_GAHamad"/>
    <s v="Desktop"/>
    <s v="Configuration"/>
    <s v="VPN Configuration"/>
    <n v="15648"/>
    <s v="Phone"/>
    <s v="Automated Resolution Reported"/>
    <s v="Standard"/>
    <s v="tbalbaz"/>
    <s v="Tamara.Albaz@rta.ae"/>
    <s v="Within the Service Target"/>
  </r>
  <r>
    <s v="INC000001319354"/>
    <s v="User Service Request"/>
    <s v="Sayed"/>
    <s v="Hamadi"/>
    <s v="User Education"/>
    <d v="2026-02-20T11:37:17"/>
    <s v="Enterprise Command &amp; Control"/>
    <s v="RTA"/>
    <x v="1"/>
    <s v="Service Desk"/>
    <s v="Techm Ghaya Hamad"/>
    <s v="Desktop"/>
    <s v="User Education"/>
    <s v="User Education"/>
    <s v="Low"/>
    <d v="2026-02-24T02:05:46"/>
    <d v="2026-02-20T11:51:34"/>
    <s v="Closed"/>
    <s v="Unlocked account has been done from selfService"/>
    <s v="No"/>
    <s v="Techm_GAHamad"/>
    <s v="Desktop"/>
    <s v="User Education"/>
    <s v="User Education"/>
    <n v="13289"/>
    <s v="Phone"/>
    <s v="Automated Resolution Reported"/>
    <s v="Standard"/>
    <s v="SIHamadi"/>
    <s v="Sayed.Hamadi@rta.ae"/>
    <s v="Within the Service Target"/>
  </r>
  <r>
    <s v="INC000001319349"/>
    <s v="User Service Request"/>
    <s v="Majid"/>
    <s v="Alhawai"/>
    <s v="VPN configuration Request"/>
    <d v="2026-02-20T11:32:53"/>
    <s v="Roads"/>
    <s v="RTA"/>
    <x v="7"/>
    <s v="Service Desk"/>
    <s v="Techm Ghaya Hamad"/>
    <s v="Desktop"/>
    <s v="Configuration"/>
    <s v="VPN Configuration"/>
    <s v="Low"/>
    <d v="2026-02-23T11:05:59"/>
    <d v="2026-02-23T11:05:57"/>
    <s v="Resolved"/>
    <s v="Configured VPN successfully through LogMeIn"/>
    <s v="No"/>
    <s v="Techm_GAHamad"/>
    <s v="Desktop"/>
    <s v="Configuration"/>
    <s v="VPN Configuration"/>
    <n v="15874"/>
    <s v="Phone"/>
    <s v="USER TO CONFIRM"/>
    <s v="Standard"/>
    <s v="maalhawai"/>
    <s v="Majid.Alhawai@rta.ae"/>
    <s v="Within the Service Target"/>
  </r>
  <r>
    <s v="INC000001319342"/>
    <s v="User Service Request"/>
    <s v="Manal Mohammed"/>
    <s v="Al Rayes"/>
    <s v="Outlook configuration Request"/>
    <d v="2026-02-20T11:25:21"/>
    <s v="Corporate Technology Support Services CEO"/>
    <s v="RTA"/>
    <x v="4"/>
    <s v="Service Desk"/>
    <s v="Techm Ghaya Hamad"/>
    <s v="Desktop"/>
    <s v="Mail"/>
    <s v="Outlook Reconfiguration(RE)"/>
    <s v="Low"/>
    <d v="2026-02-24T02:05:42"/>
    <d v="2026-02-20T11:29:37"/>
    <s v="Closed"/>
    <s v="In the signature table was added by mistake &amp; it been removed"/>
    <s v="No"/>
    <s v="Techm_GAHamad"/>
    <s v="Desktop"/>
    <s v="Mail"/>
    <s v="Outlook Reconfiguration(RE)"/>
    <n v="3128"/>
    <s v="Phone"/>
    <s v="Automated Resolution Reported"/>
    <s v="Sensitive"/>
    <s v="mmrayes"/>
    <s v="manal.alrayes@rta.ae"/>
    <s v="Within the Service Target"/>
  </r>
  <r>
    <s v="INC000001319333"/>
    <s v="User Service Restoration"/>
    <s v="Wajd"/>
    <s v="Elkhalil"/>
    <s v="there is a PDF file can't open"/>
    <d v="2026-02-20T11:06:30"/>
    <s v="Procurement"/>
    <s v="RTA"/>
    <x v="0"/>
    <s v="Service Desk"/>
    <s v="Techm Ghaya Hamad"/>
    <s v="Incident"/>
    <s v="Self-service"/>
    <s v="Mendix"/>
    <s v="Medium"/>
    <d v="2026-02-24T02:05:38"/>
    <d v="2026-02-20T12:23:12"/>
    <s v="Closed"/>
    <s v="Issue has been solved redarding PDf"/>
    <s v="No"/>
    <s v="mendix"/>
    <s v="Desktop"/>
    <s v="RTA Non standard application  Incidents"/>
    <s v="Adobe Acrobat Professional"/>
    <n v="15868"/>
    <s v="Self Service"/>
    <s v="Automated Resolution Reported"/>
    <s v="Standard"/>
    <s v="wrelkhalil"/>
    <s v="Wajd.Elkhalil@rta.ae"/>
    <s v="Within the Service Target"/>
  </r>
  <r>
    <s v="INC000001319319"/>
    <s v="User Service Request"/>
    <s v="Jasim"/>
    <s v="Alaleeli"/>
    <s v="unlock account request"/>
    <d v="2026-02-20T10:49:46"/>
    <s v="Commercial &amp; Investment"/>
    <s v="RTA"/>
    <x v="1"/>
    <s v="Service Desk"/>
    <s v="Techm Hussein Aljayeh"/>
    <s v="Desktop"/>
    <s v="Profile"/>
    <s v="Account Lock Out"/>
    <s v="Low"/>
    <d v="2026-02-24T02:05:31"/>
    <d v="2026-02-20T10:51:31"/>
    <s v="Closed"/>
    <s v="User Account has been unlocked"/>
    <s v="No"/>
    <s v="Techm_HHAljayeh"/>
    <s v="Desktop"/>
    <s v="Profile"/>
    <s v="Account Lock Out"/>
    <n v="12898"/>
    <s v="Phone"/>
    <s v="Automated Resolution Reported"/>
    <s v="Standard"/>
    <s v="JMAlaleeli"/>
    <s v="Jasim.Alaleeli@rta.ae"/>
    <s v="Within the Service Target"/>
  </r>
  <r>
    <s v="INC000001319311"/>
    <s v="User Service Request"/>
    <s v="Thekrayat"/>
    <s v="Al Mahdi"/>
    <s v="Distribution List Modification"/>
    <d v="2026-02-20T10:39:39"/>
    <s v="Buses"/>
    <s v="RTA"/>
    <x v="5"/>
    <s v="Service Desk"/>
    <s v="Maitha Alhammadi"/>
    <s v="Application"/>
    <s v="Application Services"/>
    <m/>
    <s v="Low"/>
    <d v="2026-02-26T09:50:32"/>
    <m/>
    <s v="Pending"/>
    <m/>
    <s v="No"/>
    <s v="mendix"/>
    <s v="Application Services"/>
    <m/>
    <m/>
    <s v="V0025191"/>
    <s v="Self Service"/>
    <s v="Client Action Required"/>
    <s v="Standard"/>
    <s v="srsl_taalmahdi"/>
    <s v="Srsl_Thekrayat.Almahdi@rta.ae"/>
    <s v="Within the Service Target"/>
  </r>
  <r>
    <s v="INC000001319301"/>
    <s v="User Service Request"/>
    <s v="Hind"/>
    <s v="Elkhidir"/>
    <s v="user education"/>
    <d v="2026-02-20T10:49:37"/>
    <s v="Licensing Systems"/>
    <s v="RTA"/>
    <x v="3"/>
    <s v="Service Desk"/>
    <s v="Ismael Ismael"/>
    <s v="Desktop"/>
    <s v="User Education"/>
    <s v="User Education"/>
    <s v="Low"/>
    <d v="2026-02-24T02:05:29"/>
    <d v="2026-02-20T10:49:46"/>
    <s v="Closed"/>
    <s v="user was educated on how to configure Oracle authenticator"/>
    <s v="No"/>
    <s v="techm_iaismael"/>
    <s v="Desktop"/>
    <s v="User Education"/>
    <s v="User Education"/>
    <s v="V0034676"/>
    <s v="Phone"/>
    <s v="Automated Resolution Reported"/>
    <s v="Standard"/>
    <s v="okool_hmelkhidir"/>
    <s v="Okool_Hind.Elkhidir@rta.ae"/>
    <s v="Within the Service Target"/>
  </r>
  <r>
    <s v="INC000001319290"/>
    <s v="User Service Request"/>
    <s v="Alia"/>
    <s v="Almarama"/>
    <s v="NX-Hardware Upgrade"/>
    <d v="2026-02-20T10:18:24"/>
    <s v="Human Resources &amp; Development"/>
    <s v="RTA"/>
    <x v="0"/>
    <s v="SCCM-Nexthink Support"/>
    <s v="Surjeet Samanta"/>
    <s v="Incident"/>
    <s v="Self-service"/>
    <s v="Mendix"/>
    <s v="Low"/>
    <d v="2026-02-26T06:53:41"/>
    <m/>
    <s v="Pending"/>
    <m/>
    <s v="No"/>
    <s v="mendix"/>
    <m/>
    <m/>
    <m/>
    <n v="12976"/>
    <s v="Self Service"/>
    <s v="Support Contact Hold"/>
    <s v="Standard"/>
    <s v="ABAlmarama"/>
    <s v="Alia.Almarama@rta.ae"/>
    <s v="Within the Service Target"/>
  </r>
  <r>
    <s v="INC000001319277"/>
    <s v="User Service Request"/>
    <s v="Ebrahim"/>
    <s v="Hussain"/>
    <s v="Guide user to reset the Password through Self services portal."/>
    <d v="2026-02-20T09:55:46"/>
    <s v="Security &amp; Monitoring"/>
    <s v="RTA"/>
    <x v="2"/>
    <s v="Service Desk"/>
    <s v="Techm Hussein Aljayeh"/>
    <s v="Desktop"/>
    <s v="User Education"/>
    <s v="User Education"/>
    <s v="Low"/>
    <d v="2026-02-24T02:05:12"/>
    <d v="2026-02-20T10:41:38"/>
    <s v="Closed"/>
    <s v="Password Reset SOP Sent to User by SMS,User Confirm On the same Hence ticket closed"/>
    <s v="No"/>
    <s v="Techm_HHAljayeh"/>
    <s v="Desktop"/>
    <s v="User Education"/>
    <s v="User Education"/>
    <n v="9892"/>
    <s v="Phone"/>
    <s v="Automated Resolution Reported"/>
    <s v="Sensitive"/>
    <s v="eahussain"/>
    <s v="Ebrahim.Hussain@RTA.ae"/>
    <s v="Within the Service Target"/>
  </r>
  <r>
    <s v="INC000001319275"/>
    <s v="User Service Request"/>
    <s v="Mohammed"/>
    <s v="Pulikkunnummel"/>
    <s v="Password reset Request"/>
    <d v="2026-02-20T09:51:50"/>
    <s v="Buses"/>
    <s v="RTA"/>
    <x v="5"/>
    <s v="Service Desk"/>
    <s v="Ismael Ismael"/>
    <s v="Desktop"/>
    <s v="Profile"/>
    <s v="Password reset(RE)"/>
    <s v="Low"/>
    <d v="2026-02-24T02:05:09"/>
    <d v="2026-02-20T09:52:38"/>
    <s v="Closed"/>
    <s v="password was successfully reset"/>
    <s v="No"/>
    <s v="techm_iaismael"/>
    <s v="Desktop"/>
    <s v="Profile"/>
    <s v="Password Reset"/>
    <n v="581"/>
    <s v="Phone"/>
    <s v="Automated Resolution Reported"/>
    <s v="Standard"/>
    <s v="mapulikkunnummel"/>
    <s v="Mohammed.Pulikkunnummel@RTA.ae"/>
    <s v="Within the Service Target"/>
  </r>
  <r>
    <s v="INC000001319270"/>
    <s v="User Service Restoration"/>
    <s v="Mohammed"/>
    <s v="Pulikkunnummel"/>
    <s v="password reset issue"/>
    <d v="2026-02-20T09:50:42"/>
    <s v="Buses"/>
    <s v="RTA"/>
    <x v="5"/>
    <s v="Service Desk"/>
    <s v="Ismael Ismael"/>
    <s v="Application"/>
    <s v="Application Services"/>
    <s v="Administrative Tasks"/>
    <s v="Medium"/>
    <d v="2026-02-24T11:06:15"/>
    <d v="2026-02-24T11:06:11"/>
    <s v="Resolved"/>
    <s v="Received confirmation from user over phone that the issue got resolved"/>
    <s v="No"/>
    <s v="techm_iaismael"/>
    <s v="Application"/>
    <s v="Application Services"/>
    <s v="Administrative Tasks"/>
    <n v="581"/>
    <s v="Phone"/>
    <s v="USER TO CONFIRM"/>
    <s v="Standard"/>
    <s v="mapulikkunnummel"/>
    <s v="Mohammed.Pulikkunnummel@RTA.ae"/>
    <s v="Within the Service Target"/>
  </r>
  <r>
    <s v="INC000001319256"/>
    <s v="User Service Restoration"/>
    <s v="Tamara"/>
    <s v="Albaz"/>
    <s v="VPN Issue"/>
    <d v="2026-02-20T09:38:53"/>
    <s v="Roads"/>
    <s v="RTA"/>
    <x v="7"/>
    <s v="Service Desk"/>
    <s v="Aryam Juma Mohammad Albasata Albasata"/>
    <s v="Desktop"/>
    <s v="Configuration"/>
    <s v="VPN Troubleshooting"/>
    <s v="Medium"/>
    <d v="2026-02-24T09:03:49"/>
    <d v="2026-02-24T09:03:45"/>
    <s v="Resolved"/>
    <s v="User  VPN Account has been unlocked , Please try Reconnect"/>
    <s v="No"/>
    <s v="techm_ajalbasata"/>
    <s v="Desktop"/>
    <s v="Configuration"/>
    <s v="VPN Troubleshooting"/>
    <n v="15648"/>
    <s v="Phone"/>
    <s v="USER TO CONFIRM"/>
    <s v="Standard"/>
    <s v="tbalbaz"/>
    <s v="Tamara.Albaz@rta.ae"/>
    <s v="Within the Service Target"/>
  </r>
  <r>
    <s v="INC000001319253"/>
    <s v="User Service Request"/>
    <s v="Soubhi"/>
    <s v="Sloukgi-Contractor"/>
    <s v="Distribution List Modification"/>
    <d v="2026-02-20T09:35:47"/>
    <s v="Enterprise Command &amp; Control"/>
    <s v="RTA"/>
    <x v="1"/>
    <s v="Service Desk"/>
    <s v="Techm Nabeesu Mohamed"/>
    <s v="Application"/>
    <s v="Application Services"/>
    <m/>
    <s v="Low"/>
    <d v="2026-02-26T09:02:23"/>
    <m/>
    <s v="Pending"/>
    <m/>
    <s v="No"/>
    <s v="mendix"/>
    <s v="Application Services"/>
    <m/>
    <m/>
    <s v="V0027433"/>
    <s v="Self Service"/>
    <s v="Client Action Required"/>
    <s v="Standard"/>
    <s v="cns_spsloukgi"/>
    <s v="Cns_Soubhi.Sloukgi@rta.ae"/>
    <s v="Within the Service Target"/>
  </r>
  <r>
    <s v="INC000001319246"/>
    <s v="User Service Request"/>
    <s v="Maryam"/>
    <s v="Albalooshi"/>
    <s v="Guide user to Unlock Account through Self services portal."/>
    <d v="2026-02-20T10:05:38"/>
    <s v="Finance"/>
    <s v="RTA"/>
    <x v="0"/>
    <s v="Service Desk"/>
    <s v="Mohamed Alajlani"/>
    <s v="Desktop"/>
    <s v="User Education"/>
    <s v="User Education"/>
    <s v="Low"/>
    <d v="2026-02-24T02:05:15"/>
    <d v="2026-02-20T10:08:43"/>
    <s v="Closed"/>
    <s v="The account has been unlocked successfully."/>
    <s v="No"/>
    <s v="techm_myalajlani"/>
    <s v="Desktop"/>
    <s v="User Education"/>
    <s v="User Education"/>
    <n v="14548"/>
    <s v="Phone"/>
    <s v="Automated Resolution Reported"/>
    <s v="Standard"/>
    <s v="MSAlbalooshi"/>
    <s v="Maryam.SAlbalooshi@rta.ae"/>
    <s v="Within the Service Target"/>
  </r>
  <r>
    <s v="INC000001319240"/>
    <s v="User Service Request"/>
    <s v="Sahar"/>
    <s v="Hamed"/>
    <s v="unlock account request"/>
    <d v="2026-02-20T09:25:25"/>
    <s v="Enterprise Command &amp; Control"/>
    <s v="RTA"/>
    <x v="1"/>
    <s v="Service Desk"/>
    <s v="Techm Hussein Aljayeh"/>
    <s v="Desktop"/>
    <s v="Profile"/>
    <s v="Account Lock Out"/>
    <s v="Low"/>
    <d v="2026-02-24T02:05:00"/>
    <d v="2026-02-20T10:51:16"/>
    <s v="Closed"/>
    <s v="User Account has been unlocked"/>
    <s v="No"/>
    <s v="Techm_HHAljayeh"/>
    <s v="Desktop"/>
    <s v="Profile"/>
    <s v="Account Lock Out"/>
    <n v="15008"/>
    <s v="Phone"/>
    <s v="Automated Resolution Reported"/>
    <s v="Standard"/>
    <s v="sshamed"/>
    <s v="Sahar.Hamed@rta.ae"/>
    <s v="Within the Service Target"/>
  </r>
  <r>
    <s v="INC000001319237"/>
    <s v="User Service Request"/>
    <s v="Farida"/>
    <s v="Al Zarooni"/>
    <s v="VPN Re-Configuration Request"/>
    <d v="2026-02-20T09:20:06"/>
    <s v="Roads"/>
    <s v="RTA"/>
    <x v="7"/>
    <s v="Service Desk"/>
    <s v="Techm Hussein Aljayeh"/>
    <s v="Desktop"/>
    <s v="Configuration"/>
    <s v="VPN Configuration"/>
    <s v="Low"/>
    <d v="2026-02-24T02:04:57"/>
    <d v="2026-02-20T10:50:57"/>
    <s v="Closed"/>
    <s v="Request has been Completed Through Remote Access,User Confirm On the same Hence ticket closed"/>
    <s v="No"/>
    <s v="Techm_HHAljayeh"/>
    <s v="Desktop"/>
    <s v="Configuration"/>
    <s v="VPN Configuration"/>
    <n v="4160"/>
    <s v="Phone"/>
    <s v="Automated Resolution Reported"/>
    <s v="Standard"/>
    <s v="fmalzarooni"/>
    <s v="farida.alzarooni@rta.ae"/>
    <s v="Within the Service Target"/>
  </r>
  <r>
    <s v="INC000001319233"/>
    <s v="User Service Request"/>
    <s v="Shaikha"/>
    <s v="Aljasmi"/>
    <s v="Guide user to Unlock Account through Self services portal."/>
    <d v="2026-02-20T09:21:04"/>
    <s v="Marketing &amp; Corporate Communication"/>
    <s v="RTA"/>
    <x v="0"/>
    <s v="Service Desk"/>
    <s v="Mohamed Alajlani"/>
    <s v="Desktop"/>
    <s v="User Education"/>
    <s v="User Education"/>
    <s v="Low"/>
    <d v="2026-02-24T02:04:58"/>
    <d v="2026-02-20T09:21:35"/>
    <s v="Closed"/>
    <s v="The account has been unlocked successfully."/>
    <s v="No"/>
    <s v="techm_myalajlani"/>
    <s v="Desktop"/>
    <s v="User Education"/>
    <s v="User Education"/>
    <n v="15822"/>
    <s v="Phone"/>
    <s v="Automated Resolution Reported"/>
    <s v="Standard"/>
    <s v="saaljasmi"/>
    <s v="Shaikha.Aljasmi@rta.ae"/>
    <s v="Within the Service Target"/>
  </r>
  <r>
    <s v="INC000001319228"/>
    <s v="User Service Request"/>
    <s v="Vijay"/>
    <s v="Arunan"/>
    <s v="VPN Configuration Request"/>
    <d v="2026-02-20T09:16:21"/>
    <s v="Licensing Systems"/>
    <s v="RTA"/>
    <x v="3"/>
    <s v="Service Desk"/>
    <s v="Mohamed Siragelnour"/>
    <s v="Desktop"/>
    <s v="Configuration"/>
    <s v="VPN Configuration"/>
    <s v="Low"/>
    <d v="2026-02-24T02:04:55"/>
    <d v="2026-02-20T10:07:46"/>
    <s v="Closed"/>
    <s v="VPN has been configured successfully."/>
    <s v="No"/>
    <s v="techm_mbsiragelnour"/>
    <s v="Desktop"/>
    <s v="Configuration"/>
    <s v="VPN Configuration"/>
    <n v="15789"/>
    <s v="Phone"/>
    <s v="Automated Resolution Reported"/>
    <s v="Standard"/>
    <s v="vmarunan"/>
    <s v="Vijay.Arunan@rta.ae"/>
    <s v="Within the Service Target"/>
  </r>
  <r>
    <s v="INC000001319226"/>
    <s v="User Service Request"/>
    <s v="Farida"/>
    <s v="Al Zarooni"/>
    <s v="Unlock VPN (fmalzarooni)"/>
    <d v="2026-02-20T09:08:29"/>
    <s v="Roads"/>
    <s v="RTA"/>
    <x v="7"/>
    <s v="Service Desk"/>
    <s v="Techm Hussein Aljayeh"/>
    <s v="Desktop"/>
    <s v="Profile"/>
    <s v="Account Lock Out"/>
    <s v="Low"/>
    <d v="2026-02-24T02:04:53"/>
    <d v="2026-02-20T10:50:24"/>
    <s v="Closed"/>
    <s v="Unlock VPN (fmalzarooni) Request has been Completed ,User Confirm On the same Hence ticket Closed."/>
    <s v="No"/>
    <s v="Techm_HHAljayeh"/>
    <s v="Desktop"/>
    <s v="Profile"/>
    <s v="Account Lock Out"/>
    <n v="4160"/>
    <s v="Phone"/>
    <s v="Automated Resolution Reported"/>
    <s v="Standard"/>
    <s v="fmalzarooni"/>
    <s v="farida.alzarooni@rta.ae"/>
    <s v="Within the Service Target"/>
  </r>
  <r>
    <s v="INC000001319219"/>
    <s v="User Service Request"/>
    <s v="Noura"/>
    <s v="Alhamadi"/>
    <s v="Guide user to reset the Password through Self services portal."/>
    <d v="2026-02-20T09:01:59"/>
    <s v="Legal Affairs"/>
    <s v="RTA"/>
    <x v="1"/>
    <s v="Service Desk"/>
    <s v="Techm Hussein Aljayeh"/>
    <s v="Desktop"/>
    <s v="User Education"/>
    <s v="User Education"/>
    <s v="Low"/>
    <d v="2026-02-24T02:04:50"/>
    <d v="2026-02-20T10:40:29"/>
    <s v="Closed"/>
    <s v="Password Reset SOP Sent to User by SMS,User Confirm On the same Hence ticket closed"/>
    <s v="No"/>
    <s v="Techm_HHAljayeh"/>
    <s v="Desktop"/>
    <s v="User Education"/>
    <s v="User Education"/>
    <n v="12083"/>
    <s v="Phone"/>
    <s v="Automated Resolution Reported"/>
    <s v="Standard"/>
    <s v="naalhamadi"/>
    <s v="Noura.Alhamadi@rta.ae"/>
    <s v="Within the Service Target"/>
  </r>
  <r>
    <s v="INC000001319214"/>
    <s v="User Service Request"/>
    <s v="Ibrahim"/>
    <s v="Mubarak"/>
    <s v="VPN configuration request"/>
    <d v="2026-02-20T09:01:04"/>
    <s v="Leadership Affairs"/>
    <s v="RTA"/>
    <x v="2"/>
    <s v="Service Desk"/>
    <s v="Ismael Ismael"/>
    <s v="Desktop"/>
    <s v="Configuration"/>
    <s v="VPN Configuration"/>
    <s v="Low"/>
    <d v="2026-02-24T02:04:49"/>
    <d v="2026-02-20T09:05:44"/>
    <s v="Closed"/>
    <s v="VPN has been successfully configured"/>
    <s v="No"/>
    <s v="techm_iaismael"/>
    <s v="Desktop"/>
    <s v="Configuration"/>
    <s v="VPN Configuration"/>
    <n v="15703"/>
    <s v="Phone"/>
    <s v="Automated Resolution Reported"/>
    <s v="Standard"/>
    <s v="ismubarak"/>
    <s v="Ibrahim.Mubarak@rta.ae"/>
    <s v="Within the Service Target"/>
  </r>
  <r>
    <s v="INC000001319211"/>
    <s v="User Service Restoration"/>
    <s v="Noureldine"/>
    <s v="Safadi"/>
    <s v="Failed installing"/>
    <d v="2026-02-20T08:57:27"/>
    <s v="Roads &amp; Facilities Maintenance"/>
    <s v="RTA"/>
    <x v="7"/>
    <s v="SCCM-Nexthink Support"/>
    <s v="Upendar Kontemukkula"/>
    <s v="Incident"/>
    <s v="Self-service"/>
    <s v="Mendix"/>
    <s v="Medium"/>
    <d v="2026-02-26T06:53:40"/>
    <m/>
    <s v="Pending"/>
    <m/>
    <s v="No"/>
    <s v="mendix"/>
    <m/>
    <m/>
    <m/>
    <n v="13592"/>
    <s v="Self Service"/>
    <s v="Client Action Required"/>
    <s v="Standard"/>
    <s v="NASafadi"/>
    <s v="Noureldine.Safadi@rta.ae"/>
    <s v="Within the Service Target"/>
  </r>
  <r>
    <s v="INC000001319210"/>
    <s v="User Service Request"/>
    <s v="Maitha"/>
    <s v="Altamimi"/>
    <s v="unlock account request"/>
    <d v="2026-02-20T08:54:37"/>
    <s v="Finance"/>
    <s v="RTA"/>
    <x v="0"/>
    <s v="Service Desk"/>
    <s v="Techm Hussein Aljayeh"/>
    <s v="Desktop"/>
    <s v="Profile"/>
    <s v="Account Lock Out"/>
    <s v="Low"/>
    <d v="2026-02-24T02:04:47"/>
    <d v="2026-02-20T10:39:57"/>
    <s v="Closed"/>
    <s v="User Account has been unlocked"/>
    <s v="No"/>
    <s v="Techm_HHAljayeh"/>
    <s v="Desktop"/>
    <s v="Profile"/>
    <s v="Account Lock Out"/>
    <n v="15128"/>
    <s v="Phone"/>
    <s v="Automated Resolution Reported"/>
    <s v="Standard"/>
    <s v="msaltamimi"/>
    <s v="Maitha.Altamimi@rta.ae"/>
    <s v="Within the Service Target"/>
  </r>
  <r>
    <s v="INC000001319207"/>
    <s v="User Service Request"/>
    <s v="Aminco Shankar"/>
    <s v="Bogati"/>
    <s v="Request for changing mobile number"/>
    <d v="2026-02-20T08:52:44"/>
    <s v="Administration Services"/>
    <s v="RTA"/>
    <x v="0"/>
    <s v="Service Desk"/>
    <s v="Mohamed Alajlani"/>
    <s v="Application"/>
    <s v="Application Services"/>
    <s v="Administrative Tasks"/>
    <s v="Low"/>
    <d v="2026-02-26T08:08:58"/>
    <d v="2026-02-26T08:08:55"/>
    <s v="Resolved"/>
    <s v="I called the user and informed him to contact his department coordinator or supervisor to update the mobile number from their side, as the request requires section manager approval. The user does not have a valid email account, and he acknowledged the information and 2 reminders call to check but he doesn't answer."/>
    <s v="No"/>
    <s v="techm_myalajlani"/>
    <s v="Desktop"/>
    <s v="User Education"/>
    <s v="User Education"/>
    <s v="V006271"/>
    <s v="Phone"/>
    <s v="USER TO CONFIRM"/>
    <s v="Standard"/>
    <s v="Aminco_SBBogati"/>
    <s v="Aminco_SBBogati@rta.ae"/>
    <s v="Within the Service Target"/>
  </r>
  <r>
    <s v="INC000001319204"/>
    <s v="User Service Request"/>
    <s v="Maram"/>
    <s v="Almuathen"/>
    <s v="Oracle Mobile Authenticator Reconfiguration on Personal Smart Phone"/>
    <d v="2026-02-20T08:50:09"/>
    <s v="Strategic Planning"/>
    <s v="RTA"/>
    <x v="1"/>
    <s v="Service Desk"/>
    <s v="Techm Hussein Aljayeh"/>
    <s v="Desktop"/>
    <s v="Personal Device Support"/>
    <s v="Personal Smart Phone"/>
    <s v="Low"/>
    <d v="2026-02-24T02:04:42"/>
    <d v="2026-02-20T10:39:22"/>
    <s v="Closed"/>
    <s v="Oracle Mobile Authenticator Request has been Completed Through Phone,User Confirm On the same Hence ticket Closed."/>
    <s v="No"/>
    <s v="Techm_HHAljayeh"/>
    <s v="Desktop"/>
    <s v="Configuration"/>
    <s v="RTA Email in Personal Smart Device"/>
    <n v="13737"/>
    <s v="Phone"/>
    <s v="Automated Resolution Reported"/>
    <s v="Standard"/>
    <s v="MSAlmuathen"/>
    <s v="Maram.Almuathen@rta.ae"/>
    <s v="Within the Service Target"/>
  </r>
  <r>
    <s v="INC000001319203"/>
    <s v="User Service Request"/>
    <s v="Aminco Shankar"/>
    <s v="Bogati"/>
    <s v="Password reset Request"/>
    <d v="2026-02-20T08:52:52"/>
    <s v="Administration Services"/>
    <s v="RTA"/>
    <x v="0"/>
    <s v="Service Desk"/>
    <s v="Mohamed Alajlani"/>
    <s v="Desktop"/>
    <s v="Profile"/>
    <s v="Password reset(RE)"/>
    <s v="Low"/>
    <d v="2026-02-24T02:04:44"/>
    <d v="2026-02-20T08:54:09"/>
    <s v="Closed"/>
    <s v="The password has been reset successfully and shared privately."/>
    <s v="No"/>
    <s v="techm_myalajlani"/>
    <s v="Desktop"/>
    <s v="Profile"/>
    <s v="Password Reset"/>
    <s v="V006271"/>
    <s v="Phone"/>
    <s v="Automated Resolution Reported"/>
    <s v="Standard"/>
    <s v="Aminco_SBBogati"/>
    <s v="Aminco_SBBogati@rta.ae"/>
    <s v="Within the Service Target"/>
  </r>
  <r>
    <s v="INC000001319198"/>
    <s v="User Service Request"/>
    <s v="Mohsin"/>
    <s v="Aftab"/>
    <s v="VPN Configuration Request"/>
    <d v="2026-02-20T08:41:17"/>
    <s v="Information Technology"/>
    <s v="RTA"/>
    <x v="4"/>
    <s v="Service Desk"/>
    <s v="Mohamed Alajlani"/>
    <s v="Desktop"/>
    <s v="Configuration"/>
    <s v="VPN Configuration"/>
    <s v="Low"/>
    <d v="2026-02-24T02:04:40"/>
    <d v="2026-02-20T08:41:37"/>
    <s v="Closed"/>
    <s v="The VPN connection has been reconfigured successfully."/>
    <s v="No"/>
    <s v="techm_myalajlani"/>
    <s v="Desktop"/>
    <s v="Configuration"/>
    <s v="VPN Configuration"/>
    <s v="V0034233"/>
    <s v="Phone"/>
    <s v="Automated Resolution Reported"/>
    <s v="Standard"/>
    <s v="qpros_maaftab"/>
    <s v="Qpros_Mohsin.Aftab@rta.ae"/>
    <s v="Within the Service Target"/>
  </r>
  <r>
    <s v="INC000001319191"/>
    <s v="User Service Request"/>
    <s v="Maram"/>
    <s v="Almuathen"/>
    <s v="Reset VPN QR code  (msalmuathen)"/>
    <d v="2026-02-20T08:35:23"/>
    <s v="Strategic Planning"/>
    <s v="RTA"/>
    <x v="1"/>
    <s v="Service Desk"/>
    <s v="Techm Hussein Aljayeh"/>
    <s v="Desktop"/>
    <s v="Configuration"/>
    <s v="VPN Configuration"/>
    <s v="Low"/>
    <d v="2026-02-24T02:04:36"/>
    <d v="2026-02-20T10:38:21"/>
    <s v="Closed"/>
    <s v="Reset VPN QR code Request has been Completed ,User Confirm On the same Hence ticket Closed."/>
    <s v="No"/>
    <s v="Techm_HHAljayeh"/>
    <s v="Desktop"/>
    <s v="Configuration"/>
    <s v="VPN Configuration"/>
    <n v="13737"/>
    <s v="Phone"/>
    <s v="Automated Resolution Reported"/>
    <s v="Standard"/>
    <s v="MSAlmuathen"/>
    <s v="Maram.Almuathen@rta.ae"/>
    <s v="Within the Service Target"/>
  </r>
  <r>
    <s v="INC000001319186"/>
    <s v="User Service Request"/>
    <s v="Fatma"/>
    <s v="Alblooshi"/>
    <s v="unlock account request"/>
    <d v="2026-02-20T08:29:51"/>
    <s v="Buses"/>
    <s v="RTA"/>
    <x v="5"/>
    <s v="Service Desk"/>
    <s v="Techm Hussein Aljayeh"/>
    <s v="Desktop"/>
    <s v="Profile"/>
    <s v="Account Lock Out"/>
    <s v="Low"/>
    <d v="2026-02-24T02:04:33"/>
    <d v="2026-02-20T10:37:03"/>
    <s v="Closed"/>
    <s v="User Account has been unlocked"/>
    <s v="No"/>
    <s v="Techm_HHAljayeh"/>
    <s v="Desktop"/>
    <s v="Profile"/>
    <s v="Account Lock Out"/>
    <n v="15115"/>
    <s v="Phone"/>
    <s v="Automated Resolution Reported"/>
    <s v="Standard"/>
    <s v="ffalblooshi"/>
    <s v="Fatma.FAlblooshi@rta.ae"/>
    <s v="Within the Service Target"/>
  </r>
  <r>
    <s v="INC000001319180"/>
    <s v="User Service Request"/>
    <s v="Sathyakumar"/>
    <s v="Kandasamy"/>
    <s v="unlock account request"/>
    <d v="2026-02-20T08:25:18"/>
    <s v="Transportation Systems"/>
    <s v="RTA"/>
    <x v="5"/>
    <s v="Service Desk"/>
    <s v="Techm Hussein Aljayeh"/>
    <s v="Desktop"/>
    <s v="Profile"/>
    <s v="Account Lock Out"/>
    <s v="Low"/>
    <d v="2026-02-24T02:04:30"/>
    <d v="2026-02-20T10:36:48"/>
    <s v="Closed"/>
    <s v="User Account has been unlocked"/>
    <s v="No"/>
    <s v="Techm_HHAljayeh"/>
    <s v="Desktop"/>
    <s v="Profile"/>
    <s v="Account Lock Out"/>
    <s v="V0028040"/>
    <s v="Phone"/>
    <s v="Automated Resolution Reported"/>
    <s v="Standard"/>
    <s v="ebm_skkandasamy"/>
    <s v="Ebm_Sathyakumar.Kandasamy@rta.ae"/>
    <s v="Within the Service Target"/>
  </r>
  <r>
    <s v="INC000001319174"/>
    <s v="User Service Request"/>
    <s v="Ismail"/>
    <s v="Khan"/>
    <s v="unlock account request"/>
    <d v="2026-02-20T08:17:25"/>
    <s v="Rail Planning &amp; Projects Development"/>
    <s v="RTA"/>
    <x v="6"/>
    <s v="Service Desk"/>
    <s v="Techm Hussein Aljayeh"/>
    <s v="Desktop"/>
    <s v="Profile"/>
    <s v="Account Lock Out"/>
    <s v="Low"/>
    <d v="2026-02-24T02:04:25"/>
    <d v="2026-02-20T10:36:31"/>
    <s v="Closed"/>
    <s v="User Account has been unlocked"/>
    <s v="No"/>
    <s v="Techm_HHAljayeh"/>
    <s v="Desktop"/>
    <s v="Profile"/>
    <s v="Account Lock Out"/>
    <n v="15279"/>
    <s v="Phone"/>
    <s v="Automated Resolution Reported"/>
    <s v="Standard"/>
    <s v="ikhankhan"/>
    <s v="Ismail.Khan@rta.ae"/>
    <s v="Within the Service Target"/>
  </r>
  <r>
    <s v="INC000001319169"/>
    <s v="User Service Request"/>
    <s v="Mohammad"/>
    <s v="Bastaki"/>
    <s v="unlock account request"/>
    <d v="2026-02-20T08:12:21"/>
    <s v="Commercial &amp; Investment"/>
    <s v="RTA"/>
    <x v="1"/>
    <s v="Service Desk"/>
    <s v="Mohamed Alajlani"/>
    <s v="Desktop"/>
    <s v="Profile"/>
    <s v="Account Lock Out"/>
    <s v="Low"/>
    <d v="2026-02-24T02:04:20"/>
    <d v="2026-02-20T08:12:39"/>
    <s v="Closed"/>
    <s v="The account has been unlocked successfully."/>
    <s v="Yes"/>
    <s v="techm_myalajlani"/>
    <s v="Desktop"/>
    <s v="Profile"/>
    <s v="Account Lock Out"/>
    <n v="10030"/>
    <s v="Phone"/>
    <s v="Automated Resolution Reported"/>
    <s v="Sensitive"/>
    <s v="moabastaki"/>
    <s v="Mohammad.Bastaki@RTA.ae"/>
    <s v="Within the Service Target"/>
  </r>
  <r>
    <s v="INC000001319168"/>
    <s v="User Service Restoration"/>
    <s v="Talal"/>
    <s v="Sabil Abdulla"/>
    <s v="Intranet Issue Pop-Up username and password frequently"/>
    <d v="2026-02-20T09:00:50"/>
    <s v="Parking"/>
    <s v="RTA"/>
    <x v="7"/>
    <s v="Service Desk"/>
    <s v="Techm Hussein Aljayeh"/>
    <s v="Desktop"/>
    <s v="Internet/Intranet Issues"/>
    <s v="Intranet issues(RE)"/>
    <s v="Medium"/>
    <d v="2026-02-24T02:04:49"/>
    <d v="2026-02-20T10:52:54"/>
    <s v="Closed"/>
    <s v="Issue Resolved Through Remote Access,User Confirm On the same Hence ticket closed  -Cleare cach  -reset browser  -remove temp -remove old password in credentail manager  -gpupdate /force -ipconfig /flushdns"/>
    <s v="No"/>
    <s v="Techm_HHAljayeh"/>
    <s v="Desktop"/>
    <s v="Internet / Intranet Issues"/>
    <s v="Intranet Issues"/>
    <n v="696"/>
    <s v="Phone"/>
    <s v="Automated Resolution Reported"/>
    <s v="Standard"/>
    <s v="tsabdulla"/>
    <s v="Talal.Abdulla@rta.ae"/>
    <s v="Within the Service Target"/>
  </r>
  <r>
    <s v="INC000001319154"/>
    <s v="User Service Request"/>
    <s v="Sameer"/>
    <s v="Gulshan Rai Sehgal"/>
    <s v="Guide the user to login to Automation system with Oracle Authenticator"/>
    <d v="2026-02-20T07:20:06"/>
    <s v="Commercial &amp; Investment"/>
    <s v="RTA"/>
    <x v="1"/>
    <s v="Service Desk"/>
    <s v="Techm Abdalbagee Hamed"/>
    <s v="Desktop"/>
    <s v="User Education"/>
    <s v="User Education"/>
    <s v="Low"/>
    <d v="2026-02-24T02:04:11"/>
    <d v="2026-02-20T07:20:31"/>
    <s v="Closed"/>
    <s v="Guide the user to login to Automation system with Oracle Authenticator."/>
    <s v="No"/>
    <s v="Techm_AMHamed"/>
    <s v="Desktop"/>
    <s v="User Education"/>
    <s v="User Education"/>
    <s v="V0033216"/>
    <s v="Phone"/>
    <s v="Automated Resolution Reported"/>
    <s v="Standard"/>
    <s v="tms_ssgulshanraisehg"/>
    <s v="Tms_Sameer.Gulshanraisehgal@rta.ae"/>
    <s v="Within the Service Target"/>
  </r>
  <r>
    <s v="INC000001319153"/>
    <s v="User Service Request"/>
    <s v="Ziyad"/>
    <s v="Mourched"/>
    <s v="Guide the user to login to Automation system with MS edge browser."/>
    <d v="2026-02-20T07:11:30"/>
    <s v="Buses"/>
    <s v="RTA"/>
    <x v="5"/>
    <s v="Service Desk"/>
    <s v="Techm Abdalbagee Hamed"/>
    <s v="Desktop"/>
    <s v="User Education"/>
    <s v="User Education"/>
    <s v="Low"/>
    <d v="2026-02-24T02:04:11"/>
    <d v="2026-02-20T07:11:42"/>
    <s v="Closed"/>
    <s v="Guide the user to login to Automation system with MS edge browser."/>
    <s v="No"/>
    <s v="Techm_AMHamed"/>
    <s v="Desktop"/>
    <s v="User Education"/>
    <s v="User Education"/>
    <n v="3610"/>
    <s v="Phone"/>
    <s v="Automated Resolution Reported"/>
    <s v="Standard"/>
    <s v="zcmourched"/>
    <s v="Ziyad.Mourched@rta.ae"/>
    <s v="Within the Service Target"/>
  </r>
  <r>
    <s v="INC000001319152"/>
    <s v="User Service Request"/>
    <s v="Hani"/>
    <s v="Abouzeid"/>
    <s v="VPN Configuration  Request"/>
    <d v="2026-02-20T07:09:47"/>
    <s v="Vehicles Licensing"/>
    <s v="RTA"/>
    <x v="3"/>
    <s v="Service Desk"/>
    <s v="Techm Abdalbagee Hamed"/>
    <s v="Desktop"/>
    <s v="Configuration"/>
    <s v="VPN Configuration"/>
    <s v="Low"/>
    <d v="2026-02-24T02:04:10"/>
    <d v="2026-02-20T07:10:17"/>
    <s v="Closed"/>
    <s v="VPN has been connected and working fine"/>
    <s v="No"/>
    <s v="Techm_AMHamed"/>
    <s v="Desktop"/>
    <s v="Configuration"/>
    <s v="VPN Configuration"/>
    <n v="15780"/>
    <s v="Phone"/>
    <s v="Automated Resolution Reported"/>
    <s v="Standard"/>
    <s v="hmabouzeid"/>
    <s v="Hani.Abouzeid@rta.ae"/>
    <s v="Within the Service Target"/>
  </r>
  <r>
    <s v="INC000001319145"/>
    <s v="User Service Request"/>
    <s v="Sameer"/>
    <s v="Gulshan Rai Sehgal"/>
    <s v="Guide the user to login to Automation system with Oracle Authenticator"/>
    <d v="2026-02-20T06:40:14"/>
    <s v="Commercial &amp; Investment"/>
    <s v="RTA"/>
    <x v="1"/>
    <s v="Service Desk"/>
    <s v="Techm Abdalbagee Hamed"/>
    <s v="Desktop"/>
    <s v="User Education"/>
    <s v="User Education"/>
    <s v="Low"/>
    <d v="2026-02-24T02:04:06"/>
    <d v="2026-02-20T06:40:27"/>
    <s v="Closed"/>
    <s v="Guide the user to login to Automation system with Oracle Authenticator."/>
    <s v="No"/>
    <s v="Techm_AMHamed"/>
    <s v="Desktop"/>
    <s v="User Education"/>
    <s v="User Education"/>
    <s v="V0033216"/>
    <s v="Phone"/>
    <s v="Automated Resolution Reported"/>
    <s v="Standard"/>
    <s v="tms_ssgulshanraisehg"/>
    <s v="Tms_Sameer.Gulshanraisehgal@rta.ae"/>
    <s v="Within the Service Target"/>
  </r>
  <r>
    <s v="INC000001319123"/>
    <s v="User Service Request"/>
    <s v="Surjeet"/>
    <s v="Samanta"/>
    <s v="Device error 0X133"/>
    <d v="2026-02-20T04:20:07"/>
    <s v="Information Technology"/>
    <s v="RTA"/>
    <x v="4"/>
    <s v="SCCM-Nexthink Support"/>
    <s v="Surjeet Samanta"/>
    <s v="Desktop"/>
    <s v="Proactive Monitoring"/>
    <s v="Proactive Action"/>
    <s v="Low"/>
    <d v="2026-02-24T02:03:51"/>
    <d v="2026-02-20T09:31:40"/>
    <s v="Closed"/>
    <s v="Required registry fix has been pushed to the affected devices.. No further action require"/>
    <s v="No"/>
    <s v="Techm_AMHamed"/>
    <s v="Desktop"/>
    <s v="Proactive Monitoring"/>
    <s v="Proactive Action"/>
    <s v="V0024624"/>
    <s v="Email"/>
    <s v="Automated Resolution Reported"/>
    <s v="Standard"/>
    <s v="techm_sjsamanta"/>
    <s v="Techm_Surjeet.Samanta@rta.ae"/>
    <s v="Within the Service Target"/>
  </r>
  <r>
    <s v="INC000001319118"/>
    <s v="User Service Request"/>
    <s v="Saeed"/>
    <s v="Alfalasi"/>
    <s v="VPN Configuration Request"/>
    <d v="2026-02-20T03:54:35"/>
    <s v="Vehicles Licensing"/>
    <s v="RTA"/>
    <x v="3"/>
    <s v="Service Desk"/>
    <s v="Mohamed Alajlani"/>
    <s v="Desktop"/>
    <s v="Configuration"/>
    <s v="VPN Configuration"/>
    <s v="Low"/>
    <d v="2026-02-26T08:36:36"/>
    <m/>
    <s v="Pending"/>
    <m/>
    <s v="No"/>
    <s v="Techm_AMHamed"/>
    <s v="Desktop"/>
    <s v="Configuration"/>
    <s v="VPN Configuration"/>
    <n v="15960"/>
    <s v="Email"/>
    <s v="Client Action Required"/>
    <s v="Standard"/>
    <s v="sjalfalasi"/>
    <s v="Saeed.JAlfalasi@rta.ae"/>
    <s v="Within the Service Target"/>
  </r>
  <r>
    <s v="INC000001319114"/>
    <s v="User Service Request"/>
    <s v="Layla"/>
    <s v="Ali"/>
    <s v="VPN configuration Request"/>
    <d v="2026-02-20T03:31:14"/>
    <s v="Vehicles Licensing"/>
    <s v="RTA"/>
    <x v="3"/>
    <s v="Service Desk"/>
    <s v="Techm Abdalbagee Hamed"/>
    <s v="Desktop"/>
    <s v="Configuration"/>
    <s v="VPN Configuration"/>
    <s v="Low"/>
    <d v="2026-02-24T02:03:47"/>
    <d v="2026-02-20T03:31:44"/>
    <s v="Closed"/>
    <s v="VPN account have been configured and connected."/>
    <s v="No"/>
    <s v="Techm_AMHamed"/>
    <s v="Desktop"/>
    <s v="Configuration"/>
    <s v="VPN Configuration"/>
    <n v="13678"/>
    <s v="Phone"/>
    <s v="Automated Resolution Reported"/>
    <s v="Standard"/>
    <s v="LIAli"/>
    <s v="Layla.Ali@rta.ae"/>
    <s v="Within the Service Target"/>
  </r>
  <r>
    <s v="INC000001319113"/>
    <s v="User Service Request"/>
    <s v="Hassan"/>
    <s v="Marzoughi"/>
    <s v="Guide user to unlock through Self services portal."/>
    <d v="2026-02-20T03:16:30"/>
    <s v="Passengers Transport Activities Monitoring"/>
    <s v="RTA"/>
    <x v="5"/>
    <s v="Service Desk"/>
    <s v="Techm Abdalbagee Hamed"/>
    <s v="Desktop"/>
    <s v="User Education"/>
    <s v="User Education"/>
    <s v="Low"/>
    <d v="2026-02-24T02:03:46"/>
    <d v="2026-02-20T03:16:51"/>
    <s v="Closed"/>
    <s v="As per the request, SMS with Unlock self-services URL has been shared with the user."/>
    <s v="No"/>
    <s v="Techm_AMHamed"/>
    <s v="Desktop"/>
    <s v="User Education"/>
    <s v="User Education"/>
    <n v="15368"/>
    <s v="Phone"/>
    <s v="Automated Resolution Reported"/>
    <s v="Standard"/>
    <s v="hemarzoughi"/>
    <s v="Hassan.Marzoughi@rta.ae"/>
    <s v="Within the Service Target"/>
  </r>
  <r>
    <s v="INC000001319097"/>
    <s v="User Service Request"/>
    <s v="Manal Mohammed"/>
    <s v="Al Rayes"/>
    <s v="Network Folder Change Access"/>
    <d v="2026-02-20T02:28:13"/>
    <s v="Corporate Technology Support Services CEO"/>
    <s v="RTA"/>
    <x v="4"/>
    <s v="Service Desk"/>
    <s v="Techm Abdalbagee Hamed"/>
    <s v="Incident"/>
    <s v="Self-service"/>
    <s v="Mendix"/>
    <s v="Low"/>
    <d v="2026-02-24T02:03:33"/>
    <d v="2026-02-20T11:24:10"/>
    <s v="Closed"/>
    <s v="Share folder has been remapped  \\rta.global\fileserver001\Share5$\CTSS\TSG\"/>
    <s v="No"/>
    <s v="mendix"/>
    <s v="Desktop"/>
    <s v="Profile"/>
    <s v="Re -Map Share Folder"/>
    <n v="3128"/>
    <s v="Self Service"/>
    <s v="Automated Resolution Reported"/>
    <s v="Sensitive"/>
    <s v="mmrayes"/>
    <s v="manal.alrayes@rta.ae"/>
    <s v="Within the Service Target"/>
  </r>
  <r>
    <s v="INC000001319094"/>
    <s v="User Service Request"/>
    <s v="Sarafudheen"/>
    <s v="Mukari"/>
    <s v="Guide user to unlock through Self services portal."/>
    <d v="2026-02-20T02:25:11"/>
    <s v="Maintenance &amp; Services"/>
    <s v="RTA"/>
    <x v="5"/>
    <s v="Service Desk"/>
    <s v="Techm Abdalbagee Hamed"/>
    <s v="Desktop"/>
    <s v="User Education"/>
    <s v="User Education"/>
    <s v="Low"/>
    <d v="2026-02-24T02:03:32"/>
    <d v="2026-02-20T02:25:25"/>
    <s v="Closed"/>
    <s v="As per the request, SMS with Unlock self-services URL has been shared with the user."/>
    <s v="No"/>
    <s v="Techm_AMHamed"/>
    <s v="Desktop"/>
    <s v="User Education"/>
    <s v="User Education"/>
    <n v="5257"/>
    <s v="Phone"/>
    <s v="Automated Resolution Reported"/>
    <s v="Standard"/>
    <s v="smmukari"/>
    <s v="Sarafudheen.Mukari@rta.ae"/>
    <s v="Within the Service Target"/>
  </r>
  <r>
    <s v="INC000001319076"/>
    <s v="User Service Request"/>
    <s v="Reem"/>
    <s v="Alsuwaidi"/>
    <s v="Request to update AV."/>
    <d v="2026-02-20T00:20:25"/>
    <s v="Finance"/>
    <s v="RTA"/>
    <x v="0"/>
    <s v="Service Desk"/>
    <s v="Techm Abdalbagee Hamed"/>
    <s v="Desktop"/>
    <s v="AV Update ( Antivirus)"/>
    <s v="AV Definition Update"/>
    <s v="Low"/>
    <d v="2026-02-23T02:07:35"/>
    <d v="2026-02-20T00:20:58"/>
    <s v="Closed"/>
    <s v="AV Symantec has been updated using live update option."/>
    <s v="No"/>
    <s v="Techm_AMHamed"/>
    <s v="Desktop"/>
    <s v="AV Update ( Antivirus)"/>
    <s v="AV Definition Update"/>
    <n v="13877"/>
    <s v="Phone"/>
    <s v="Automated Resolution Reported"/>
    <s v="Standard"/>
    <s v="RIALsuwaidi"/>
    <s v="Reem.AAlsuwaidi@rta.ae"/>
    <s v="Within the Service Target"/>
  </r>
  <r>
    <s v="INC000001319065"/>
    <s v="User Service Request"/>
    <s v="Amna"/>
    <s v="Alboom"/>
    <s v="VPN configuration  Request"/>
    <d v="2026-02-19T22:37:36"/>
    <s v="Enterprise Command &amp; Control"/>
    <s v="RTA"/>
    <x v="1"/>
    <s v="Service Desk"/>
    <s v="Techm Wahbaelrahman Hassan"/>
    <s v="Desktop"/>
    <s v="Configuration"/>
    <s v="VPN Configuration"/>
    <s v="Low"/>
    <d v="2026-02-23T02:07:30"/>
    <d v="2026-02-19T22:40:01"/>
    <s v="Closed"/>
    <s v="VPN has been configured on user machine successfully"/>
    <s v="No"/>
    <s v="Techm_WAHassan"/>
    <s v="Desktop"/>
    <s v="Configuration"/>
    <s v="VPN Configuration"/>
    <n v="15977"/>
    <s v="Phone"/>
    <s v="Automated Resolution Reported"/>
    <s v="Standard"/>
    <s v="aaalboom"/>
    <s v="Amna.Alboom@rta.ae"/>
    <s v="Within the Service Target"/>
  </r>
  <r>
    <s v="INC000001319054"/>
    <s v="User Service Request"/>
    <s v="Nijood"/>
    <s v="Zarefa"/>
    <s v="Required Temporary iPad for Demo and Testing"/>
    <d v="2026-02-19T21:44:01"/>
    <s v="Information Technology"/>
    <s v="RTA"/>
    <x v="4"/>
    <s v="OnSite  EUS"/>
    <s v="Techm Elsayed Mohamed"/>
    <s v="Desktop"/>
    <s v="Temporary Hardware"/>
    <s v="IPAD"/>
    <s v="Low"/>
    <d v="2026-02-26T06:53:40"/>
    <m/>
    <s v="Pending"/>
    <m/>
    <s v="No"/>
    <s v="Techm_WAHassan"/>
    <m/>
    <m/>
    <m/>
    <n v="15463"/>
    <s v="Email"/>
    <s v="Pending for Team Lead Approval"/>
    <s v="Standard"/>
    <s v="ndzarefa"/>
    <s v="Nijood.Zarefa@rta.ae"/>
    <s v="Within the Service Target"/>
  </r>
  <r>
    <s v="INC000001319051"/>
    <s v="User Service Restoration"/>
    <s v="Maher"/>
    <s v="Hamodah-Contractor"/>
    <s v="Unknown Pop up window  Issue"/>
    <d v="2026-02-19T21:26:15"/>
    <s v="Innovation &amp; Pioneering"/>
    <s v="RTA"/>
    <x v="1"/>
    <s v="Service Desk"/>
    <s v="Techm Wahbaelrahman Hassan"/>
    <s v="Desktop"/>
    <s v="OS Issue"/>
    <s v="Blue Screen Error"/>
    <s v="Medium"/>
    <d v="2026-02-26T08:20:01"/>
    <m/>
    <s v="Pending"/>
    <m/>
    <s v="No"/>
    <s v="Techm_WAHassan"/>
    <m/>
    <m/>
    <m/>
    <s v="V0030741"/>
    <s v="Email"/>
    <s v="Local Site Action Required"/>
    <s v="Standard"/>
    <s v="epic_mfhamodah"/>
    <s v="Epic_Maher.Hamodah@rta.ae"/>
    <s v="Within the Service Target"/>
  </r>
  <r>
    <s v="INC000001319050"/>
    <s v="User Service Restoration"/>
    <s v="Amna"/>
    <s v="Ibrahim"/>
    <s v="Single Risk Event: machine RTA-CAS-CSC-650 infected with Hosts File Change, action Details pending"/>
    <d v="2026-02-19T21:15:20"/>
    <s v="Customer Happiness"/>
    <s v="RTA"/>
    <x v="0"/>
    <s v="OnSite  EUS"/>
    <s v="Techm Osama Abdullatif"/>
    <s v="Desktop"/>
    <s v="Virus Issue"/>
    <s v="Virus issue"/>
    <s v="Critical"/>
    <d v="2026-02-23T08:46:00"/>
    <d v="2026-02-23T08:45:50"/>
    <s v="Resolved"/>
    <e v="#NAME?"/>
    <s v="No"/>
    <s v="Techm_WAHassan"/>
    <s v="Desktop"/>
    <s v="Virus Issue"/>
    <s v="Virus issue"/>
    <n v="15695"/>
    <s v="Email"/>
    <s v="USER TO CONFIRM"/>
    <s v="Standard"/>
    <s v="asaiibrahim"/>
    <s v="Amna.Ibrahim@rta.ae"/>
    <s v="Within the Service Target"/>
  </r>
  <r>
    <s v="INC000001319042"/>
    <s v="User Service Request"/>
    <s v="Roshan"/>
    <s v="Prasad"/>
    <s v="(Vectra) CSC Alert - Outbound Communication towards Suspicious Domain-19022026-03"/>
    <d v="2026-02-19T20:06:47"/>
    <s v="Licensing Systems"/>
    <s v="RTA"/>
    <x v="3"/>
    <s v="Service Desk"/>
    <s v="Techm Wahbaelrahman Hassan"/>
    <s v="Desktop"/>
    <s v="Proactive Monitoring"/>
    <s v="Proactive Action"/>
    <s v="Low"/>
    <d v="2026-02-23T02:07:21"/>
    <d v="2026-02-19T20:09:09"/>
    <s v="Closed"/>
    <s v="Based on user response. We will continue to monitor the system and report if any such alerts are received again. Hence ticket closed"/>
    <s v="No"/>
    <s v="Techm_WAHassan"/>
    <s v="Desktop"/>
    <s v="Proactive Monitoring"/>
    <s v="Proactive Action"/>
    <n v="15828"/>
    <s v="Email"/>
    <s v="Automated Resolution Reported"/>
    <s v="Standard"/>
    <s v="rdprasad"/>
    <s v="Roshan.Prasad@rta.ae"/>
    <s v="Within the Service Target"/>
  </r>
  <r>
    <s v="INC000001319040"/>
    <s v="User Service Request"/>
    <s v="United Mengxia"/>
    <s v="Wang"/>
    <s v="CSC Alert- VPN_Authentication failed multiple times for user 'UNITED_MWWANG'-19022026-05"/>
    <d v="2026-02-19T20:02:12"/>
    <s v="Automatic Collection Systems"/>
    <s v="RTA"/>
    <x v="4"/>
    <s v="Service Desk"/>
    <s v="Techm Wahbaelrahman Hassan"/>
    <s v="Desktop"/>
    <s v="Proactive Monitoring"/>
    <s v="Proactive Action"/>
    <s v="Low"/>
    <d v="2026-02-24T02:03:14"/>
    <d v="2026-02-20T21:39:29"/>
    <s v="Closed"/>
    <s v="According to the received confirmation from the relevant team, and the user response ticket has been closed"/>
    <s v="No"/>
    <s v="Techm_WAHassan"/>
    <s v="Desktop"/>
    <s v="Proactive Monitoring"/>
    <s v="Proactive Action"/>
    <s v="V006613"/>
    <s v="Email"/>
    <s v="Automated Resolution Reported"/>
    <s v="Standard"/>
    <s v="United_MWWang"/>
    <s v="United_Mengxia.Wang@rta.ae"/>
    <s v="Within the Service Target"/>
  </r>
  <r>
    <s v="INC000001319037"/>
    <s v="User Service Request"/>
    <s v="Hussain"/>
    <s v="Jamshidi"/>
    <s v="CSC Alert- VPN_Authentication failed multiple times for user 'hejamshidi'-19022026-04"/>
    <d v="2026-02-19T19:36:17"/>
    <s v="Parkin"/>
    <s v="RTA"/>
    <x v="8"/>
    <s v="Service Desk"/>
    <s v="Techm Wahbaelrahman Hassan"/>
    <s v="Desktop"/>
    <s v="Proactive Monitoring"/>
    <s v="Proactive Action"/>
    <s v="Low"/>
    <d v="2026-02-25T09:27:39"/>
    <d v="2026-02-25T09:27:36"/>
    <s v="Resolved"/>
    <s v="According to the user respond and confirmation received over email from the relevant team the ticket is closed"/>
    <s v="No"/>
    <s v="Techm_WAHassan"/>
    <s v="Desktop"/>
    <s v="Proactive Monitoring"/>
    <s v="Proactive Action"/>
    <n v="11812"/>
    <s v="Email"/>
    <s v="USER TO CONFIRM"/>
    <s v="Standard"/>
    <s v="HEJamshidi"/>
    <s v="Hussain.Jamshidi@rta.ae"/>
    <s v="Within the Service Target"/>
  </r>
  <r>
    <s v="INC000001319034"/>
    <s v="User Service Request"/>
    <s v="Amr"/>
    <s v="Moussa"/>
    <s v="Password reset Request"/>
    <d v="2026-02-19T19:22:27"/>
    <s v="Customer Happiness"/>
    <s v="RTA"/>
    <x v="0"/>
    <s v="Service Desk"/>
    <s v="Techm Wahbaelrahman Hassan"/>
    <s v="Desktop"/>
    <s v="Profile"/>
    <s v="Password reset(RE)"/>
    <s v="Low"/>
    <d v="2026-02-23T02:07:18"/>
    <d v="2026-02-19T19:23:53"/>
    <s v="Closed"/>
    <e v="#NAME?"/>
    <s v="No"/>
    <s v="Techm_WAHassan"/>
    <s v="Desktop"/>
    <s v="Profile"/>
    <s v="Password Reset"/>
    <s v="V0033776"/>
    <s v="Phone"/>
    <s v="Automated Resolution Reported"/>
    <s v="Standard"/>
    <s v="tmebs_aamoussa"/>
    <s v="Tmebs_Amr.Moussa@rta.ae"/>
    <s v="Within the Service Target"/>
  </r>
  <r>
    <s v="INC000001319032"/>
    <s v="User Service Restoration"/>
    <s v="Ead Rashid"/>
    <s v="Al Mutlk"/>
    <s v="MS Excel Issue"/>
    <d v="2026-02-19T19:16:57"/>
    <s v="Buses"/>
    <s v="RTA"/>
    <x v="5"/>
    <s v="Service Desk"/>
    <s v="Techm Wahbaelrahman Hassan"/>
    <s v="Desktop"/>
    <s v="RTA Non standard application  Incidents"/>
    <s v="MS office professional"/>
    <s v="Medium"/>
    <d v="2026-02-23T02:07:17"/>
    <d v="2026-02-19T19:21:56"/>
    <s v="Closed"/>
    <s v="- Repaired MS Office Online  - User has confirmed the solution; hence, ticket closed"/>
    <s v="No"/>
    <s v="Techm_WAHassan"/>
    <s v="Desktop"/>
    <s v="RTA Non standard application  Incidents"/>
    <s v="MS Office Professional"/>
    <n v="4868"/>
    <s v="Phone"/>
    <s v="Automated Resolution Reported"/>
    <s v="Standard"/>
    <s v="eralmutlk"/>
    <s v="ead.almutlk@rta.ae"/>
    <s v="Within the Service Target"/>
  </r>
  <r>
    <s v="INC000001319022"/>
    <s v="User Service Request"/>
    <s v="Syed"/>
    <s v="Mohiuddin Afroz"/>
    <s v="User education"/>
    <d v="2026-02-19T17:48:05"/>
    <s v="Traffic"/>
    <s v="RTA"/>
    <x v="7"/>
    <s v="Service Desk"/>
    <s v="Techm Wahbaelrahman Hassan"/>
    <s v="Desktop"/>
    <s v="User Education"/>
    <s v="User Education"/>
    <s v="Low"/>
    <d v="2026-02-23T02:07:12"/>
    <d v="2026-02-19T17:49:40"/>
    <s v="Closed"/>
    <s v="Assisted user with unlocking his account using self-service link successfully"/>
    <s v="No"/>
    <s v="Techm_WAHassan"/>
    <s v="Desktop"/>
    <s v="User Education"/>
    <s v="User Education"/>
    <n v="3686"/>
    <s v="Phone"/>
    <s v="Automated Resolution Reported"/>
    <s v="Standard"/>
    <s v="SMAfroz"/>
    <s v="Syed.Afroz@rta.ae"/>
    <s v="Within the Service Target"/>
  </r>
  <r>
    <s v="INC000001319018"/>
    <s v="User Service Request"/>
    <s v="Fatma"/>
    <s v="Almaqbali"/>
    <s v="CSC Alert : Scan Failure Detected -06022026-06"/>
    <d v="2026-02-19T17:20:41"/>
    <s v="Intelligent Traffic System"/>
    <s v="RTA"/>
    <x v="7"/>
    <s v="OnSite  EUS"/>
    <s v="Techm Mazin Kinaish"/>
    <s v="Desktop"/>
    <s v="Proactive Monitoring"/>
    <s v="Proactive Action"/>
    <s v="Low"/>
    <d v="2026-02-23T09:06:26"/>
    <d v="2026-02-23T09:06:25"/>
    <s v="Resolved"/>
    <s v="Delete unwanted software's from control panel / empty recycle bin / disable windows search indexing   disable browser plug in / run registry cleaner   Remove old user's profiles from C drive   Shrink space from D drive and added to C drive   restart the machine"/>
    <s v="No"/>
    <s v="Techm_WAHassan"/>
    <s v="Desktop"/>
    <s v="Proactive Monitoring"/>
    <s v="Proactive Action"/>
    <n v="12642"/>
    <s v="Email"/>
    <s v="USER TO CONFIRM"/>
    <s v="Standard"/>
    <s v="FRAlmaqbali"/>
    <s v="Fatma.Almaqbali@rta.ae"/>
    <s v="Within the Service Target"/>
  </r>
  <r>
    <s v="INC000001319016"/>
    <s v="User Service Request"/>
    <s v="Techvista Adnan"/>
    <s v="Ahmed"/>
    <s v="CSC Alert:VPN user (&quot;TECHVISTA_AAAHMED&quot;) access from outside the approved country-19022026-03"/>
    <d v="2026-02-19T17:11:19"/>
    <s v="Intelligent Traffic System"/>
    <s v="RTA"/>
    <x v="7"/>
    <s v="Service Desk"/>
    <s v="Techm Wahbaelrahman Hassan"/>
    <s v="Desktop"/>
    <s v="Proactive Monitoring"/>
    <s v="Proactive Action"/>
    <s v="Low"/>
    <d v="2026-02-25T13:27:00"/>
    <d v="2026-02-25T13:26:56"/>
    <s v="Resolved"/>
    <s v="to be Closed as Duplicate with INC000001317730"/>
    <s v="No"/>
    <s v="Techm_WAHassan"/>
    <s v="Desktop"/>
    <s v="Proactive Monitoring"/>
    <s v="Proactive Action"/>
    <s v="V003332"/>
    <s v="Email"/>
    <s v="USER TO CONFIRM"/>
    <s v="Standard"/>
    <s v="Techvista_AAAhmed"/>
    <s v="Techvista_Adnan.Ahmed@rta.ae"/>
    <s v="Within the Service Target"/>
  </r>
  <r>
    <s v="INC000001319014"/>
    <s v="User Service Restoration"/>
    <s v="Shamsa"/>
    <s v="Faraj"/>
    <s v="Single Risk Event: machine RTA-CAS-HRD-130 infected with ACM.Rgsvr-CPE!g1, action Details pending"/>
    <d v="2026-02-19T17:09:57"/>
    <s v="Human Resources &amp; Development"/>
    <s v="RTA"/>
    <x v="0"/>
    <s v="OnSite  EUS"/>
    <s v="Ali Adam"/>
    <s v="Desktop"/>
    <s v="Virus Issue"/>
    <s v="Virus issue"/>
    <s v="Critical"/>
    <d v="2026-02-23T12:33:07"/>
    <d v="2026-02-23T12:32:58"/>
    <s v="Resolved"/>
    <s v="- Full scan completed and 0 file infected."/>
    <s v="No"/>
    <s v="Techm_WAHassan"/>
    <s v="Desktop"/>
    <s v="Virus Issue"/>
    <s v="Virus issue"/>
    <n v="14560"/>
    <s v="Email"/>
    <s v="USER TO CONFIRM"/>
    <s v="Standard"/>
    <s v="SMFaraj"/>
    <s v="Shamsa.Faraj@rta.ae"/>
    <s v="Within the Service Target"/>
  </r>
  <r>
    <s v="INC000001318998"/>
    <s v="User Service Request"/>
    <s v="Web Jet"/>
    <s v="Alert"/>
    <s v="[HPWJA] Cyan Cartridge Supply Threshold HP LaserJet 700 color MFP M775 HP Only, HP Only\Mo"/>
    <d v="2026-02-19T16:03:26"/>
    <s v="Information Technology"/>
    <s v="RTA"/>
    <x v="4"/>
    <s v="OnSite  EUS"/>
    <s v="Mohamed Nishad Usman"/>
    <s v="Printer"/>
    <s v="Toner"/>
    <s v="Toner Request- Proactive Webjet"/>
    <s v="Low"/>
    <d v="2026-02-26T06:53:39"/>
    <m/>
    <s v="Pending"/>
    <m/>
    <s v="No"/>
    <s v="wja"/>
    <m/>
    <m/>
    <m/>
    <m/>
    <s v="Email"/>
    <s v="Asset Collection from Stores"/>
    <s v="Standard"/>
    <s v="wja"/>
    <s v="wja@rta.global"/>
    <s v="Within the Service Target"/>
  </r>
  <r>
    <s v="INC000001318997"/>
    <s v="User Service Request"/>
    <s v="Web Jet"/>
    <s v="Alert"/>
    <s v="[HPWJA] Gray Ink Cartridge Supply Threshold HP Designjet T7200 HP Only, HP Only\Localy Con"/>
    <d v="2026-02-19T16:00:30"/>
    <s v="Information Technology"/>
    <s v="RTA"/>
    <x v="4"/>
    <s v="OnSite  EUS"/>
    <s v="Techm Omer Idris"/>
    <s v="Printer"/>
    <s v="Toner"/>
    <s v="Toner Request- Proactive Webjet"/>
    <s v="Low"/>
    <d v="2026-02-25T11:22:13"/>
    <d v="2026-02-25T11:22:05"/>
    <s v="Resolved"/>
    <s v="Gray Ink Cartridge has been replaced"/>
    <s v="No"/>
    <s v="wja"/>
    <s v="Printer"/>
    <s v="Toner"/>
    <s v="Toner Request- Proactive Webjet"/>
    <m/>
    <s v="Email"/>
    <s v="USER TO CONFIRM"/>
    <s v="Standard"/>
    <s v="wja"/>
    <s v="wja@rta.global"/>
    <s v="Within the Service Target"/>
  </r>
  <r>
    <s v="INC000001318996"/>
    <s v="User Service Request"/>
    <s v="Web Jet"/>
    <s v="Alert"/>
    <s v="[HPWJA] Cyan Cartridge Supply Threshold HP Color LaserJet M553 HP Only, HP Only\Models\M55"/>
    <d v="2026-02-19T16:00:30"/>
    <s v="Information Technology"/>
    <s v="RTA"/>
    <x v="4"/>
    <s v="OnSite  EUS"/>
    <s v="Mohamed Nishad Usman"/>
    <s v="Printer"/>
    <s v="Toner"/>
    <s v="Toner Request- Proactive Webjet"/>
    <s v="Low"/>
    <d v="2026-02-23T08:42:36"/>
    <d v="2026-02-23T08:42:33"/>
    <s v="Resolved"/>
    <s v="Duplicate Ticket INC000001318998"/>
    <s v="No"/>
    <s v="wja"/>
    <s v="Printer"/>
    <s v="Toner"/>
    <s v="Toner Request- Proactive Webjet"/>
    <m/>
    <s v="Email"/>
    <s v="Customer Follow-Up Required"/>
    <s v="Standard"/>
    <s v="wja"/>
    <s v="wja@rta.global"/>
    <s v="Within the Service Target"/>
  </r>
  <r>
    <s v="INC000001318975"/>
    <s v="User Service Request"/>
    <s v="Nidal"/>
    <s v="Hanbali"/>
    <s v="Software Installing Request"/>
    <d v="2026-02-19T15:02:14"/>
    <s v="Strategic Planning"/>
    <s v="RTA"/>
    <x v="1"/>
    <s v="OnSite  EUS"/>
    <s v="Mohamed Al Taweel"/>
    <s v="Incident"/>
    <s v="Self-service"/>
    <s v="Mendix"/>
    <s v="Low"/>
    <d v="2026-02-26T07:35:02"/>
    <d v="2026-02-26T07:34:58"/>
    <s v="Resolved"/>
    <s v="Visual studio 2017  has been installed successfully  CMDB updated"/>
    <s v="No"/>
    <s v="mendix"/>
    <s v="Desktop"/>
    <s v="RTA Non standard application  Request"/>
    <s v="Non-listed Application/Software"/>
    <n v="10127"/>
    <s v="Self Service"/>
    <s v="USER TO CONFIRM"/>
    <s v="Standard"/>
    <s v="nhhanbali"/>
    <s v="Nidal.Hanbali@rta.ae"/>
    <s v="Within the Service Target"/>
  </r>
  <r>
    <s v="INC000001318972"/>
    <s v="User Service Request"/>
    <s v="Amal"/>
    <s v="Suliman"/>
    <s v="User Education"/>
    <d v="2026-02-19T14:59:35"/>
    <s v="Development &amp; Corporate Performance"/>
    <s v="RTA"/>
    <x v="1"/>
    <s v="Service Desk"/>
    <s v="Techm Ghaya Hamad"/>
    <s v="Desktop"/>
    <s v="User Education"/>
    <s v="User Education"/>
    <s v="Low"/>
    <d v="2026-02-23T02:06:59"/>
    <d v="2026-02-19T15:00:40"/>
    <s v="Closed"/>
    <s v="Reset password has been done from SelfService"/>
    <s v="No"/>
    <s v="Techm_GAHamad"/>
    <s v="Desktop"/>
    <s v="User Education"/>
    <s v="User Education"/>
    <n v="2850"/>
    <s v="Phone"/>
    <s v="Automated Resolution Reported"/>
    <s v="Standard"/>
    <s v="aasuliman"/>
    <s v="Amal.Suliman@rta.ae"/>
    <s v="Within the Service Target"/>
  </r>
  <r>
    <s v="INC000001318970"/>
    <s v="User Service Request"/>
    <s v="Syed"/>
    <s v="Ali"/>
    <s v="Update Power Bi Desktop Request"/>
    <d v="2026-02-19T14:57:31"/>
    <s v="Information Technology"/>
    <s v="RTA"/>
    <x v="4"/>
    <s v="Service Desk"/>
    <s v="Techm Ghaya Hamad"/>
    <s v="Desktop"/>
    <s v="RTA Non standard application  Request"/>
    <s v="Non-listed Application/Software"/>
    <s v="Low"/>
    <d v="2026-02-23T02:06:58"/>
    <d v="2026-02-19T15:01:16"/>
    <s v="Closed"/>
    <s v="Power Bi Desktop has been updated"/>
    <s v="No"/>
    <s v="Techm_GAHamad"/>
    <s v="Desktop"/>
    <s v="RTA Non standard application  Request"/>
    <s v="Non-listed Application/Software"/>
    <n v="10670"/>
    <s v="Phone"/>
    <s v="Automated Resolution Reported"/>
    <s v="Standard"/>
    <s v="saali"/>
    <s v="Syed.AAli@rta.ae"/>
    <s v="Within the Service Target"/>
  </r>
  <r>
    <s v="INC000001318969"/>
    <s v="User Service Request"/>
    <s v="Fatma"/>
    <s v="Ahli"/>
    <s v="Network cable request"/>
    <d v="2026-02-19T14:55:35"/>
    <s v="Customer Happiness"/>
    <s v="RTA"/>
    <x v="0"/>
    <s v="OnSite  EUS"/>
    <s v="Ali Adam"/>
    <s v="Incident"/>
    <s v="Self-service"/>
    <s v="Mendix"/>
    <s v="Low"/>
    <d v="2026-02-26T06:53:39"/>
    <m/>
    <s v="Pending"/>
    <m/>
    <s v="No"/>
    <s v="mendix"/>
    <m/>
    <m/>
    <m/>
    <n v="15978"/>
    <s v="Self Service"/>
    <s v="Asset Collection from Stores"/>
    <s v="Standard"/>
    <s v="falahli"/>
    <s v="Fatma.AlAhli@rta.ae"/>
    <s v="Within the Service Target"/>
  </r>
  <r>
    <s v="INC000001318967"/>
    <s v="User Service Request"/>
    <s v="Alia"/>
    <s v="Almarzooqi"/>
    <s v="VPN Request"/>
    <d v="2026-02-19T14:49:42"/>
    <s v="Finance"/>
    <s v="RTA"/>
    <x v="0"/>
    <s v="Service Desk"/>
    <s v="Aryam Juma Mohammad Albasata Albasata"/>
    <s v="Desktop"/>
    <s v="Configuration"/>
    <s v="VPN Configuration"/>
    <s v="Low"/>
    <d v="2026-02-23T02:06:57"/>
    <d v="2026-02-19T14:51:58"/>
    <s v="Closed"/>
    <s v="configured vpn for the user successfully"/>
    <s v="No"/>
    <s v="techm_ajalbasata"/>
    <s v="Desktop"/>
    <s v="Configuration"/>
    <s v="VPN Configuration"/>
    <n v="15951"/>
    <s v="Phone"/>
    <s v="Automated Resolution Reported"/>
    <s v="Standard"/>
    <s v="aabalmarzooqi"/>
    <s v="Alia.Almarzooqi@rta.ae"/>
    <s v="Within the Service Target"/>
  </r>
  <r>
    <s v="INC000001318963"/>
    <s v="User Service Restoration"/>
    <s v="Meera"/>
    <s v="Alketbi"/>
    <s v="Windows 11 activation Request"/>
    <d v="2026-02-19T14:47:24"/>
    <s v="Intelligent Traffic System"/>
    <s v="RTA"/>
    <x v="7"/>
    <s v="SCCM-Nexthink Support"/>
    <s v="Surjeet Samanta"/>
    <s v="Desktop"/>
    <s v="OS Issue"/>
    <s v="OS Activation Issue"/>
    <s v="Medium"/>
    <d v="2026-02-26T06:53:39"/>
    <m/>
    <s v="Pending"/>
    <m/>
    <s v="No"/>
    <s v="Techm_GAHamad"/>
    <m/>
    <m/>
    <m/>
    <n v="14634"/>
    <s v="Phone"/>
    <s v="Support Contact Hold"/>
    <s v="Standard"/>
    <s v="MSAlketbi"/>
    <s v="Meera.SAlketbi@rta.ae"/>
    <s v="Within the Service Target"/>
  </r>
  <r>
    <s v="INC000001318941"/>
    <s v="User Service Request"/>
    <s v="Andrea"/>
    <s v="Ladisla"/>
    <s v="Software Installing Request"/>
    <d v="2026-02-19T14:13:57"/>
    <s v="Rail Planning &amp; Projects Development"/>
    <s v="RTA"/>
    <x v="6"/>
    <s v="Service Desk"/>
    <s v="Techm Ghaya Hamad"/>
    <s v="Incident"/>
    <s v="Self-service"/>
    <s v="Mendix"/>
    <s v="Low"/>
    <d v="2026-02-23T11:25:51"/>
    <d v="2026-02-23T11:25:41"/>
    <s v="Resolved"/>
    <s v="Email from SMD -Unfortunately, OneDrive is not approved service within RTA as of now"/>
    <s v="No"/>
    <s v="mendix"/>
    <s v="Desktop"/>
    <s v="RTA Non standard application  Request"/>
    <s v="Non-listed Application/Software"/>
    <n v="15947"/>
    <s v="Self Service"/>
    <s v="USER TO CONFIRM"/>
    <s v="Standard"/>
    <s v="apladisla"/>
    <s v="Andrea.Ladisla@rta.ae"/>
    <s v="Within the Service Target"/>
  </r>
  <r>
    <s v="INC000001318940"/>
    <s v="User Service Request"/>
    <s v="Kirill"/>
    <s v="Bochkarev"/>
    <s v="Software Installing Request"/>
    <d v="2026-02-19T14:12:17"/>
    <s v="Security &amp; Monitoring"/>
    <s v="RTA"/>
    <x v="2"/>
    <s v="Service Desk"/>
    <s v="Mohamed Alajlani"/>
    <s v="Incident"/>
    <s v="Self-service"/>
    <s v="Mendix"/>
    <s v="Low"/>
    <d v="2026-02-26T06:53:39"/>
    <m/>
    <s v="Pending"/>
    <m/>
    <s v="No"/>
    <s v="mendix"/>
    <m/>
    <m/>
    <m/>
    <s v="V0033126"/>
    <s v="Self Service"/>
    <s v="Client Action Required"/>
    <s v="Standard"/>
    <s v="intertech_kkbochkare"/>
    <s v="Intertech_Kirill.Bochkarev@rta.ae"/>
    <s v="Within the Service Target"/>
  </r>
  <r>
    <s v="INC000001318935"/>
    <s v="User Service Request"/>
    <s v="Ali"/>
    <s v="Bahrani"/>
    <s v="User Education"/>
    <d v="2026-02-19T14:00:15"/>
    <s v="Parking"/>
    <s v="RTA"/>
    <x v="7"/>
    <s v="Service Desk"/>
    <s v="Techm Ghaya Hamad"/>
    <s v="Desktop"/>
    <s v="User Education"/>
    <s v="User Education"/>
    <s v="Low"/>
    <d v="2026-02-23T02:06:49"/>
    <d v="2026-02-19T15:00:23"/>
    <s v="Closed"/>
    <s v="Reset password has been done from SelfService"/>
    <s v="No"/>
    <s v="Techm_GAHamad"/>
    <s v="Desktop"/>
    <s v="User Education"/>
    <s v="User Education"/>
    <n v="6353"/>
    <s v="Phone"/>
    <s v="Automated Resolution Reported"/>
    <s v="Standard"/>
    <s v="AAAlBahrani"/>
    <s v="Ali.Albahrani@rta.ae"/>
    <s v="Within the Service Target"/>
  </r>
  <r>
    <s v="INC000001318924"/>
    <s v="User Service Request"/>
    <s v="Christine"/>
    <s v="Lammam"/>
    <s v="Report"/>
    <d v="2026-02-19T13:45:27"/>
    <s v="Finance"/>
    <s v="RTA"/>
    <x v="0"/>
    <s v="Service Desk"/>
    <s v="Muhammed Alneil"/>
    <s v="Desktop"/>
    <s v="Profile"/>
    <s v="Network folder Access(RE)"/>
    <s v="Low"/>
    <d v="2026-02-26T08:46:24"/>
    <m/>
    <s v="Pending"/>
    <m/>
    <s v="No"/>
    <s v="techm_maalneil"/>
    <m/>
    <m/>
    <m/>
    <n v="14122"/>
    <s v="Email"/>
    <s v="Client Action Required"/>
    <s v="Standard"/>
    <s v="CLLammam"/>
    <s v="Christine.Lammam@rta.ae"/>
    <s v="Within the Service Target"/>
  </r>
  <r>
    <s v="INC000001318918"/>
    <s v="User Service Restoration"/>
    <s v="Hossam"/>
    <s v="Soliman"/>
    <s v="Unlock account Issue"/>
    <d v="2026-02-19T13:31:32"/>
    <s v="Rail Right Of Way"/>
    <s v="RTA"/>
    <x v="6"/>
    <s v="Service Desk"/>
    <s v="Techm Ghaya Hamad"/>
    <s v="Desktop"/>
    <s v="Profile"/>
    <s v="Account Lock Out"/>
    <s v="Medium"/>
    <d v="2026-02-23T02:06:43"/>
    <d v="2026-02-19T13:33:54"/>
    <s v="Closed"/>
    <s v="Unlock account has been done.  Account is getting locked from email service"/>
    <s v="No"/>
    <s v="Techm_GAHamad"/>
    <s v="Desktop"/>
    <s v="Profile"/>
    <s v="Account Lock Out"/>
    <n v="15831"/>
    <s v="Phone"/>
    <s v="Automated Resolution Reported"/>
    <s v="Standard"/>
    <s v="hasoliman"/>
    <s v="Hossam.Soliman@rta.ae"/>
    <s v="Within the Service Target"/>
  </r>
  <r>
    <s v="INC000001318911"/>
    <s v="User Service Restoration"/>
    <s v="Chellappan"/>
    <s v="Solaiyappan"/>
    <s v="DB Connection missing"/>
    <d v="2026-02-19T13:18:44"/>
    <s v="Marine"/>
    <s v="RTA"/>
    <x v="5"/>
    <s v="OnSite  EUS"/>
    <s v="Techm Mazin Kinaish"/>
    <s v="Incident"/>
    <s v="Self-service"/>
    <s v="Mendix"/>
    <s v="Medium"/>
    <d v="2026-02-26T07:59:41"/>
    <m/>
    <s v="Pending"/>
    <m/>
    <s v="No"/>
    <s v="mendix"/>
    <s v="Desktop"/>
    <s v="RTA Non standard application  Incidents"/>
    <s v="ARC GIS Issue"/>
    <n v="4709"/>
    <s v="Self Service"/>
    <s v="Client Hold"/>
    <s v="Standard"/>
    <s v="csolaiyappan"/>
    <s v="chellappan.solaiyappan@rta.ae"/>
    <s v="Within the Service Target"/>
  </r>
  <r>
    <s v="INC000001318894"/>
    <s v="User Service Request"/>
    <s v="Hamda"/>
    <s v="Alketbi"/>
    <s v="VPN Configuration Request"/>
    <d v="2026-02-19T13:11:35"/>
    <s v="Smart Services"/>
    <s v="RTA"/>
    <x v="4"/>
    <s v="Service Desk"/>
    <s v="Zain Alabedein Skheih"/>
    <s v="Desktop"/>
    <s v="Configuration"/>
    <s v="VPN Configuration"/>
    <s v="Low"/>
    <d v="2026-02-23T02:06:36"/>
    <d v="2026-02-19T13:12:27"/>
    <s v="Closed"/>
    <s v="We did the configuration successfully and it is successfully connected."/>
    <s v="No"/>
    <s v="techm_ziskheih"/>
    <s v="Desktop"/>
    <s v="Configuration"/>
    <s v="VPN Configuration"/>
    <n v="15254"/>
    <s v="Phone"/>
    <s v="Automated Resolution Reported"/>
    <s v="Standard"/>
    <s v="hsalketbi"/>
    <s v="Hamda.Alketbi@rta.ae"/>
    <s v="Within the Service Target"/>
  </r>
  <r>
    <s v="INC000001318874"/>
    <s v="User Service Request"/>
    <s v="Epic Alia"/>
    <s v="Shihab"/>
    <s v="VPN Access"/>
    <d v="2026-02-19T13:03:51"/>
    <s v="Smart Services"/>
    <s v="RTA"/>
    <x v="4"/>
    <s v="Service Desk"/>
    <s v="Techm Ghaya Hamad"/>
    <s v="Incident"/>
    <s v="Self-service"/>
    <s v="Mendix"/>
    <s v="Low"/>
    <d v="2026-02-26T06:53:38"/>
    <m/>
    <s v="Pending"/>
    <m/>
    <s v="No"/>
    <s v="mendix"/>
    <s v="Desktop"/>
    <s v="Configuration"/>
    <s v="VPN Configuration"/>
    <s v="V002118"/>
    <s v="Self Service"/>
    <s v="Client Action Required"/>
    <s v="Standard"/>
    <s v="Epic_AIShihab"/>
    <s v="Epic_Alia.Shihab@rta.ae"/>
    <s v="Within the Service Target"/>
  </r>
  <r>
    <s v="INC000001318850"/>
    <s v="User Service Request"/>
    <s v="Avaya Tarek Salama"/>
    <s v="Mohamed Khedr"/>
    <s v="Hardware Upgrade"/>
    <d v="2026-02-19T12:51:53"/>
    <s v="Customer Happiness"/>
    <s v="RTA"/>
    <x v="0"/>
    <s v="OnSite  EUS"/>
    <s v="Mohamed Mustaq Ali"/>
    <s v="Incident"/>
    <s v="Self-service"/>
    <s v="Mendix"/>
    <s v="Low"/>
    <d v="2026-02-25T11:34:08"/>
    <d v="2026-02-25T11:34:06"/>
    <s v="Resolved"/>
    <s v="Cleaned the temp files, disk cleanup, and clear the cache files and restarted the device and working normal."/>
    <s v="No"/>
    <s v="mendix"/>
    <s v="Desktop"/>
    <s v="OS Issue"/>
    <s v="PC Slowness Issue"/>
    <s v="V00969"/>
    <s v="Self Service"/>
    <s v="USER TO CONFIRM"/>
    <s v="Standard"/>
    <s v="Avaya_TMMohamedkhedr"/>
    <s v="Avaya_Tareksalama.Mohamedkhedr@rta.ae"/>
    <s v="Within the Service Target"/>
  </r>
  <r>
    <s v="INC000001318835"/>
    <s v="User Service Request"/>
    <s v="Fahad"/>
    <s v="Aljaziri"/>
    <s v="Guide user to reset the Password through Self services portal."/>
    <d v="2026-02-19T12:46:49"/>
    <s v="Roads &amp; Facilities Maintenance"/>
    <s v="RTA"/>
    <x v="7"/>
    <s v="Service Desk"/>
    <s v="Techm Hussein Aljayeh"/>
    <s v="Desktop"/>
    <s v="User Education"/>
    <s v="User Education"/>
    <s v="Low"/>
    <d v="2026-02-23T02:06:04"/>
    <d v="2026-02-19T13:08:46"/>
    <s v="Closed"/>
    <s v="Guide user to reset the Password through Self services portal."/>
    <s v="No"/>
    <s v="Techm_HHAljayeh"/>
    <s v="Desktop"/>
    <s v="User Education"/>
    <s v="User Education"/>
    <n v="6054"/>
    <s v="Email"/>
    <s v="Automated Resolution Reported"/>
    <s v="Standard"/>
    <s v="faaljaziri"/>
    <s v="Fahad.Aljaziri@rta.ae"/>
    <s v="Within the Service Target"/>
  </r>
  <r>
    <s v="INC000001318825"/>
    <s v="User Service Request"/>
    <s v="Haneen"/>
    <s v="Musleh"/>
    <s v="Unlock VPN (Trans_HAMusleh)"/>
    <d v="2026-02-19T12:35:08"/>
    <s v="Strategic Planning"/>
    <s v="RTA"/>
    <x v="1"/>
    <s v="Service Desk"/>
    <s v="Techm Hussein Aljayeh"/>
    <s v="Desktop"/>
    <s v="Profile"/>
    <s v="Account Lock Out"/>
    <s v="Low"/>
    <d v="2026-02-23T02:05:58"/>
    <d v="2026-02-19T13:08:08"/>
    <s v="Closed"/>
    <s v="User Account has been unlocked"/>
    <s v="No"/>
    <s v="Techm_HHAljayeh"/>
    <s v="Desktop"/>
    <s v="Profile"/>
    <s v="Account Lock Out"/>
    <s v="V004239"/>
    <s v="Phone"/>
    <s v="Automated Resolution Reported"/>
    <s v="Standard"/>
    <s v="Trans_HAMusleh"/>
    <s v="Trans_Haneen.Musleh@rta.ae"/>
    <s v="Within the Service Target"/>
  </r>
  <r>
    <s v="INC000001318815"/>
    <s v="User Service Request"/>
    <s v="Hassan"/>
    <s v="Alzidi"/>
    <s v="Profile Configuration Request"/>
    <d v="2026-02-19T12:25:00"/>
    <s v="Commercial Transport Activities"/>
    <s v="RTA"/>
    <x v="3"/>
    <s v="Service Desk"/>
    <s v="Mohamed Alajlani"/>
    <s v="Desktop"/>
    <s v="Configuration"/>
    <s v="Profile Configuration"/>
    <s v="Low"/>
    <d v="2026-02-23T02:05:53"/>
    <d v="2026-02-19T12:37:10"/>
    <s v="Closed"/>
    <s v="The request has been completed after copying the data from the old profile to the new one. The user was guided to raise an email restoration request to retrieve all emails from the old account to the new account."/>
    <s v="No"/>
    <s v="techm_myalajlani"/>
    <s v="Desktop"/>
    <s v="Configuration"/>
    <s v="Profile Configuration"/>
    <s v="V0033799"/>
    <s v="Phone"/>
    <s v="Automated Resolution Reported"/>
    <s v="Standard"/>
    <s v="tms_haalzidi"/>
    <s v="Tms_Hassan.Alzidi@rta.ae"/>
    <s v="Within the Service Target"/>
  </r>
  <r>
    <s v="INC000001318801"/>
    <s v="User Service Request"/>
    <s v="Fatma"/>
    <s v="Ahli"/>
    <s v="Password reset Request - New Joiner"/>
    <d v="2026-02-19T12:54:45"/>
    <s v="Customer Happiness"/>
    <s v="RTA"/>
    <x v="0"/>
    <s v="Service Desk"/>
    <s v="Mohamed Siragelnour"/>
    <s v="Desktop"/>
    <s v="Profile"/>
    <s v="Password reset(RE)"/>
    <s v="Low"/>
    <d v="2026-02-23T02:06:19"/>
    <d v="2026-02-19T13:44:15"/>
    <s v="Closed"/>
    <s v="User is unable to reset password via self-service, password has been reset and shared privately"/>
    <s v="No"/>
    <s v="techm_mbsiragelnour"/>
    <s v="Desktop"/>
    <s v="Profile"/>
    <s v="Password Reset"/>
    <n v="15978"/>
    <s v="Phone"/>
    <s v="Automated Resolution Reported"/>
    <s v="Standard"/>
    <s v="falahli"/>
    <s v="Fatma.AlAhli@rta.ae"/>
    <s v="Within the Service Target"/>
  </r>
  <r>
    <s v="INC000001318794"/>
    <s v="User Service Restoration"/>
    <s v="Asma"/>
    <s v="Alshirawy"/>
    <s v="RTA Intranet and webistes issue"/>
    <d v="2026-02-19T11:58:51"/>
    <s v="Finance"/>
    <s v="RTA"/>
    <x v="0"/>
    <s v="Service Desk"/>
    <s v="Zain Alabedein Skheih"/>
    <s v="Desktop"/>
    <s v="RTA Standard application Incidents"/>
    <s v="MS Edge"/>
    <s v="Medium"/>
    <d v="2026-02-23T02:05:44"/>
    <d v="2026-02-19T12:00:25"/>
    <s v="Closed"/>
    <e v="#NAME?"/>
    <s v="No"/>
    <s v="techm_ziskheih"/>
    <s v="Desktop"/>
    <s v="RTA Standard application Incidents"/>
    <s v="MS Edge"/>
    <n v="12713"/>
    <s v="Phone"/>
    <s v="Automated Resolution Reported"/>
    <s v="Standard"/>
    <s v="AEAlshirawy"/>
    <s v="Asma.Alshirawy@rta.ae"/>
    <s v="Within the Service Target"/>
  </r>
  <r>
    <s v="INC000001318789"/>
    <s v="User Service Request"/>
    <s v="Hiral"/>
    <s v="Bharadia"/>
    <s v="VPN Access"/>
    <d v="2026-02-19T11:52:54"/>
    <s v="Transportation Systems"/>
    <s v="RTA"/>
    <x v="5"/>
    <s v="Service Desk"/>
    <s v="Techm Ghaya Hamad"/>
    <s v="Incident"/>
    <s v="Self-service"/>
    <s v="Mendix"/>
    <s v="Low"/>
    <d v="2026-02-23T02:05:39"/>
    <d v="2026-02-19T13:43:26"/>
    <s v="Closed"/>
    <s v="Configured VPN successfully through LogMeIn"/>
    <s v="No"/>
    <s v="mendix"/>
    <s v="Security"/>
    <s v="VPN"/>
    <s v="New VPN Access"/>
    <s v="V0032080"/>
    <s v="Self Service"/>
    <s v="Automated Resolution Reported"/>
    <s v="Standard"/>
    <s v="okool_hjbharadia"/>
    <s v="Okool_Hiral.Bharadia@rta.ae"/>
    <s v="Within the Service Target"/>
  </r>
  <r>
    <s v="INC000001318788"/>
    <s v="User Service Restoration"/>
    <s v="Yasmin"/>
    <s v="Almushrakh"/>
    <s v="Adobe Acrobat Pro Issue"/>
    <d v="2026-02-19T11:54:53"/>
    <s v="Human Resources &amp; Development"/>
    <s v="RTA"/>
    <x v="0"/>
    <s v="Service Desk"/>
    <s v="Zain Alabedein Skheih"/>
    <s v="Desktop"/>
    <s v="RTA Non standard application  Incidents"/>
    <s v="Adobe Acrobat Professional"/>
    <s v="Medium"/>
    <d v="2026-02-23T02:05:41"/>
    <d v="2026-02-19T11:56:47"/>
    <s v="Closed"/>
    <s v="we guided the user on how to reset the Adobe Acrobat Pro password and then the issue got solved."/>
    <s v="No"/>
    <s v="techm_ziskheih"/>
    <s v="Desktop"/>
    <s v="RTA Non standard application  Incidents"/>
    <s v="Adobe Acrobat Professional"/>
    <n v="12733"/>
    <s v="Phone"/>
    <s v="Automated Resolution Reported"/>
    <s v="Standard"/>
    <s v="YKAlmushrakh"/>
    <s v="Yasmin.Almushrakh@rta.ae"/>
    <s v="Within the Service Target"/>
  </r>
  <r>
    <s v="INC000001318784"/>
    <s v="User Service Restoration"/>
    <s v="Amna"/>
    <s v="Mohammed"/>
    <s v="RTAWLAN Connecting Issue"/>
    <d v="2026-02-19T11:44:35"/>
    <s v="Dubai Traffic &amp; Roads CEO"/>
    <s v="RTA"/>
    <x v="7"/>
    <s v="Service Desk"/>
    <s v="Zain Alabedein Skheih"/>
    <s v="Desktop"/>
    <s v="Login Issue"/>
    <s v="Wrong Credentials"/>
    <s v="Medium"/>
    <d v="2026-02-23T02:05:39"/>
    <d v="2026-02-19T11:51:42"/>
    <s v="Closed"/>
    <e v="#NAME?"/>
    <s v="No"/>
    <s v="techm_ziskheih"/>
    <s v="Desktop"/>
    <s v="Login Issue"/>
    <s v="Wrong Credentials"/>
    <n v="11148"/>
    <s v="Phone"/>
    <s v="Automated Resolution Reported"/>
    <s v="Standard"/>
    <s v="aamohammed"/>
    <s v="Amna.AMohammed@rta.ae"/>
    <s v="Within the Service Target"/>
  </r>
  <r>
    <s v="INC000001318781"/>
    <s v="User Service Request"/>
    <s v="Saif"/>
    <s v="Alsowidi"/>
    <s v="Laptop replacement_ECC"/>
    <d v="2026-02-19T11:41:29"/>
    <s v="Enterprise Command &amp; Control"/>
    <s v="RTA"/>
    <x v="1"/>
    <s v="OnSite  EUS"/>
    <s v="Techm Osama Abdullatif"/>
    <s v="Incident"/>
    <s v="Self-service"/>
    <s v="Mendix"/>
    <s v="Low"/>
    <d v="2026-02-26T09:26:01"/>
    <m/>
    <s v="Pending"/>
    <m/>
    <s v="No"/>
    <s v="mendix"/>
    <m/>
    <m/>
    <m/>
    <n v="14536"/>
    <s v="Self Service"/>
    <s v="Local Site Action Required"/>
    <s v="Standard"/>
    <s v="SMAlsowidi"/>
    <s v="Saif.Alsowidi@rta.ae"/>
    <s v="Within the Service Target"/>
  </r>
  <r>
    <s v="INC000001318775"/>
    <s v="User Service Request"/>
    <s v="Shabeer"/>
    <s v="Madathodi"/>
    <s v="Reset smart employee account Request"/>
    <d v="2026-02-19T11:41:11"/>
    <s v="Administration Services"/>
    <s v="RTA"/>
    <x v="0"/>
    <s v="Service Desk"/>
    <s v="Techm Ghaya Hamad"/>
    <s v="Application"/>
    <s v="Application Services"/>
    <s v="Application Modification / Enhancement Request"/>
    <s v="Low"/>
    <d v="2026-02-23T02:05:36"/>
    <d v="2026-02-19T14:15:26"/>
    <s v="Closed"/>
    <s v="Reset has been done so user will be able to punch from the new device"/>
    <s v="No"/>
    <s v="Techm_GAHamad"/>
    <s v="Application"/>
    <s v="Application Services"/>
    <s v="Application Modification / Enhancement Request"/>
    <n v="12460"/>
    <s v="Phone"/>
    <s v="Automated Resolution Reported"/>
    <s v="Standard"/>
    <s v="Samadathodi"/>
    <s v="Shabeer.Madathodi@rta.ae"/>
    <s v="Within the Service Target"/>
  </r>
  <r>
    <s v="INC000001318764"/>
    <s v="User Service Request"/>
    <s v="Yosra"/>
    <s v="Ali Saleh Ali"/>
    <s v="unlock account request"/>
    <d v="2026-02-19T11:32:32"/>
    <s v="Roads"/>
    <s v="RTA"/>
    <x v="7"/>
    <s v="Service Desk"/>
    <s v="Techm Hussein Aljayeh"/>
    <s v="Desktop"/>
    <s v="Profile"/>
    <s v="Account Lock Out"/>
    <s v="Low"/>
    <d v="2026-02-23T02:05:32"/>
    <d v="2026-02-19T11:33:03"/>
    <s v="Closed"/>
    <s v="User Account has been unlocked"/>
    <s v="No"/>
    <s v="Techm_HHAljayeh"/>
    <s v="Desktop"/>
    <s v="Profile"/>
    <s v="Account Lock Out"/>
    <n v="487"/>
    <s v="Phone"/>
    <s v="Automated Resolution Reported"/>
    <s v="Standard"/>
    <s v="YAAli"/>
    <s v="Yosra.Ali@rta.ae"/>
    <s v="Within the Service Target"/>
  </r>
  <r>
    <s v="INC000001318758"/>
    <s v="User Service Request"/>
    <s v="Avaya Maimoona"/>
    <s v="Baloch"/>
    <s v="user was not able to edit in word"/>
    <d v="2026-02-19T11:29:23"/>
    <s v="Customer Happiness"/>
    <s v="RTA"/>
    <x v="0"/>
    <s v="Service Desk"/>
    <s v="Aryam Juma Mohammad Albasata Albasata"/>
    <s v="Desktop"/>
    <s v="RTA Non standard application  Request"/>
    <s v="MS office professional(RE)"/>
    <s v="Low"/>
    <d v="2026-02-23T02:05:30"/>
    <d v="2026-02-19T11:29:46"/>
    <s v="Closed"/>
    <s v="update the licene and sign in again"/>
    <s v="No"/>
    <s v="techm_ajalbasata"/>
    <s v="Desktop"/>
    <s v="RTA Non standard application  Request"/>
    <s v="MS Office 2013 Professional"/>
    <s v="V006650"/>
    <s v="Phone"/>
    <s v="Automated Resolution Reported"/>
    <s v="Standard"/>
    <s v="Avaya_MMBaloch"/>
    <s v="Avaya_Maimoona.Baloch@rta.ae"/>
    <s v="Within the Service Target"/>
  </r>
  <r>
    <s v="INC000001318756"/>
    <s v="User Service Request"/>
    <s v="Hussein"/>
    <s v="Suleiman"/>
    <s v="Hardware Replacement"/>
    <d v="2026-02-19T11:27:25"/>
    <s v="Administration Services"/>
    <s v="RTA"/>
    <x v="0"/>
    <s v="OnSite  EUS"/>
    <s v="Solaiman Alhussni"/>
    <s v="Incident"/>
    <s v="Self-service"/>
    <s v="Mendix"/>
    <s v="Low"/>
    <d v="2026-02-24T10:32:25"/>
    <d v="2026-02-24T10:32:21"/>
    <s v="Resolved"/>
    <s v="we have reviewed the details with the IT Asset team. current laptop is 3 years and 8 months old. As per the ITD policy, devices are eligible for replacement after 5 years of use. the current laptop has been fixed by changing the battery and repaired the screen edge"/>
    <s v="No"/>
    <s v="mendix"/>
    <s v="Desktop"/>
    <s v="Replacement"/>
    <s v="Laptop Replacement With Laptop"/>
    <n v="14581"/>
    <s v="Self Service"/>
    <s v="USER TO CONFIRM"/>
    <s v="Standard"/>
    <s v="HASuleiman"/>
    <s v="Hussein.Suleiman@rta.ae"/>
    <s v="Within the Service Target"/>
  </r>
  <r>
    <s v="INC000001318740"/>
    <s v="User Service Restoration"/>
    <s v="Carmelito"/>
    <s v="Canete"/>
    <s v="Scanner Issue"/>
    <d v="2026-02-19T11:16:39"/>
    <s v="Maintenance &amp; Services"/>
    <s v="RTA"/>
    <x v="5"/>
    <s v="OnSite  EUS"/>
    <s v="Techm Mazin Kinaish"/>
    <s v="Incident"/>
    <s v="Self-service"/>
    <s v="Mendix"/>
    <s v="Medium"/>
    <d v="2026-02-23T02:05:24"/>
    <d v="2026-02-19T12:03:10"/>
    <s v="Closed"/>
    <s v="Helping user throw phone to change lock to  (on) from back side   Restart the scanner , tested by user working fine"/>
    <s v="No"/>
    <s v="mendix"/>
    <s v="Scanner"/>
    <s v="Configuration"/>
    <s v="N/W Scanner Issues"/>
    <n v="11298"/>
    <s v="Self Service"/>
    <s v="Automated Resolution Reported"/>
    <s v="Standard"/>
    <s v="Clcanete"/>
    <s v="Carmelito.Canete@rta.ae"/>
    <s v="Within the Service Target"/>
  </r>
  <r>
    <s v="INC000001318734"/>
    <s v="User Service Restoration"/>
    <s v="Yasmin"/>
    <s v="Almushrakh"/>
    <s v="Outlook Issue"/>
    <d v="2026-02-19T11:09:19"/>
    <s v="Human Resources &amp; Development"/>
    <s v="RTA"/>
    <x v="0"/>
    <s v="Service Desk"/>
    <s v="Zain Alabedein Skheih"/>
    <s v="Desktop"/>
    <s v="Mail Box Issue"/>
    <s v="Login Issue"/>
    <s v="Medium"/>
    <d v="2026-02-23T02:05:23"/>
    <d v="2026-02-19T11:11:30"/>
    <s v="Closed"/>
    <e v="#NAME?"/>
    <s v="No"/>
    <s v="techm_ziskheih"/>
    <s v="Desktop"/>
    <s v="Mail Box Issue"/>
    <s v="Login Issue"/>
    <n v="12733"/>
    <s v="Phone"/>
    <s v="Automated Resolution Reported"/>
    <s v="Standard"/>
    <s v="YKAlmushrakh"/>
    <s v="Yasmin.Almushrakh@rta.ae"/>
    <s v="Within the Service Target"/>
  </r>
  <r>
    <s v="INC000001318731"/>
    <s v="User Service Request"/>
    <s v="Nour"/>
    <s v="Ibrahim"/>
    <s v="Request to enable the Right Shift + Alt keyboard shortcut for changing language."/>
    <d v="2026-02-19T11:19:47"/>
    <s v="Right Of Way"/>
    <s v="RTA"/>
    <x v="7"/>
    <s v="Service Desk"/>
    <s v="Mohamed Alajlani"/>
    <s v="Desktop"/>
    <s v="Configuration"/>
    <s v="Profile Configuration"/>
    <s v="Low"/>
    <d v="2026-02-23T02:05:25"/>
    <d v="2026-02-19T11:44:58"/>
    <s v="Closed"/>
    <s v="The request has been completed after modifying the registry key."/>
    <s v="No"/>
    <s v="techm_myalajlani"/>
    <s v="Desktop"/>
    <s v="Configuration"/>
    <s v="Profile Configuration"/>
    <s v="V0032492"/>
    <s v="Phone"/>
    <s v="Automated Resolution Reported"/>
    <s v="Standard"/>
    <s v="trans_niibrahim"/>
    <s v="Trans_Nour.Ibrahim@rta.ae"/>
    <s v="Within the Service Target"/>
  </r>
  <r>
    <s v="INC000001318729"/>
    <s v="User Service Request"/>
    <s v="Amar"/>
    <s v="Tewari"/>
    <s v="unlock account request"/>
    <d v="2026-02-19T11:02:38"/>
    <s v="Information Technology"/>
    <s v="RTA"/>
    <x v="4"/>
    <s v="Service Desk"/>
    <s v="Techm Hussein Aljayeh"/>
    <s v="Desktop"/>
    <s v="Profile"/>
    <s v="Account Lock Out"/>
    <s v="Low"/>
    <d v="2026-02-23T02:05:20"/>
    <d v="2026-02-19T11:08:51"/>
    <s v="Closed"/>
    <s v="User Account has been unlocked"/>
    <s v="No"/>
    <s v="Techm_HHAljayeh"/>
    <s v="Desktop"/>
    <s v="Profile"/>
    <s v="Account Lock Out"/>
    <n v="15898"/>
    <s v="Phone"/>
    <s v="Automated Resolution Reported"/>
    <s v="Standard"/>
    <s v="antewari"/>
    <s v="Amar.Tewari@rta.ae"/>
    <s v="Within the Service Target"/>
  </r>
  <r>
    <s v="INC000001318725"/>
    <s v="User Service Request"/>
    <s v="Majida"/>
    <s v="Naqi"/>
    <s v="Asset collection for the resigned user."/>
    <d v="2026-02-19T11:04:31"/>
    <s v="Commercial Transport Activities"/>
    <s v="RTA"/>
    <x v="3"/>
    <s v="Service Desk"/>
    <s v="Ismael Ismael"/>
    <s v="Desktop"/>
    <s v="Asset collection"/>
    <s v="Asset collection"/>
    <s v="Low"/>
    <d v="2026-02-23T02:05:22"/>
    <d v="2026-02-19T11:10:34"/>
    <s v="Closed"/>
    <s v="request will be closed as it's duplicated with ticket No. INC000001314439"/>
    <s v="No"/>
    <s v="techm_iaismael"/>
    <s v="Desktop"/>
    <s v="Asset Collection"/>
    <s v="Asset Collection"/>
    <n v="10855"/>
    <s v="Email"/>
    <s v="Automated Resolution Reported"/>
    <s v="Sensitive"/>
    <s v="mmnaqi"/>
    <s v="Majida.Naqi@rta.ae"/>
    <s v="Within the Service Target"/>
  </r>
  <r>
    <s v="INC000001318716"/>
    <s v="User Service Request"/>
    <s v="Maitha"/>
    <s v="Sanqoor"/>
    <s v="Oracle configuration request &quot;Automation&quot;"/>
    <d v="2026-02-19T10:58:24"/>
    <s v="Customer Happiness"/>
    <s v="RTA"/>
    <x v="0"/>
    <s v="Service Desk"/>
    <s v="Zain Alabedein Skheih"/>
    <s v="Desktop"/>
    <s v="User Education"/>
    <s v="User Education"/>
    <s v="Low"/>
    <d v="2026-02-23T02:05:17"/>
    <d v="2026-02-19T10:59:14"/>
    <s v="Closed"/>
    <s v="We did reset for the Oracle authenticator and successfully the Automation got opened after that"/>
    <s v="No"/>
    <s v="techm_ziskheih"/>
    <s v="Desktop"/>
    <s v="User Education"/>
    <s v="User Education"/>
    <n v="12169"/>
    <s v="Phone"/>
    <s v="Automated Resolution Reported"/>
    <s v="Standard"/>
    <s v="mgsanqoor"/>
    <s v="Maitha.Sanqoor@rta.ae"/>
    <s v="Within the Service Target"/>
  </r>
  <r>
    <s v="INC000001318709"/>
    <s v="User Service Restoration"/>
    <s v="Jasem"/>
    <s v="Almulla"/>
    <s v="VPN Issue"/>
    <d v="2026-02-19T10:54:27"/>
    <s v="Commercial Transport Activities"/>
    <s v="RTA"/>
    <x v="3"/>
    <s v="OnSite  EUS"/>
    <s v="Techm Omer Idris"/>
    <s v="Desktop"/>
    <s v="Configuration"/>
    <s v="VPN Troubleshooting"/>
    <s v="Medium"/>
    <d v="2026-02-23T12:21:07"/>
    <d v="2026-02-23T12:21:03"/>
    <s v="Resolved"/>
    <s v="Ivanti has been uninstalled   New Ivanti has been installed and the issue solved"/>
    <s v="No"/>
    <s v="Techm_NRMohamed"/>
    <s v="Desktop"/>
    <s v="Configuration"/>
    <s v="VPN Troubleshooting"/>
    <n v="15206"/>
    <s v="Email"/>
    <s v="USER TO CONFIRM"/>
    <s v="Standard"/>
    <s v="jmalmulla"/>
    <s v="Jasem.Almulla@rta.ae"/>
    <s v="Within the Service Target"/>
  </r>
  <r>
    <s v="INC000001318702"/>
    <s v="User Service Request"/>
    <s v="Nour"/>
    <s v="Ibrahim"/>
    <s v="Request to change the default apps for PDF files and Outlook messages."/>
    <d v="2026-02-19T10:51:12"/>
    <s v="Right Of Way"/>
    <s v="RTA"/>
    <x v="7"/>
    <s v="Service Desk"/>
    <s v="Mohamed Alajlani"/>
    <s v="Desktop"/>
    <s v="Configuration"/>
    <s v="Profile Configuration"/>
    <s v="Low"/>
    <d v="2026-02-23T02:05:11"/>
    <d v="2026-02-19T10:52:39"/>
    <s v="Closed"/>
    <s v="The request has been completed by setting Microsoft Outlook as the default app for .msg files and Adobe Reader as the default app for .pdf files."/>
    <s v="No"/>
    <s v="techm_myalajlani"/>
    <s v="Desktop"/>
    <s v="Configuration"/>
    <s v="Profile Configuration"/>
    <s v="V0032492"/>
    <s v="Phone"/>
    <s v="Automated Resolution Reported"/>
    <s v="Standard"/>
    <s v="trans_niibrahim"/>
    <s v="Trans_Nour.Ibrahim@rta.ae"/>
    <s v="Within the Service Target"/>
  </r>
  <r>
    <s v="INC000001318700"/>
    <s v="User Service Request"/>
    <s v="Seraj"/>
    <s v="Said"/>
    <s v="New LAN cable request"/>
    <d v="2026-02-19T10:50:25"/>
    <s v="Buses"/>
    <s v="RTA"/>
    <x v="5"/>
    <s v="OnSite  EUS"/>
    <s v="Techm Mazin Kinaish"/>
    <s v="Desktop"/>
    <s v="Peripherals"/>
    <s v="Network Cable"/>
    <s v="Low"/>
    <d v="2026-02-23T02:05:10"/>
    <d v="2026-02-19T11:10:11"/>
    <s v="Closed"/>
    <s v="New cable handed to user in operation"/>
    <s v="No"/>
    <s v="Techm_NRMohamed"/>
    <s v="Desktop"/>
    <s v="Peripherals"/>
    <s v="Network Cable"/>
    <n v="6584"/>
    <s v="Email"/>
    <s v="Automated Resolution Reported"/>
    <s v="Standard"/>
    <s v="sasaid"/>
    <s v="Seraj.Said@rta.ae"/>
    <s v="Within the Service Target"/>
  </r>
  <r>
    <s v="INC000001318698"/>
    <s v="User Service Restoration"/>
    <s v="Balram"/>
    <s v="Devraj"/>
    <s v="Webex meetings access issue"/>
    <d v="2026-02-19T10:54:07"/>
    <s v="Information Technology"/>
    <s v="RTA"/>
    <x v="4"/>
    <s v="Service Desk"/>
    <s v="Ismael Ismael"/>
    <s v="Desktop"/>
    <s v="Internet/Intranet Issues"/>
    <s v="Unable to access a specific URL(RE)"/>
    <s v="Medium"/>
    <d v="2026-02-24T11:04:14"/>
    <d v="2026-02-24T11:04:12"/>
    <s v="Resolved"/>
    <s v="user will check for future meetings and if same is happening he will revert back"/>
    <s v="No"/>
    <s v="techm_iaismael"/>
    <s v="Desktop"/>
    <s v="Internet / Intranet Issues"/>
    <s v="Unable To Access Specific URL"/>
    <s v="V0034733"/>
    <s v="Phone"/>
    <s v="USER TO CONFIRM"/>
    <s v="Standard"/>
    <s v="techm_bddevraj"/>
    <s v="Techm_Balram.Devraj@rta.ae"/>
    <s v="Within the Service Target"/>
  </r>
  <r>
    <s v="INC000001318695"/>
    <s v="User Service Request"/>
    <s v="Hussein"/>
    <s v="AlShahabi"/>
    <s v="Smart Traffic configuration on Edge"/>
    <d v="2026-02-19T10:47:42"/>
    <s v="Planning &amp; Business Development"/>
    <s v="RTA"/>
    <x v="5"/>
    <s v="Service Desk"/>
    <s v="Techm Hussein Aljayeh"/>
    <s v="Desktop"/>
    <s v="RTA Standard Application installation Request"/>
    <s v="MS Edge"/>
    <s v="Low"/>
    <d v="2026-02-23T02:05:07"/>
    <d v="2026-02-19T10:58:20"/>
    <s v="Closed"/>
    <s v="Request has been Completed Through Remote Access,User Confirm On the same Hence ticket closed"/>
    <s v="No"/>
    <s v="Techm_HHAljayeh"/>
    <s v="Desktop"/>
    <s v="RTA Standard Application installation Request"/>
    <s v="MS Edge"/>
    <n v="12597"/>
    <s v="Phone"/>
    <s v="Automated Resolution Reported"/>
    <s v="Standard"/>
    <s v="HAAlshahabi"/>
    <s v="Hussein.Alshahabi@rta.ae"/>
    <s v="Within the Service Target"/>
  </r>
  <r>
    <s v="INC000001318694"/>
    <s v="User Service Request"/>
    <s v="Hassan"/>
    <s v="Alzidi"/>
    <s v="Network Folder/ Files / Email Restoration"/>
    <d v="2026-02-19T10:44:53"/>
    <s v="Commercial Transport Activities"/>
    <s v="RTA"/>
    <x v="3"/>
    <s v="Service Desk"/>
    <s v="Maitha Alhammadi"/>
    <s v="Incident"/>
    <s v="Self-service"/>
    <s v="Mendix"/>
    <s v="Low"/>
    <d v="2026-02-26T09:47:18"/>
    <d v="2026-02-26T09:47:16"/>
    <s v="Resolved"/>
    <s v="Their is no responds from the user after send three reminders. hence to closing the ticket as per process."/>
    <s v="No"/>
    <s v="mendix"/>
    <s v="Desktop"/>
    <s v="Profile"/>
    <s v="Request For New Email Account"/>
    <s v="V0033799"/>
    <s v="Self Service"/>
    <s v="USER TO CONFIRM"/>
    <s v="Standard"/>
    <s v="tms_haalzidi"/>
    <s v="Tms_Hassan.Alzidi@rta.ae"/>
    <s v="Within the Service Target"/>
  </r>
  <r>
    <s v="INC000001318691"/>
    <s v="User Service Request"/>
    <s v="Ahmed"/>
    <s v="Shannan"/>
    <s v="Disclaimer Pop-Up - Remove OneDrive"/>
    <d v="2026-02-19T10:46:39"/>
    <s v="Right Of Way"/>
    <s v="RTA"/>
    <x v="7"/>
    <s v="Service Desk"/>
    <s v="Mohamed Alajlani"/>
    <s v="Desktop"/>
    <s v="Internet/Intranet Issues"/>
    <s v="Internet POP UP(RE)"/>
    <s v="Medium"/>
    <d v="2026-02-26T06:53:36"/>
    <m/>
    <s v="Pending"/>
    <m/>
    <s v="No"/>
    <s v="techm_mbsiragelnour"/>
    <m/>
    <m/>
    <m/>
    <n v="14532"/>
    <s v="Phone"/>
    <s v="Client Action Required"/>
    <s v="Standard"/>
    <s v="AMShannan"/>
    <s v="Ahmed.Shannan@rta.ae"/>
    <s v="Within the Service Target"/>
  </r>
  <r>
    <s v="INC000001318684"/>
    <s v="User Service Request"/>
    <s v="Nour"/>
    <s v="Ibrahim"/>
    <s v="Guide user to Reset Password through Self services portal."/>
    <d v="2026-02-19T10:35:57"/>
    <s v="Right Of Way"/>
    <s v="RTA"/>
    <x v="7"/>
    <s v="Service Desk"/>
    <s v="Mohamed Alajlani"/>
    <s v="Desktop"/>
    <s v="User Education"/>
    <s v="User Education"/>
    <s v="Low"/>
    <d v="2026-02-23T02:05:03"/>
    <d v="2026-02-19T10:36:45"/>
    <s v="Closed"/>
    <s v="As per the request, SMS with Reset Password self-services URL has been shared with the user."/>
    <s v="No"/>
    <s v="techm_myalajlani"/>
    <s v="Desktop"/>
    <s v="User Education"/>
    <s v="User Education"/>
    <s v="V0032492"/>
    <s v="Phone"/>
    <s v="Automated Resolution Reported"/>
    <s v="Standard"/>
    <s v="trans_niibrahim"/>
    <s v="Trans_Nour.Ibrahim@rta.ae"/>
    <s v="Within the Service Target"/>
  </r>
  <r>
    <s v="INC000001318682"/>
    <s v="User Service Request"/>
    <s v="Fatima"/>
    <s v="Al Saeedi"/>
    <s v="Browser Configuration"/>
    <d v="2026-02-19T10:52:38"/>
    <s v="Finance"/>
    <s v="RTA"/>
    <x v="0"/>
    <s v="Service Desk"/>
    <s v="Mohamed Siragelnour"/>
    <s v="Desktop"/>
    <s v="RTA Standard Application installation Request"/>
    <s v="MS Edge"/>
    <s v="Low"/>
    <d v="2026-02-23T02:05:13"/>
    <d v="2026-02-19T13:45:58"/>
    <s v="Closed"/>
    <s v="Browser has been configured successfully."/>
    <s v="No"/>
    <s v="techm_mbsiragelnour"/>
    <s v="Desktop"/>
    <s v="RTA Standard Application installation Request"/>
    <s v="MS Edge"/>
    <n v="11949"/>
    <s v="Phone"/>
    <s v="Automated Resolution Reported"/>
    <s v="Standard"/>
    <s v="faalsaeedi"/>
    <s v="Fatima.Alsaeedi@rta.ae"/>
    <s v="Within the Service Target"/>
  </r>
  <r>
    <s v="INC000001318681"/>
    <s v="User Service Restoration"/>
    <s v="Hoda"/>
    <s v="Alhammadi"/>
    <s v="pdf not opening"/>
    <d v="2026-02-19T10:30:25"/>
    <s v="Development &amp; Corporate Performance"/>
    <s v="RTA"/>
    <x v="1"/>
    <s v="Service Desk"/>
    <s v="Aryam Juma Mohammad Albasata Albasata"/>
    <s v="Desktop"/>
    <s v="RTA Non standard application  Incidents"/>
    <s v="Adobe Acrobat Professional"/>
    <s v="Medium"/>
    <d v="2026-02-23T02:05:03"/>
    <d v="2026-02-19T11:12:28"/>
    <s v="Closed"/>
    <s v="taskmanager - app history - adobe end task - cmd gpupdate /force"/>
    <s v="No"/>
    <s v="techm_ajalbasata"/>
    <s v="Desktop"/>
    <s v="RTA Non standard application  Incidents"/>
    <s v="Adobe Acrobat Professional"/>
    <n v="15272"/>
    <s v="Phone"/>
    <s v="Automated Resolution Reported"/>
    <s v="Sensitive"/>
    <s v="hmohalhammadi"/>
    <s v="Hoda.MAlhammadi@rta.ae"/>
    <s v="Within the Service Target"/>
  </r>
  <r>
    <s v="INC000001318679"/>
    <s v="User Service Request"/>
    <s v="Hamad"/>
    <s v="Dheyab"/>
    <s v="Guided user to unlock account via Self Service"/>
    <d v="2026-02-19T10:26:30"/>
    <s v="Corporate Technology Support Services CEO"/>
    <s v="RTA"/>
    <x v="4"/>
    <s v="Service Desk"/>
    <s v="Mohamed Siragelnour"/>
    <s v="Desktop"/>
    <s v="User Education"/>
    <s v="User Education"/>
    <s v="Low"/>
    <d v="2026-02-23T02:05:02"/>
    <d v="2026-02-19T13:45:03"/>
    <s v="Closed"/>
    <s v="Guided user to unlock account via Self Service"/>
    <s v="No"/>
    <s v="techm_mbsiragelnour"/>
    <s v="Desktop"/>
    <s v="User Education"/>
    <s v="User Education"/>
    <n v="15713"/>
    <s v="Phone"/>
    <s v="Automated Resolution Reported"/>
    <s v="Standard"/>
    <s v="hadheyab"/>
    <s v="Hamad.Dheyab@rta.ae"/>
    <s v="Within the Service Target"/>
  </r>
  <r>
    <s v="INC000001318675"/>
    <s v="User Service Request"/>
    <s v="Loloh"/>
    <s v="AL Ali"/>
    <s v="Laptop replacement request"/>
    <d v="2026-02-19T10:24:38"/>
    <s v="Procurement"/>
    <s v="RTA"/>
    <x v="0"/>
    <s v="OnSite  EUS"/>
    <s v="Ruaa Ahmed"/>
    <s v="Desktop"/>
    <s v="Replacement"/>
    <s v="Laptop replacement with Laptop"/>
    <s v="Low"/>
    <d v="2026-02-26T08:33:45"/>
    <m/>
    <s v="Pending"/>
    <m/>
    <s v="No"/>
    <s v="Techm_NRMohamed"/>
    <m/>
    <m/>
    <m/>
    <n v="6361"/>
    <s v="Phone"/>
    <s v="Asset Collection from Stores"/>
    <s v="Standard"/>
    <s v="lalali"/>
    <s v="Loloh.ALAli@rta.ae"/>
    <s v="Within the Service Target"/>
  </r>
  <r>
    <s v="INC000001318670"/>
    <s v="User Service Request"/>
    <s v="Ahmet"/>
    <s v="Dogru"/>
    <s v="Laptop"/>
    <d v="2026-02-19T10:13:59"/>
    <s v="Strategic Planning"/>
    <s v="RTA"/>
    <x v="1"/>
    <s v="OnSite  EUS"/>
    <s v="Mohamed Al Taweel"/>
    <s v="Incident"/>
    <s v="Self-service"/>
    <s v="Mendix"/>
    <s v="Low"/>
    <d v="2026-02-23T02:04:59"/>
    <d v="2026-02-19T12:25:59"/>
    <s v="Closed"/>
    <s v="Resolved by reset the network setting, restart the system. And now it's connected to RTAWLAN"/>
    <s v="No"/>
    <s v="mendix"/>
    <s v="Desktop"/>
    <s v="Network Connectivity issues"/>
    <s v="Wireless Network Issues"/>
    <n v="15143"/>
    <s v="Self Service"/>
    <s v="Automated Resolution Reported"/>
    <s v="Standard"/>
    <s v="abdogru"/>
    <s v="Ahmet.Dogru@rta.ae"/>
    <s v="Within the Service Target"/>
  </r>
  <r>
    <s v="INC000001318669"/>
    <s v="User Service Request"/>
    <s v="mohammed"/>
    <s v="shaker"/>
    <s v="Generic ID Creation"/>
    <d v="2026-02-19T10:13:23"/>
    <s v="Buses"/>
    <s v="RTA"/>
    <x v="5"/>
    <s v="Service Desk"/>
    <s v="Maitha Alhammadi"/>
    <s v="Incident"/>
    <s v="Self-service"/>
    <s v="Mendix"/>
    <s v="Low"/>
    <d v="2026-02-25T10:31:24"/>
    <d v="2026-02-25T10:31:20"/>
    <s v="Resolved"/>
    <s v="as per user email, the username has been activated. So, you can close the ticket.  Thanks for your cooperation…"/>
    <s v="No"/>
    <s v="mendix"/>
    <s v="Desktop"/>
    <s v="Profile"/>
    <s v="Request For Generic ID Creation"/>
    <n v="6329"/>
    <s v="Self Service"/>
    <s v="USER TO CONFIRM"/>
    <s v="Standard"/>
    <s v="mhshaker"/>
    <s v="mohammed.shaker@RTA.ae"/>
    <s v="Within the Service Target"/>
  </r>
  <r>
    <s v="INC000001318666"/>
    <s v="User Service Restoration"/>
    <s v="Khalid"/>
    <s v="Alshehhi"/>
    <s v="Email issue"/>
    <d v="2026-02-19T10:10:51"/>
    <s v="Parking"/>
    <s v="RTA"/>
    <x v="7"/>
    <s v="Service Desk"/>
    <s v="Ismael Ismael"/>
    <s v="Desktop"/>
    <s v="Mail Client Issue"/>
    <s v="Unable to Send/Receive Mails(RE)"/>
    <s v="Medium"/>
    <d v="2026-02-23T12:06:01"/>
    <d v="2026-02-23T12:05:57"/>
    <s v="Resolved"/>
    <s v="Received confirmation from user over phone that the issue got resolved"/>
    <s v="No"/>
    <s v="techm_iaismael"/>
    <s v="Desktop"/>
    <s v="Mail Client Issue"/>
    <s v="Unable To Send / Receive Mails"/>
    <n v="11680"/>
    <s v="Phone"/>
    <s v="USER TO CONFIRM"/>
    <s v="Standard"/>
    <s v="KMAlshehhi"/>
    <s v="Khalid.Alshehhi@rta.ae"/>
    <s v="Within the Service Target"/>
  </r>
  <r>
    <s v="INC000001318665"/>
    <s v="User Service Request"/>
    <s v="Nahla"/>
    <s v="Ahmed"/>
    <s v="unlock account request"/>
    <d v="2026-02-19T10:08:58"/>
    <s v="Human Resources &amp; Development"/>
    <s v="RTA"/>
    <x v="0"/>
    <s v="Service Desk"/>
    <s v="Techm Hussein Aljayeh"/>
    <s v="Desktop"/>
    <s v="Profile"/>
    <s v="Account Lock Out"/>
    <s v="Low"/>
    <d v="2026-02-23T02:04:58"/>
    <d v="2026-02-19T10:58:45"/>
    <s v="Closed"/>
    <s v="User Account has been unlocked"/>
    <s v="No"/>
    <s v="Techm_HHAljayeh"/>
    <s v="Desktop"/>
    <s v="Profile"/>
    <s v="Account Lock Out"/>
    <n v="15383"/>
    <s v="Phone"/>
    <s v="Automated Resolution Reported"/>
    <s v="Standard"/>
    <s v="nmoahmed"/>
    <s v="Nahla.Ahmed@rta.ae"/>
    <s v="Within the Service Target"/>
  </r>
  <r>
    <s v="INC000001318657"/>
    <s v="User Service Request"/>
    <s v="Chafiq"/>
    <s v="Jellal"/>
    <s v="Guide user to Reset Password through Self services portal."/>
    <d v="2026-02-19T10:05:49"/>
    <s v="Drivers Affairs"/>
    <s v="RTA"/>
    <x v="5"/>
    <s v="Service Desk"/>
    <s v="Mohamed Alajlani"/>
    <s v="Desktop"/>
    <s v="User Education"/>
    <s v="User Education"/>
    <s v="Low"/>
    <d v="2026-02-23T02:04:56"/>
    <d v="2026-02-19T10:06:12"/>
    <s v="Closed"/>
    <s v="As per the request, SMS with Reset Password self-services URL has been shared with the user."/>
    <s v="No"/>
    <s v="techm_myalajlani"/>
    <s v="Desktop"/>
    <s v="User Education"/>
    <s v="User Education"/>
    <n v="1050"/>
    <s v="Phone"/>
    <s v="Automated Resolution Reported"/>
    <s v="Standard"/>
    <s v="cajellal"/>
    <s v="Chafiq.Jellal@rta.ae"/>
    <s v="Within the Service Target"/>
  </r>
  <r>
    <s v="INC000001318648"/>
    <s v="User Service Request"/>
    <s v="Huda"/>
    <s v="Alhashmi"/>
    <s v="27FEB26_Laptop replacement request"/>
    <d v="2026-02-19T09:59:07"/>
    <s v="Smart Services"/>
    <s v="RTA"/>
    <x v="4"/>
    <s v="OnSite  EUS"/>
    <s v="Temporary Request"/>
    <s v="Desktop"/>
    <s v="Replacement"/>
    <s v="Laptop replacement with Laptop"/>
    <s v="Low"/>
    <d v="2026-02-26T06:53:35"/>
    <m/>
    <s v="Pending"/>
    <m/>
    <s v="No"/>
    <s v="Techm_NRMohamed"/>
    <m/>
    <m/>
    <m/>
    <n v="14511"/>
    <s v="Phone"/>
    <s v="Client Action Required"/>
    <s v="Standard"/>
    <s v="HSAAlhashmi"/>
    <s v="Huda.SAlhashmi@rta.ae"/>
    <s v="Within the Service Target"/>
  </r>
  <r>
    <s v="INC000001318639"/>
    <s v="User Service Request"/>
    <s v="Nahla"/>
    <s v="Ahmed"/>
    <s v="Password reset Request"/>
    <d v="2026-02-19T09:52:32"/>
    <s v="Human Resources &amp; Development"/>
    <s v="RTA"/>
    <x v="0"/>
    <s v="Service Desk"/>
    <s v="Aryam Juma Mohammad Albasata Albasata"/>
    <s v="Desktop"/>
    <s v="User Education"/>
    <s v="User Education"/>
    <s v="Low"/>
    <d v="2026-02-23T02:04:50"/>
    <d v="2026-02-19T09:53:51"/>
    <s v="Closed"/>
    <s v="guided user to reset password through link in sms"/>
    <s v="No"/>
    <s v="techm_ajalbasata"/>
    <s v="Desktop"/>
    <s v="User Education"/>
    <s v="User Education"/>
    <n v="15383"/>
    <s v="Phone"/>
    <s v="Automated Resolution Reported"/>
    <s v="Standard"/>
    <s v="nmoahmed"/>
    <s v="Nahla.Ahmed@rta.ae"/>
    <s v="Within the Service Target"/>
  </r>
  <r>
    <s v="INC000001318634"/>
    <s v="User Service Request"/>
    <s v="Hassan"/>
    <s v="Alzidi"/>
    <s v="Password reset Request"/>
    <d v="2026-02-19T09:48:39"/>
    <s v="Commercial Transport Activities"/>
    <s v="RTA"/>
    <x v="3"/>
    <s v="Service Desk"/>
    <s v="Aryam Juma Mohammad Albasata Albasata"/>
    <s v="Desktop"/>
    <s v="User Education"/>
    <s v="User Education"/>
    <s v="Low"/>
    <d v="2026-02-23T02:04:48"/>
    <d v="2026-02-19T09:49:43"/>
    <s v="Closed"/>
    <s v="guided user to reset password through link in sms"/>
    <s v="No"/>
    <s v="techm_ajalbasata"/>
    <s v="Desktop"/>
    <s v="User Education"/>
    <s v="User Education"/>
    <s v="V0033799"/>
    <s v="Phone"/>
    <s v="Automated Resolution Reported"/>
    <s v="Standard"/>
    <s v="tms_haalzidi"/>
    <s v="Tms_Hassan.Alzidi@rta.ae"/>
    <s v="Within the Service Target"/>
  </r>
  <r>
    <s v="INC000001318632"/>
    <s v="User Service Request"/>
    <s v="Mohamed"/>
    <s v="Al-ali"/>
    <s v="iPad request \ PTA"/>
    <d v="2026-02-19T09:51:06"/>
    <s v="Maintenance &amp; Services"/>
    <s v="RTA"/>
    <x v="5"/>
    <s v="Service Desk"/>
    <s v="Muhammed Alneil"/>
    <s v="Desktop"/>
    <s v="Hardware Request"/>
    <s v="IPad"/>
    <s v="Low"/>
    <d v="2026-02-25T08:39:12"/>
    <d v="2026-02-25T08:39:09"/>
    <s v="Resolved"/>
    <s v="We regret to inform you that based on the update from ITD, your request for iPad has not been approved as you are not eligible for a iPad as per the ITD Smart Devices Request Guidelines, CEOs, Executive Directors, Department Directors, Deputy Directors, Acting directors, CEO Office Managers and QHSE Office Managers are eligible for receiving tablet device."/>
    <s v="No"/>
    <s v="techm_maalneil"/>
    <s v="Desktop"/>
    <s v="Hardware Request"/>
    <s v="IPad"/>
    <n v="13511"/>
    <s v="Email"/>
    <s v="USER TO CONFIRM"/>
    <s v="Standard"/>
    <s v="MABDAAlali"/>
    <s v="Mohamed.AHAlali@rta.ae"/>
    <s v="Within the Service Target"/>
  </r>
  <r>
    <s v="INC000001318631"/>
    <s v="User Service Request"/>
    <s v="Wadha"/>
    <s v="Shukry"/>
    <s v="unlock account request"/>
    <d v="2026-02-19T09:46:53"/>
    <s v="Drivers Licensing"/>
    <s v="RTA"/>
    <x v="3"/>
    <s v="Service Desk"/>
    <s v="Techm Hussein Aljayeh"/>
    <s v="Desktop"/>
    <s v="Profile"/>
    <s v="Account Lock Out"/>
    <s v="Low"/>
    <d v="2026-02-23T02:04:47"/>
    <d v="2026-02-19T10:59:01"/>
    <s v="Closed"/>
    <s v="User Account has been unlocked"/>
    <s v="No"/>
    <s v="Techm_HHAljayeh"/>
    <s v="Desktop"/>
    <s v="Profile"/>
    <s v="Account Lock Out"/>
    <n v="11114"/>
    <s v="Phone"/>
    <s v="Automated Resolution Reported"/>
    <s v="Standard"/>
    <s v="washukry"/>
    <s v="Wadha.Shukry@rta.ae"/>
    <s v="Within the Service Target"/>
  </r>
  <r>
    <s v="INC000001318627"/>
    <s v="User Service Request"/>
    <s v="Hessah"/>
    <s v="Alhassan"/>
    <s v="Connect Laptop to Projector in Meeting Room"/>
    <d v="2026-02-19T09:42:47"/>
    <s v="Procurement"/>
    <s v="RTA"/>
    <x v="0"/>
    <s v="OnSite  EUS"/>
    <s v="Solaiman Alhussni"/>
    <s v="Desktop"/>
    <s v="Audio and Video"/>
    <s v="Projectors"/>
    <s v="High"/>
    <d v="2026-02-23T02:04:45"/>
    <d v="2026-02-19T09:55:44"/>
    <s v="Closed"/>
    <s v="The user's laptop is configured for screen duplication."/>
    <s v="No"/>
    <s v="techm_mbsiragelnour"/>
    <s v="Desktop"/>
    <s v="Audio and Video"/>
    <s v="Projectors"/>
    <n v="13584"/>
    <s v="Phone"/>
    <s v="Automated Resolution Reported"/>
    <s v="Standard"/>
    <s v="HSIAlhassan"/>
    <s v="Hessah.SAlhassan@rta.ae"/>
    <s v="Within the Service Target"/>
  </r>
  <r>
    <s v="INC000001318623"/>
    <s v="User Service Request"/>
    <s v="Fatima"/>
    <s v="Aldhuhoori"/>
    <s v="Request to provide new Mouse  for Director"/>
    <d v="2026-02-19T09:37:32"/>
    <s v="Licensing Systems"/>
    <s v="RTA"/>
    <x v="3"/>
    <s v="OnSite  EUS"/>
    <s v="Ahmed Almeldeen"/>
    <s v="Desktop"/>
    <s v="Peripherals"/>
    <s v="Mouse"/>
    <s v="High"/>
    <d v="2026-02-23T02:04:45"/>
    <d v="2026-02-19T11:13:57"/>
    <s v="Closed"/>
    <s v="laptop drivers have been updated and mouse is working fine"/>
    <s v="No"/>
    <s v="Techm_NRMohamed"/>
    <s v="Desktop"/>
    <s v="Peripherals"/>
    <s v="Mouse"/>
    <n v="13357"/>
    <s v="Phone"/>
    <s v="Automated Resolution Reported"/>
    <s v="Standard"/>
    <s v="FAAldhuhoori"/>
    <s v="Fatima.Aldhuhoori@rta.ae"/>
    <s v="Within the Service Target"/>
  </r>
  <r>
    <s v="INC000001318620"/>
    <s v="User Service Restoration"/>
    <s v="Amal"/>
    <s v="Alsinani"/>
    <s v="?????? ??????? "/>
    <d v="2026-02-19T09:33:37"/>
    <s v="Development &amp; Corporate Performance"/>
    <s v="RTA"/>
    <x v="1"/>
    <s v="Service Desk"/>
    <s v="Techm Ghaya Hamad"/>
    <s v="Incident"/>
    <s v="Self-service"/>
    <s v="Mendix"/>
    <s v="Medium"/>
    <d v="2026-02-24T10:00:41"/>
    <d v="2026-02-24T10:00:35"/>
    <s v="Resolved"/>
    <s v="Reapplied the permission by Server team &amp; user is able to receive email"/>
    <s v="No"/>
    <s v="mendix"/>
    <s v="Desktop"/>
    <s v="Mail Client Issue"/>
    <s v="Unable To Send / Receive Mails"/>
    <n v="12182"/>
    <s v="Self Service"/>
    <s v="USER TO CONFIRM"/>
    <s v="Standard"/>
    <s v="asalsinani"/>
    <s v="Amal.Alsinani@rta.ae"/>
    <s v="Within the Service Target"/>
  </r>
  <r>
    <s v="INC000001318615"/>
    <s v="User Service Restoration"/>
    <s v="Tarak"/>
    <s v="Baccouche"/>
    <s v="Mailbox full Issue"/>
    <d v="2026-02-19T09:30:23"/>
    <s v="Legal Affairs"/>
    <s v="RTA"/>
    <x v="1"/>
    <s v="Service Desk"/>
    <s v="Techm Ghaya Hamad"/>
    <s v="Desktop"/>
    <s v="Mail Box Issue"/>
    <s v="Mail Box Full(RE)"/>
    <s v="Medium"/>
    <d v="2026-02-26T07:41:59"/>
    <m/>
    <s v="Pending"/>
    <m/>
    <s v="No"/>
    <s v="Techm_GAHamad"/>
    <m/>
    <m/>
    <m/>
    <n v="14125"/>
    <s v="Phone"/>
    <s v="Support Contact Hold"/>
    <s v="Standard"/>
    <s v="TBBaccouche"/>
    <s v="Tarak.Baccouche@rta.ae"/>
    <s v="Within the Service Target"/>
  </r>
  <r>
    <s v="INC000001318613"/>
    <s v="User Service Restoration"/>
    <s v="Omnia"/>
    <s v="Abada"/>
    <s v="EV Issue"/>
    <d v="2026-02-19T09:28:57"/>
    <s v="Rail Planning &amp; Projects Development"/>
    <s v="RTA"/>
    <x v="6"/>
    <s v="Service Desk"/>
    <s v="Ismael Ismael"/>
    <s v="Desktop"/>
    <s v="Mail"/>
    <s v="Enterprise Vault"/>
    <s v="Medium"/>
    <d v="2026-02-26T09:42:36"/>
    <m/>
    <s v="Pending"/>
    <m/>
    <s v="No"/>
    <s v="techm_iaismael"/>
    <s v="Desktop"/>
    <s v="Mail Client Issue"/>
    <s v="Outlook Configuration Issue(RE)"/>
    <n v="13276"/>
    <s v="Phone"/>
    <s v="Support Contact Hold"/>
    <s v="Standard"/>
    <s v="OAAbada"/>
    <s v="Omnia.Abada@rta.ae"/>
    <s v="Within the Service Target"/>
  </r>
  <r>
    <s v="INC000001318602"/>
    <s v="User Service Request"/>
    <s v="Syed"/>
    <s v="Hussain"/>
    <s v="Guide user to Unlock Account through Self services portal."/>
    <d v="2026-02-19T09:13:19"/>
    <s v="Intelligent Traffic System"/>
    <s v="RTA"/>
    <x v="7"/>
    <s v="Service Desk"/>
    <s v="Mohamed Alajlani"/>
    <s v="Desktop"/>
    <s v="User Education"/>
    <s v="User Education"/>
    <s v="Low"/>
    <d v="2026-02-23T02:04:38"/>
    <d v="2026-02-19T09:13:39"/>
    <s v="Closed"/>
    <s v="The account has been unlocked successfully."/>
    <s v="No"/>
    <s v="techm_myalajlani"/>
    <s v="Desktop"/>
    <s v="User Education"/>
    <s v="User Education"/>
    <n v="15531"/>
    <s v="Phone"/>
    <s v="Automated Resolution Reported"/>
    <s v="Standard"/>
    <s v="sthussain"/>
    <s v="Syed.THussain@rta.ae"/>
    <s v="Within the Service Target"/>
  </r>
  <r>
    <s v="INC000001318598"/>
    <s v="User Service Request"/>
    <s v="Hamad"/>
    <s v="Al bedwawi"/>
    <s v="Unlock account request"/>
    <d v="2026-02-19T09:07:14"/>
    <s v="Licensing Activities Monitoring"/>
    <s v="RTA"/>
    <x v="3"/>
    <s v="Service Desk"/>
    <s v="Mohamed Siragelnour"/>
    <s v="Desktop"/>
    <s v="Profile"/>
    <s v="Account Lock Out"/>
    <s v="Low"/>
    <d v="2026-02-23T02:04:36"/>
    <d v="2026-02-19T09:09:10"/>
    <s v="Closed"/>
    <s v="Account has been unlocked successfully."/>
    <s v="No"/>
    <s v="techm_mbsiragelnour"/>
    <s v="Desktop"/>
    <s v="Profile"/>
    <s v="Account Lock Out"/>
    <n v="6141"/>
    <s v="Phone"/>
    <s v="Automated Resolution Reported"/>
    <s v="Standard"/>
    <s v="hialbedwawi"/>
    <s v="Hamad.Albedwawi@RTA.ae"/>
    <s v="Within the Service Target"/>
  </r>
  <r>
    <s v="INC000001318593"/>
    <s v="User Service Restoration"/>
    <s v="Shareef"/>
    <s v="Yousef Abu Taha"/>
    <s v="????? ?? ????? ????? ?????????? ??? ?????"/>
    <d v="2026-02-19T08:58:22"/>
    <s v="Marketing &amp; Corporate Communication"/>
    <s v="RTA"/>
    <x v="0"/>
    <s v="OnSite  EUS"/>
    <s v="Ali Adam"/>
    <s v="Incident"/>
    <s v="Self-service"/>
    <s v="Mendix"/>
    <s v="Medium"/>
    <d v="2026-02-26T06:53:35"/>
    <m/>
    <s v="Pending"/>
    <m/>
    <s v="No"/>
    <s v="mendix"/>
    <m/>
    <m/>
    <m/>
    <n v="4289"/>
    <s v="Self Service"/>
    <s v="Local Site Action Required"/>
    <s v="Standard"/>
    <s v="syataha"/>
    <s v="shareef.taha@rta.ae"/>
    <s v="Within the Service Target"/>
  </r>
  <r>
    <s v="INC000001318575"/>
    <s v="User Service Request"/>
    <s v="Hind"/>
    <s v="Alketbi"/>
    <s v="Guide user to reset the Password through Self services portal."/>
    <d v="2026-02-19T08:41:57"/>
    <s v="Rail Maintainance"/>
    <s v="RTA"/>
    <x v="6"/>
    <s v="Service Desk"/>
    <s v="Techm Hussein Aljayeh"/>
    <s v="Desktop"/>
    <s v="User Education"/>
    <s v="User Education"/>
    <s v="Low"/>
    <d v="2026-02-23T02:04:30"/>
    <d v="2026-02-19T11:00:07"/>
    <s v="Closed"/>
    <s v="Password Reset SOP Sent to User by SMS,User Confirm On the same Hence ticket closed"/>
    <s v="No"/>
    <s v="Techm_HHAljayeh"/>
    <s v="Desktop"/>
    <s v="User Education"/>
    <s v="User Education"/>
    <n v="15431"/>
    <s v="Phone"/>
    <s v="Automated Resolution Reported"/>
    <s v="Standard"/>
    <s v="hmoalketbi"/>
    <s v="Hind.Alketbi@rta.ae"/>
    <s v="Within the Service Target"/>
  </r>
  <r>
    <s v="INC000001318566"/>
    <s v="User Service Request"/>
    <s v="Mohamed"/>
    <s v="Fagery"/>
    <s v="AV Defenition Update"/>
    <d v="2026-02-19T10:19:28"/>
    <s v="Customer Happiness"/>
    <s v="RTA"/>
    <x v="0"/>
    <s v="Service Desk"/>
    <s v="Mohamed Siragelnour"/>
    <s v="Desktop"/>
    <s v="AV Update ( Antivirus)"/>
    <s v="AV Definition Update"/>
    <s v="Low"/>
    <d v="2026-02-23T02:05:00"/>
    <d v="2026-02-19T10:22:42"/>
    <s v="Closed"/>
    <s v="AV Defenition has been updated successfully."/>
    <s v="No"/>
    <s v="techm_mbsiragelnour"/>
    <s v="Desktop"/>
    <s v="AV Update ( Antivirus)"/>
    <s v="AV Definition Update"/>
    <s v="V0025973"/>
    <s v="Phone"/>
    <s v="Automated Resolution Reported"/>
    <s v="Standard"/>
    <s v="avaya_mhfagery"/>
    <s v="Avaya_Mohamed.Fagery@rta.ae"/>
    <s v="Within the Service Target"/>
  </r>
  <r>
    <s v="INC000001318565"/>
    <s v="User Service Request"/>
    <s v="Mohamed"/>
    <s v="Alsaffar"/>
    <s v="AV Defenition Update"/>
    <d v="2026-02-19T10:19:03"/>
    <s v="Drivers Licensing"/>
    <s v="RTA"/>
    <x v="3"/>
    <s v="Service Desk"/>
    <s v="Mohamed Siragelnour"/>
    <s v="Desktop"/>
    <s v="AV Update ( Antivirus)"/>
    <s v="AV Definition Update"/>
    <s v="Low"/>
    <d v="2026-02-23T02:04:59"/>
    <d v="2026-02-19T10:23:16"/>
    <s v="Closed"/>
    <s v="AV Defenition has been updated successfully."/>
    <s v="No"/>
    <s v="techm_mbsiragelnour"/>
    <s v="Desktop"/>
    <s v="AV Update ( Antivirus)"/>
    <s v="AV Definition Update"/>
    <n v="6804"/>
    <s v="Phone"/>
    <s v="Automated Resolution Reported"/>
    <s v="Standard"/>
    <s v="maalsaffar"/>
    <s v="Mohamed.Alsaffar@RTA.ae"/>
    <s v="Within the Service Target"/>
  </r>
  <r>
    <s v="INC000001318556"/>
    <s v="User Service Request"/>
    <s v="Naseem"/>
    <s v="Matalka"/>
    <s v="Software Installing Request"/>
    <d v="2026-02-19T08:04:22"/>
    <s v="Parking"/>
    <s v="RTA"/>
    <x v="7"/>
    <s v="OnSite  EUS"/>
    <s v="Techm Osama Abdullatif"/>
    <s v="Incident"/>
    <s v="Self-service"/>
    <s v="Mendix"/>
    <s v="Low"/>
    <d v="2026-02-26T09:45:52"/>
    <m/>
    <s v="Pending"/>
    <m/>
    <s v="No"/>
    <s v="mendix"/>
    <m/>
    <m/>
    <m/>
    <n v="12809"/>
    <s v="Self Service"/>
    <s v="Client Action Required"/>
    <s v="Standard"/>
    <s v="NAMatalka"/>
    <s v="Naseem.Matalka@rta.ae"/>
    <s v="Within the Service Target"/>
  </r>
  <r>
    <s v="INC000001318545"/>
    <s v="User Service Request"/>
    <s v="Ali"/>
    <s v="Salim Ali Humaid "/>
    <s v="Laptop"/>
    <d v="2026-02-19T07:49:54"/>
    <s v="Administration Services"/>
    <s v="RTA"/>
    <x v="0"/>
    <s v="OnSite  EUS"/>
    <s v="Solaiman Alhussni"/>
    <s v="Incident"/>
    <s v="Self-service"/>
    <s v="Mendix"/>
    <s v="Low"/>
    <d v="2026-02-24T09:25:23"/>
    <d v="2026-02-24T09:25:17"/>
    <s v="Resolved"/>
    <s v="the Laptop age is 4Y,9M  an Email has been sent to the user to reopen a new Ticket after 3 months"/>
    <s v="No"/>
    <s v="mendix"/>
    <s v="Desktop"/>
    <s v="Replacement"/>
    <s v="Laptop Replacement With Laptop"/>
    <n v="350"/>
    <s v="Self Service"/>
    <s v="USER TO CONFIRM"/>
    <s v="Standard"/>
    <s v="ASHumaid"/>
    <s v="Ali.Humaid@rta.ae"/>
    <s v="Within the Service Target"/>
  </r>
  <r>
    <s v="INC000001318543"/>
    <s v="User Service Request"/>
    <s v="Sathyakumar"/>
    <s v="Kandasamy"/>
    <s v="unlock account request"/>
    <d v="2026-02-19T08:07:03"/>
    <s v="Transportation Systems"/>
    <s v="RTA"/>
    <x v="5"/>
    <s v="Service Desk"/>
    <s v="Techm Abdalbagee Hamed"/>
    <s v="Desktop"/>
    <s v="Profile"/>
    <s v="Account Lock Out"/>
    <s v="Low"/>
    <d v="2026-02-23T02:04:17"/>
    <d v="2026-02-19T08:07:36"/>
    <s v="Closed"/>
    <s v="User AD account has been unlocked"/>
    <s v="No"/>
    <s v="Techm_AMHamed"/>
    <s v="Desktop"/>
    <s v="Profile"/>
    <s v="Account Lock Out"/>
    <s v="V0028040"/>
    <s v="Phone"/>
    <s v="Automated Resolution Reported"/>
    <s v="Standard"/>
    <s v="ebm_skkandasamy"/>
    <s v="Ebm_Sathyakumar.Kandasamy@rta.ae"/>
    <s v="Within the Service Target"/>
  </r>
  <r>
    <s v="INC000001318540"/>
    <s v="User Service Request"/>
    <s v="Mohamed"/>
    <s v="Abdelmaguid"/>
    <s v="VPN Configuration Request"/>
    <d v="2026-02-19T07:31:27"/>
    <s v="Licensing Activities Monitoring"/>
    <s v="RTA"/>
    <x v="3"/>
    <s v="Service Desk"/>
    <s v="Techm Abdalbagee Hamed"/>
    <s v="Desktop"/>
    <s v="Configuration"/>
    <s v="VPN Configuration"/>
    <s v="Low"/>
    <d v="2026-02-23T02:04:09"/>
    <d v="2026-02-19T07:33:36"/>
    <s v="Closed"/>
    <s v="VPN account has been configured and connected."/>
    <s v="No"/>
    <s v="Techm_AMHamed"/>
    <s v="Desktop"/>
    <s v="Configuration"/>
    <s v="VPN Configuration"/>
    <s v="V0012834"/>
    <s v="Phone"/>
    <s v="Automated Resolution Reported"/>
    <s v="Standard"/>
    <s v="okool_msabdelmaguid"/>
    <s v="Okool_Mohamed.Abdelmaguid@rta.ae"/>
    <s v="Within the Service Target"/>
  </r>
  <r>
    <s v="INC000001318535"/>
    <s v="User Service Request"/>
    <s v="Abdallah"/>
    <s v="Bloushi"/>
    <s v="Request to activate office 365 license"/>
    <d v="2026-02-19T07:13:45"/>
    <s v="Transportation Systems"/>
    <s v="RTA"/>
    <x v="5"/>
    <s v="Service Desk"/>
    <s v="Techm Abdalbagee Hamed"/>
    <s v="Desktop"/>
    <s v="RTA Standard Application installation Request"/>
    <s v="MS Office Installation Request"/>
    <s v="Low"/>
    <d v="2026-02-23T02:04:03"/>
    <d v="2026-02-19T07:13:55"/>
    <s v="Closed"/>
    <s v="in excel app: - Go to file. - Office account. - Sign in. - Enter username@rta.ae - Enter password. - click option to sign in to all MS apps."/>
    <s v="No"/>
    <s v="Techm_AMHamed"/>
    <s v="Desktop"/>
    <s v="RTA Standard Application installation Request"/>
    <s v="MS Office Installation Request"/>
    <n v="13832"/>
    <s v="Phone"/>
    <s v="Automated Resolution Reported"/>
    <s v="Standard"/>
    <s v="ASBloushi"/>
    <s v="Abdallah.Bloushi@rta.ae"/>
    <s v="Within the Service Target"/>
  </r>
  <r>
    <s v="INC000001318533"/>
    <s v="User Service Request"/>
    <s v="Basheer"/>
    <s v="Alkurdi"/>
    <s v="Request to activate office 365 license"/>
    <d v="2026-02-19T07:12:51"/>
    <s v="Buses"/>
    <s v="RTA"/>
    <x v="5"/>
    <s v="Service Desk"/>
    <s v="Techm Abdalbagee Hamed"/>
    <s v="Desktop"/>
    <s v="RTA Standard Application installation Request"/>
    <s v="MS Office Installation Request"/>
    <s v="Low"/>
    <d v="2026-02-23T02:04:03"/>
    <d v="2026-02-19T07:30:27"/>
    <s v="Closed"/>
    <s v="in excel app: - Go to file. - Office account. - Sign in. - Enter username@rta.ae - Enter password. - click option to sign in to all MS apps."/>
    <s v="No"/>
    <s v="Techm_AMHamed"/>
    <s v="Desktop"/>
    <s v="RTA Standard Application installation Request"/>
    <s v="MS Office Installation Request"/>
    <s v="V0025237"/>
    <s v="Phone"/>
    <s v="Automated Resolution Reported"/>
    <s v="Standard"/>
    <s v="srsl_bmalkurdi"/>
    <s v="Srsl_Basheer.Alkurdi@rta.ae"/>
    <s v="Within the Service Target"/>
  </r>
  <r>
    <s v="INC000001318508"/>
    <s v="User Service Request"/>
    <s v="Surjeet"/>
    <s v="Samanta"/>
    <s v="Device error 0X133"/>
    <d v="2026-02-19T04:05:05"/>
    <s v="Information Technology"/>
    <s v="RTA"/>
    <x v="4"/>
    <s v="SCCM-Nexthink Support"/>
    <s v="Surjeet Samanta"/>
    <s v="Desktop"/>
    <s v="Proactive Monitoring"/>
    <s v="Proactive Action"/>
    <s v="Low"/>
    <d v="2026-02-23T02:03:48"/>
    <d v="2026-02-19T17:21:20"/>
    <s v="Closed"/>
    <s v="We have pushed the required registry fix to the affected device.. No further action required"/>
    <s v="No"/>
    <s v="Techm_AMHamed"/>
    <s v="Desktop"/>
    <s v="Proactive Monitoring"/>
    <s v="Proactive Action"/>
    <s v="V0024624"/>
    <s v="Email"/>
    <s v="Automated Resolution Reported"/>
    <s v="Standard"/>
    <s v="techm_sjsamanta"/>
    <s v="Techm_Surjeet.Samanta@rta.ae"/>
    <s v="Within the Service Target"/>
  </r>
  <r>
    <s v="INC000001318502"/>
    <s v="User Service Request"/>
    <s v="Mohammad"/>
    <s v="Mohammad"/>
    <s v="Guide user to unlock through Self services portal."/>
    <d v="2026-02-19T02:20:07"/>
    <s v="Parkin"/>
    <s v="RTA"/>
    <x v="8"/>
    <s v="Service Desk"/>
    <s v="Techm Abdalbagee Hamed"/>
    <s v="Desktop"/>
    <s v="User Education"/>
    <s v="User Education"/>
    <s v="Low"/>
    <d v="2026-02-23T02:03:44"/>
    <d v="2026-02-19T02:20:17"/>
    <s v="Closed"/>
    <s v="As per the request, SMS with Unlock self-services URL has been shared with the user."/>
    <s v="No"/>
    <s v="Techm_AMHamed"/>
    <s v="Desktop"/>
    <s v="User Education"/>
    <s v="User Education"/>
    <n v="871"/>
    <s v="Phone"/>
    <s v="Automated Resolution Reported"/>
    <s v="Standard"/>
    <s v="MOAalbalooshi"/>
    <s v="Mohammed.Albalooshi@rta.ae"/>
    <s v="Within the Service Target"/>
  </r>
  <r>
    <s v="INC000001318474"/>
    <s v="User Service Request"/>
    <s v="Mohamed"/>
    <s v="Abdelrahman"/>
    <s v="Guide user to unlock through Self services portal."/>
    <d v="2026-02-19T00:29:30"/>
    <s v="Right Of Way"/>
    <s v="RTA"/>
    <x v="7"/>
    <s v="Service Desk"/>
    <s v="Techm Abdalbagee Hamed"/>
    <s v="Desktop"/>
    <s v="User Education"/>
    <s v="User Education"/>
    <s v="Low"/>
    <d v="2026-02-22T02:07:42"/>
    <d v="2026-02-19T00:29:41"/>
    <s v="Closed"/>
    <s v="As per the request, SMS with Unlock self-services URL has been shared with the user."/>
    <s v="No"/>
    <s v="Techm_AMHamed"/>
    <s v="Desktop"/>
    <s v="User Education"/>
    <s v="User Education"/>
    <n v="14012"/>
    <s v="Phone"/>
    <s v="Automated Resolution Reported"/>
    <s v="Standard"/>
    <s v="MMAbdelrahman"/>
    <s v="Mohamed.Abdelrahman@rta.ae"/>
    <s v="Within the Service Target"/>
  </r>
  <r>
    <s v="INC000001318473"/>
    <s v="User Service Request"/>
    <s v="Khalid"/>
    <s v="Al Mulla"/>
    <s v="Guide user to unlock through Self services portal."/>
    <d v="2026-02-19T00:29:52"/>
    <s v="Passengers Transport Activities Monitoring"/>
    <s v="RTA"/>
    <x v="5"/>
    <s v="Service Desk"/>
    <s v="Techm Abdalbagee Hamed"/>
    <s v="Desktop"/>
    <s v="User Education"/>
    <s v="User Education"/>
    <s v="Low"/>
    <d v="2026-02-22T02:07:43"/>
    <d v="2026-02-19T00:30:00"/>
    <s v="Closed"/>
    <s v="As per the request, SMS with Unlock self-services URL has been shared with the user."/>
    <s v="No"/>
    <s v="Techm_AMHamed"/>
    <s v="Desktop"/>
    <s v="User Education"/>
    <s v="User Education"/>
    <n v="3891"/>
    <s v="Phone"/>
    <s v="Automated Resolution Reported"/>
    <s v="Standard"/>
    <s v="kaalmulla"/>
    <s v="Khalid.AAlmulla@rta.ae"/>
    <s v="Within the Service Target"/>
  </r>
  <r>
    <s v="INC000001315906"/>
    <s v="User Service Request"/>
    <s v="Amna"/>
    <s v="Abdullah"/>
    <s v="Nexthink: Desktops with system disk nearly full"/>
    <d v="2026-02-23T01:58:33"/>
    <s v="Customer Happiness"/>
    <s v="RTA"/>
    <x v="0"/>
    <s v="OnSite  EUS"/>
    <s v="Ali Adam"/>
    <s v="Desktop"/>
    <s v="Proactive Monitoring"/>
    <s v="Proactive Action"/>
    <s v="Low"/>
    <d v="2026-02-26T06:53:37"/>
    <m/>
    <s v="Pending"/>
    <m/>
    <s v="No"/>
    <s v="Techm_HHAljayeh"/>
    <m/>
    <m/>
    <m/>
    <n v="11763"/>
    <s v="Email"/>
    <s v="Client Action Required"/>
    <s v="Standard"/>
    <s v="asabdullah"/>
    <s v="Amna.Abdullah@rta.ae"/>
    <s v="Within the Service Target"/>
  </r>
  <r>
    <s v="INC000001315904"/>
    <s v="User Service Request"/>
    <s v="Amna"/>
    <s v="Al Shamsi"/>
    <s v="Nexthink: Desktops with system disk nearly full"/>
    <d v="2026-02-23T01:57:28"/>
    <s v="Transportation Systems"/>
    <s v="RTA"/>
    <x v="5"/>
    <s v="OnSite  EUS"/>
    <s v="Ahmed Almeldeen"/>
    <s v="Desktop"/>
    <s v="Proactive Monitoring"/>
    <s v="Proactive Action"/>
    <s v="Low"/>
    <d v="2026-02-24T13:38:29"/>
    <d v="2026-02-24T13:38:27"/>
    <s v="Resolved"/>
    <s v="The C Drive now has free space and the machine is working fine"/>
    <s v="No"/>
    <s v="Techm_HHAljayeh"/>
    <s v="Desktop"/>
    <s v="Proactive Monitoring"/>
    <s v="Proactive Action"/>
    <n v="12209"/>
    <s v="Email"/>
    <s v="No Further Action Required"/>
    <s v="Standard"/>
    <s v="analshamsi"/>
    <s v="amnan.alshamsi@rta.ae"/>
    <s v="Within the Service Target"/>
  </r>
  <r>
    <s v="INC000001315903"/>
    <s v="User Service Request"/>
    <s v="Gubran Abdulalhakim"/>
    <s v="Hahoud"/>
    <s v="Nexthink: Desktops with system disk nearly full"/>
    <d v="2026-02-23T01:54:53"/>
    <s v="Customer Happiness"/>
    <s v="RTA"/>
    <x v="0"/>
    <s v="OnSite  EUS"/>
    <s v="Mohamed Mustaq Ali"/>
    <s v="Desktop"/>
    <s v="Proactive Monitoring"/>
    <s v="Proactive Action"/>
    <s v="Low"/>
    <d v="2026-02-23T08:59:12"/>
    <d v="2026-02-23T08:59:11"/>
    <s v="Resolved"/>
    <s v="This desktop was already replaced with Asset refreshment plan with new desktop #INC000001312457, the old desktop will sent to store."/>
    <s v="No"/>
    <s v="Techm_HHAljayeh"/>
    <s v="Desktop"/>
    <s v="Proactive Monitoring"/>
    <s v="Proactive Action"/>
    <n v="3297"/>
    <s v="Email"/>
    <s v="USER TO CONFIRM"/>
    <s v="Standard"/>
    <s v="ghahoud"/>
    <s v="Gubran.Hammod@rta.ae"/>
    <s v="Within the Service Target"/>
  </r>
  <r>
    <s v="INC000001315900"/>
    <s v="User Service Request"/>
    <s v="Fahad"/>
    <s v="Issa"/>
    <s v="Nexthink: RTA-Devices with CPU issues"/>
    <d v="2026-02-23T01:49:27"/>
    <s v="Licensing Activities Monitoring"/>
    <s v="RTA"/>
    <x v="3"/>
    <s v="OnSite  EUS"/>
    <s v="Ali Adam"/>
    <s v="Desktop"/>
    <s v="Proactive Monitoring"/>
    <s v="Proactive Action"/>
    <s v="Low"/>
    <d v="2026-02-24T08:33:43"/>
    <d v="2026-02-24T08:33:39"/>
    <s v="Resolved"/>
    <s v="- Drivers updated, and old data transferred from C Partition to D Partition"/>
    <s v="No"/>
    <s v="Techm_HHAljayeh"/>
    <s v="Desktop"/>
    <s v="Proactive Monitoring"/>
    <s v="Proactive Action"/>
    <s v="V0031560"/>
    <s v="Email"/>
    <s v="USER TO CONFIRM"/>
    <s v="Standard"/>
    <s v="okool_faissa"/>
    <s v="Okool_Fahad.Issa@rta.ae"/>
    <s v="Within the Service Target"/>
  </r>
  <r>
    <s v="INC000001315899"/>
    <s v="User Service Request"/>
    <s v="Mohammad"/>
    <s v="Ahli"/>
    <s v="Nexthink: RTA-Devices with CPU issues"/>
    <d v="2026-02-23T01:45:15"/>
    <s v="Buses"/>
    <s v="RTA"/>
    <x v="5"/>
    <s v="OnSite  EUS"/>
    <s v="Techm Ahmad Khantomany"/>
    <s v="Desktop"/>
    <s v="Proactive Monitoring"/>
    <s v="Proactive Action"/>
    <s v="Low"/>
    <d v="2026-02-24T16:41:15"/>
    <d v="2026-02-24T16:41:13"/>
    <s v="Resolved"/>
    <s v="GP updated. RTA-Devices with CPU issues due to multitasking, No further action is required"/>
    <s v="No"/>
    <s v="Techm_HHAljayeh"/>
    <s v="Desktop"/>
    <s v="Proactive Monitoring"/>
    <s v="Proactive Action"/>
    <n v="13242"/>
    <s v="Email"/>
    <s v="USER TO CONFIRM"/>
    <s v="Standard"/>
    <s v="MNAhli"/>
    <s v="Mohammad.NAhli@rta.ae"/>
    <s v="Within the Service Target"/>
  </r>
  <r>
    <s v="INC000001315898"/>
    <s v="User Service Request"/>
    <s v="Anish"/>
    <s v="Jacob"/>
    <s v="Nexthink: Blue Screen &gt;3 Times ( For Past one week)"/>
    <d v="2026-02-23T01:38:58"/>
    <s v="Transportation Systems"/>
    <s v="RTA"/>
    <x v="5"/>
    <s v="OnSite  EUS"/>
    <s v="Nihad Mozayek"/>
    <s v="Desktop"/>
    <s v="Proactive Monitoring"/>
    <s v="Proactive Action"/>
    <s v="Low"/>
    <d v="2026-02-24T11:43:10"/>
    <d v="2026-02-24T11:43:04"/>
    <s v="Resolved"/>
    <s v="Cleaned up system cache files, updated the drivers, run sfc /scannow and rebooted the system. It's working properly"/>
    <s v="No"/>
    <s v="Techm_HHAljayeh"/>
    <s v="Desktop"/>
    <s v="Proactive Monitoring"/>
    <s v="Proactive Action"/>
    <s v="V0026105"/>
    <s v="Email"/>
    <s v="No Further Action Required"/>
    <s v="Standard"/>
    <s v="ebm_ajjacob"/>
    <s v="Ebm_Anish.Jacob@rta.ae"/>
    <s v="Within the Service Target"/>
  </r>
  <r>
    <s v="INC000001315886"/>
    <s v="User Service Request"/>
    <s v="Khawla"/>
    <s v="AlGaradi"/>
    <s v="unlock account request"/>
    <d v="2026-02-22T23:53:35"/>
    <s v="Finance"/>
    <s v="RTA"/>
    <x v="0"/>
    <s v="Service Desk"/>
    <s v="Techm Hussein Aljayeh"/>
    <s v="Desktop"/>
    <s v="Profile"/>
    <s v="Account Lock Out"/>
    <s v="Low"/>
    <d v="2026-02-26T02:00:29"/>
    <d v="2026-02-23T01:32:40"/>
    <s v="Closed"/>
    <s v="User Account has been unlocked"/>
    <s v="No"/>
    <s v="Techm_HHAljayeh"/>
    <s v="Desktop"/>
    <s v="Profile"/>
    <s v="Account Lock Out"/>
    <n v="7485"/>
    <s v="Phone"/>
    <s v="Automated Resolution Reported"/>
    <s v="Standard"/>
    <s v="kmalgaradi"/>
    <s v="Khawla.AlGaradi@RTA.ae"/>
    <s v="Within the Service Target"/>
  </r>
  <r>
    <s v="INC000001315876"/>
    <s v="User Service Request"/>
    <s v="Mustafa"/>
    <s v="Hassan"/>
    <s v="Outlook configuration "/>
    <d v="2026-02-20T09:03:37"/>
    <s v="Customer Happiness"/>
    <s v="RTA"/>
    <x v="0"/>
    <s v="OnSite  EUS"/>
    <s v="Techm Osama Abdullatif"/>
    <s v="Desktop"/>
    <s v="Mail"/>
    <s v="Outlook Reconfiguration(RE)"/>
    <s v="Low"/>
    <d v="2026-02-24T02:02:39"/>
    <d v="2026-02-20T11:48:41"/>
    <s v="Closed"/>
    <s v="assested the user with the configuration after he is migrated to office 365 account"/>
    <s v="No"/>
    <s v="Techm_OFAbdullatif"/>
    <s v="Desktop"/>
    <s v="Mail"/>
    <s v="Outlook Reconfiguration"/>
    <n v="13011"/>
    <s v="Web"/>
    <s v="Automated Resolution Reported"/>
    <s v="Standard"/>
    <s v="MAHHassan"/>
    <s v="Mustafa.AHassan@rta.ae"/>
    <s v="Within the Service Targe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s v="INC000001321966"/>
    <s v="User Service Request"/>
    <s v="Omran"/>
    <s v="Almaazmi"/>
    <d v="2026-02-25T22:56:32"/>
    <s v="Customer Happiness"/>
    <s v="RTA"/>
    <x v="0"/>
    <s v="Smart traffic edge configuration request"/>
    <s v="Techm Omer Mohamed"/>
    <s v="Service Desk"/>
    <m/>
    <s v="USER TO CONFIRM"/>
    <m/>
    <s v="4-Minor/Localized"/>
    <s v="4-Low"/>
    <s v="Dubai"/>
    <s v="Desktop"/>
    <s v="RTA Standard Application installation Request"/>
    <s v="MS Edge"/>
    <d v="2026-02-25T22:58:22"/>
    <s v="No"/>
    <s v="Within the Service Target"/>
    <s v="Phone"/>
    <s v="Smart traffic settings has been configured on ms edge as per the request"/>
    <s v="Resolved"/>
    <s v="No"/>
    <s v="Techm_OFMohamed"/>
    <s v="Low"/>
    <s v="Desktop"/>
    <s v="RTA Standard Application installation Request"/>
    <s v="MS Edge"/>
    <s v="Resolved"/>
    <n v="15896"/>
    <m/>
    <m/>
    <n v="0"/>
    <s v="Standard"/>
    <s v="oyalmaazmi"/>
    <s v="Omran.Almaazmi@rta.ae"/>
  </r>
  <r>
    <s v="INC000001321965"/>
    <s v="User Service Request"/>
    <s v="Amna"/>
    <s v="Alameri"/>
    <d v="2026-02-25T22:55:03"/>
    <s v="Safety &amp; Risk Regulation and Planning"/>
    <s v="RTA"/>
    <x v="1"/>
    <s v="Email configuration on cell phone"/>
    <s v="Techm Omer Mohamed"/>
    <s v="Service Desk"/>
    <m/>
    <s v="USER TO CONFIRM"/>
    <m/>
    <s v="4-Minor/Localized"/>
    <s v="4-Low"/>
    <s v="Dubai"/>
    <s v="Desktop"/>
    <s v="Personal Device Support"/>
    <s v="Personal Smart Phone"/>
    <d v="2026-02-25T22:57:39"/>
    <s v="No"/>
    <s v="Within the Service Target"/>
    <s v="Phone"/>
    <s v="Email has been configured on Smart phone"/>
    <s v="Resolved"/>
    <s v="No"/>
    <s v="Techm_OFMohamed"/>
    <s v="Low"/>
    <s v="Desktop"/>
    <s v="Personal Device Support"/>
    <s v="Personal Smart Phone"/>
    <s v="Resolved"/>
    <n v="14513"/>
    <m/>
    <m/>
    <n v="0"/>
    <s v="Standard"/>
    <s v="AARAlameri"/>
    <s v="Amna.AAlameri@rta.ae"/>
  </r>
  <r>
    <s v="INC000001321926"/>
    <s v="User Service Request"/>
    <s v="Stewart"/>
    <s v="Fernandes"/>
    <d v="2026-02-25T18:58:36"/>
    <s v="Enterprise Command &amp; Control"/>
    <s v="RTA"/>
    <x v="1"/>
    <s v="unlock account request"/>
    <s v="Techm Omer Mohamed"/>
    <s v="Service Desk"/>
    <m/>
    <s v="USER TO CONFIRM"/>
    <m/>
    <s v="4-Minor/Localized"/>
    <s v="4-Low"/>
    <s v="Dubai"/>
    <s v="Desktop"/>
    <s v="Profile"/>
    <s v="Account Lock Out"/>
    <d v="2026-02-25T19:00:07"/>
    <s v="No"/>
    <s v="Within the Service Target"/>
    <s v="Phone"/>
    <s v="eccddcab account has been unlocked"/>
    <s v="Resolved"/>
    <s v="No"/>
    <s v="Techm_OFMohamed"/>
    <s v="Low"/>
    <s v="Desktop"/>
    <s v="Profile"/>
    <s v="Account Lock Out"/>
    <s v="Resolved"/>
    <s v="V0029932"/>
    <m/>
    <m/>
    <n v="0"/>
    <s v="Standard"/>
    <s v="cns_sffernandes"/>
    <s v="Cns_Stewart.Fernandes@rta.ae"/>
  </r>
  <r>
    <s v="INC000001321852"/>
    <s v="User Service Request"/>
    <s v="Amal"/>
    <s v="Almheiri"/>
    <d v="2026-02-25T13:57:35"/>
    <s v="Innovation &amp; Pioneering"/>
    <s v="RTA"/>
    <x v="1"/>
    <s v="unlock account request"/>
    <s v="Mohamed Alajlani"/>
    <s v="Service Desk"/>
    <m/>
    <s v="USER TO CONFIRM"/>
    <m/>
    <s v="4-Minor/Localized"/>
    <s v="4-Low"/>
    <s v="Dubai"/>
    <s v="Desktop"/>
    <s v="Profile"/>
    <s v="Account Lock Out"/>
    <d v="2026-02-25T13:58:01"/>
    <s v="No"/>
    <s v="Within the Service Target"/>
    <s v="Phone"/>
    <s v="The account has been unlocked successfully as requested."/>
    <s v="Resolved"/>
    <s v="No"/>
    <s v="techm_myalajlani"/>
    <s v="Low"/>
    <s v="Desktop"/>
    <s v="Profile"/>
    <s v="Account Lock Out"/>
    <s v="Resolved"/>
    <n v="15885"/>
    <m/>
    <m/>
    <n v="0"/>
    <s v="Standard"/>
    <s v="aalalmheiri"/>
    <s v="Amal.Almheiri@rta.ae"/>
  </r>
  <r>
    <s v="INC000001321801"/>
    <s v="User Service Restoration"/>
    <s v="Shaikha"/>
    <s v="Ali"/>
    <d v="2026-02-25T12:52:51"/>
    <s v="Marketing &amp; Corporate Communication"/>
    <s v="RTA"/>
    <x v="0"/>
    <s v="Outlook issue-Enterprise vault"/>
    <s v="Techm Ghaya Hamad"/>
    <s v="Service Desk"/>
    <m/>
    <s v="USER TO CONFIRM"/>
    <m/>
    <s v="3-Moderate/Limited"/>
    <s v="3-Medium"/>
    <s v="Dubai"/>
    <s v="Desktop"/>
    <s v="Mail Box Issue"/>
    <s v="Login Issue"/>
    <d v="2026-02-25T13:44:18"/>
    <s v="No"/>
    <s v="Within the Service Target"/>
    <s v="Email"/>
    <s v="Old password has been removed from credential manager"/>
    <s v="Resolved"/>
    <s v="No"/>
    <s v="Techm_NRMohamed"/>
    <s v="Medium"/>
    <s v="Desktop"/>
    <s v="Mail Box Issue"/>
    <s v="Login Issue"/>
    <s v="Resolved"/>
    <n v="15906"/>
    <m/>
    <m/>
    <n v="1"/>
    <s v="Standard"/>
    <s v="seali"/>
    <s v="Shaikha.Ali@rta.ae"/>
  </r>
  <r>
    <s v="INC000001321766"/>
    <s v="User Service Restoration"/>
    <s v="Hind"/>
    <s v="Hassan"/>
    <d v="2026-02-25T12:18:29"/>
    <s v="Human Resources &amp; Development"/>
    <s v="RTA"/>
    <x v="0"/>
    <s v="Monitor Issue"/>
    <s v="Techm Ghaya Hamad"/>
    <s v="Service Desk"/>
    <m/>
    <s v="USER TO CONFIRM"/>
    <m/>
    <s v="3-Moderate/Limited"/>
    <s v="3-Medium"/>
    <m/>
    <s v="Desktop"/>
    <s v="Peripherals"/>
    <s v="Monitor"/>
    <d v="2026-02-25T13:28:18"/>
    <s v="No"/>
    <s v="Within the Service Target"/>
    <s v="Phone"/>
    <s v="User said it works properly. no need support"/>
    <s v="Resolved"/>
    <s v="No"/>
    <s v="Techm_GAHamad"/>
    <s v="Medium"/>
    <s v="Desktop"/>
    <s v="Peripherals"/>
    <s v="Monitor"/>
    <s v="Resolved"/>
    <n v="15899"/>
    <m/>
    <m/>
    <n v="2"/>
    <s v="Standard"/>
    <s v="hsohassan"/>
    <s v="Hind.Hassan@rta.ae"/>
  </r>
  <r>
    <s v="INC000001321757"/>
    <s v="User Service Restoration"/>
    <s v="Thribuvandas"/>
    <s v="Thrilogen"/>
    <d v="2026-02-25T12:06:08"/>
    <s v="Traffic"/>
    <s v="RTA"/>
    <x v="2"/>
    <s v="MS Teams Issue"/>
    <s v="Ismael Ismael"/>
    <s v="Service Desk"/>
    <m/>
    <s v="USER TO CONFIRM"/>
    <m/>
    <s v="3-Moderate/Limited"/>
    <s v="3-Medium"/>
    <s v="Dubai"/>
    <s v="Desktop"/>
    <s v="RTA Non standard application  Incidents"/>
    <s v="MS Teams"/>
    <d v="2026-02-25T12:07:10"/>
    <s v="No"/>
    <s v="Within the Service Target"/>
    <s v="Phone"/>
    <e v="#NAME?"/>
    <s v="Resolved"/>
    <s v="No"/>
    <s v="techm_iaismael"/>
    <s v="Medium"/>
    <s v="Desktop"/>
    <s v="RTA Non standard application  Incidents"/>
    <s v="MS Teams"/>
    <s v="Resolved"/>
    <n v="15882"/>
    <m/>
    <m/>
    <n v="0"/>
    <s v="Standard"/>
    <s v="tvthrilogen"/>
    <s v="Thribuvandas.Thrilogen@rta.ae"/>
  </r>
  <r>
    <s v="INC000001321747"/>
    <s v="User Service Request"/>
    <s v="Faten"/>
    <s v="AlShamsi"/>
    <d v="2026-02-25T11:53:07"/>
    <s v="Customer Happiness"/>
    <s v="RTA"/>
    <x v="0"/>
    <s v="Request to configure MS edge in IE mode to use E-traffic"/>
    <s v="Techm Abdalbagee Hamed"/>
    <s v="Service Desk"/>
    <m/>
    <s v="USER TO CONFIRM"/>
    <m/>
    <s v="4-Minor/Localized"/>
    <s v="4-Low"/>
    <s v="Dubai"/>
    <s v="Desktop"/>
    <s v="RTA Standard Application installation Request"/>
    <s v="MS Edge"/>
    <d v="2026-02-25T11:53:21"/>
    <s v="No"/>
    <s v="Within the Service Target"/>
    <s v="Phone"/>
    <s v="Configured system URL on Microsoft Edge as below steps :  1/  In Edge settings.  2/  Go to default browser.  3/ Then go to Internet Explorer compatibility.  4/  Then add &quot; Smart  Traffic Link&quot; to internet Explorer mode pages.  5/ Enabled internet Explorer mode and chose it allow.  6/  Restart the browser to take effects."/>
    <s v="Resolved"/>
    <s v="No"/>
    <s v="Techm_AMHamed"/>
    <s v="Low"/>
    <s v="Desktop"/>
    <s v="RTA Standard Application installation Request"/>
    <s v="MS Edge"/>
    <s v="Resolved"/>
    <n v="13872"/>
    <m/>
    <m/>
    <n v="0"/>
    <s v="Standard"/>
    <s v="FHAlshamsi"/>
    <s v="Faten.AlShamsi@RTA.ae"/>
  </r>
  <r>
    <s v="INC000001321742"/>
    <s v="User Service Request"/>
    <s v="Ihab Badie"/>
    <s v="Alsalamin"/>
    <d v="2026-02-25T11:53:04"/>
    <s v="Technology Strategy &amp; Governance"/>
    <s v="RTA"/>
    <x v="3"/>
    <s v="Generic ID Configuration Request &quot;AGF@rta.ae&quot;"/>
    <s v="Zain Alabedein Skheih"/>
    <s v="Service Desk"/>
    <m/>
    <s v="USER TO CONFIRM"/>
    <m/>
    <s v="3-Moderate/Limited"/>
    <s v="3-Medium"/>
    <s v="Dubai  -"/>
    <s v="Desktop"/>
    <s v="Profile"/>
    <s v="Request for Generic ID Creation(RE)"/>
    <d v="2026-02-25T11:54:58"/>
    <s v="No"/>
    <s v="Within the Service Target"/>
    <s v="Phone"/>
    <s v="we accessed the device and mapped the Generic ID successfully in the user outlook"/>
    <s v="Resolved"/>
    <s v="No"/>
    <s v="techm_ziskheih"/>
    <s v="Medium"/>
    <s v="Desktop"/>
    <s v="Profile"/>
    <s v="Re -Map Share Folder"/>
    <s v="Resolved"/>
    <n v="12524"/>
    <m/>
    <m/>
    <n v="0"/>
    <s v="Standard"/>
    <s v="IBAlSalamin"/>
    <s v="Ihab.AlSalamin@rta.ae"/>
  </r>
  <r>
    <s v="INC000001321724"/>
    <s v="User Service Restoration"/>
    <s v="Hussein"/>
    <s v="Saleh"/>
    <d v="2026-02-25T11:45:30"/>
    <s v="Passengers Transport Activities Monitoring"/>
    <s v="RTA"/>
    <x v="4"/>
    <s v="Browser issue - keep asking for sign in"/>
    <s v="Techm Abdalbagee Hamed"/>
    <s v="Service Desk"/>
    <m/>
    <s v="USER TO CONFIRM"/>
    <m/>
    <s v="3-Moderate/Limited"/>
    <s v="3-Medium"/>
    <s v="Dubai"/>
    <s v="Desktop"/>
    <s v="Internet/Intranet Issues"/>
    <s v="Unable to access a specific URL(RE)"/>
    <d v="2026-02-25T11:48:18"/>
    <s v="No"/>
    <s v="Within the Service Target"/>
    <s v="Phone"/>
    <s v="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s v="Resolved"/>
    <s v="No"/>
    <s v="Techm_AMHamed"/>
    <s v="Medium"/>
    <s v="Desktop"/>
    <s v="Internet / Intranet Issues"/>
    <s v="Unable To Access Specific URL"/>
    <s v="Resolved"/>
    <n v="13457"/>
    <m/>
    <m/>
    <n v="0"/>
    <s v="Standard"/>
    <s v="HSSaleh"/>
    <s v="Hussein.Saleh@rta.ae"/>
  </r>
  <r>
    <s v="INC000001321710"/>
    <s v="User Service Request"/>
    <s v="Amar"/>
    <s v="Tewari"/>
    <d v="2026-02-25T11:29:46"/>
    <s v="Information Technology"/>
    <s v="RTA"/>
    <x v="3"/>
    <s v="shared folder mapping request"/>
    <s v="Ismael Ismael"/>
    <s v="Service Desk"/>
    <m/>
    <s v="USER TO CONFIRM"/>
    <m/>
    <s v="4-Minor/Localized"/>
    <s v="4-Low"/>
    <s v="Dubai"/>
    <s v="Desktop"/>
    <s v="Profile"/>
    <s v="Re -map a share folder(RE)"/>
    <d v="2026-02-25T11:30:04"/>
    <s v="No"/>
    <s v="Within the Service Target"/>
    <s v="Phone"/>
    <s v="shared folder has been successfully mapped"/>
    <s v="Resolved"/>
    <s v="No"/>
    <s v="techm_iaismael"/>
    <s v="Low"/>
    <s v="Desktop"/>
    <s v="Profile"/>
    <s v="Re -Map Share Folder"/>
    <s v="Resolved"/>
    <n v="15898"/>
    <m/>
    <m/>
    <n v="0"/>
    <s v="Standard"/>
    <s v="antewari"/>
    <s v="Amar.Tewari@rta.ae"/>
  </r>
  <r>
    <s v="INC000001321666"/>
    <s v="User Service Restoration"/>
    <s v="Meera"/>
    <s v="Dawood"/>
    <d v="2026-02-25T10:54:23"/>
    <s v="Security &amp; Monitoring"/>
    <s v="RTA"/>
    <x v="5"/>
    <s v="Outlook Issue - keep asking username and password"/>
    <s v="Techm Abdalbagee Hamed"/>
    <s v="Service Desk"/>
    <m/>
    <s v="USER TO CONFIRM"/>
    <m/>
    <s v="3-Moderate/Limited"/>
    <s v="3-Medium"/>
    <m/>
    <s v="Desktop"/>
    <s v="Mail Client Issue"/>
    <s v="Outlook Configuration Issue(RE)"/>
    <d v="2026-02-25T10:55:47"/>
    <s v="No"/>
    <s v="Within the Service Target"/>
    <s v="Phone"/>
    <s v="Old Password saved in “password vault” of user’s profile has been removed and restart outlook to take effects."/>
    <s v="Resolved"/>
    <s v="No"/>
    <s v="Techm_AMHamed"/>
    <s v="Medium"/>
    <s v="Desktop"/>
    <s v="Mail Client Issue"/>
    <s v="Outlook Configuration Issue"/>
    <s v="Resolved"/>
    <n v="14932"/>
    <m/>
    <m/>
    <n v="0"/>
    <s v="Standard"/>
    <s v="madawood"/>
    <s v="Meera.Dawood@rta.ae"/>
  </r>
  <r>
    <s v="INC000001321662"/>
    <s v="User Service Restoration"/>
    <s v="Fatma"/>
    <s v="Ahli"/>
    <d v="2026-02-25T10:49:16"/>
    <s v="Customer Happiness"/>
    <s v="RTA"/>
    <x v="0"/>
    <s v="Laptop voice/audio issues"/>
    <s v="Ali Adam"/>
    <s v="OnSite  EUS"/>
    <m/>
    <s v="USER TO CONFIRM"/>
    <m/>
    <s v="3-Moderate/Limited"/>
    <s v="3-Medium"/>
    <s v="Dubai"/>
    <s v="Desktop"/>
    <s v="Audio and Video"/>
    <s v="Request for AV Devices (LED/LCD TVs &amp; audio)"/>
    <d v="2026-02-25T13:18:02"/>
    <s v="No"/>
    <s v="Within the Service Target"/>
    <s v="Phone"/>
    <e v="#NAME?"/>
    <s v="Resolved"/>
    <s v="No"/>
    <s v="Techm_WAHassan"/>
    <s v="Medium"/>
    <s v="Desktop"/>
    <s v="OS Issue"/>
    <s v="Device Driver Issue"/>
    <s v="Resolved"/>
    <n v="15978"/>
    <m/>
    <m/>
    <n v="1"/>
    <s v="Standard"/>
    <s v="falahli"/>
    <s v="Fatma.AlAhli@rta.ae"/>
  </r>
  <r>
    <s v="INC000001321656"/>
    <s v="User Service Request"/>
    <s v="Assil"/>
    <s v="Bittar"/>
    <d v="2026-02-25T10:45:29"/>
    <s v="Customer Happiness"/>
    <s v="RTA"/>
    <x v="0"/>
    <s v="Outlook configuration - migrated user"/>
    <s v="Techm Abdalbagee Hamed"/>
    <s v="Service Desk"/>
    <m/>
    <s v="USER TO CONFIRM"/>
    <m/>
    <s v="4-Minor/Localized"/>
    <s v="4-Low"/>
    <s v="Dubai"/>
    <s v="Desktop"/>
    <s v="Mail"/>
    <s v="Outlook Reconfiguration(RE)"/>
    <d v="2026-02-25T10:46:05"/>
    <s v="No"/>
    <s v="Within the Service Target"/>
    <s v="Phone"/>
    <s v="Educate user how to use MS authenticator app to open outlook."/>
    <s v="Resolved"/>
    <s v="No"/>
    <s v="Techm_AMHamed"/>
    <s v="Low"/>
    <s v="Desktop"/>
    <s v="Mail"/>
    <s v="Outlook Reconfiguration(RE)"/>
    <s v="Resolved"/>
    <n v="2942"/>
    <m/>
    <m/>
    <n v="0"/>
    <s v="Sensitive"/>
    <s v="asbittar"/>
    <s v="Assil.Bittar@rta.ae"/>
  </r>
  <r>
    <s v="INC000001321643"/>
    <s v="User Service Request"/>
    <s v="Avaya Amanda"/>
    <s v="Rebello"/>
    <d v="2026-02-25T10:36:05"/>
    <s v="Customer Happiness"/>
    <s v="RTA"/>
    <x v="0"/>
    <s v="MS Office 365 activation Request"/>
    <s v="Techm Wahbaelrahman Hassan"/>
    <s v="Service Desk"/>
    <m/>
    <s v="USER TO CONFIRM"/>
    <m/>
    <s v="4-Minor/Localized"/>
    <s v="4-Low"/>
    <s v="Dubai"/>
    <s v="Desktop"/>
    <s v="RTA Non standard application  Request"/>
    <s v="MS office professional(RE)"/>
    <d v="2026-02-25T10:39:32"/>
    <s v="No"/>
    <s v="Within the Service Target"/>
    <s v="Phone"/>
    <s v="MS Office 365 has been activated on the user machine successfully"/>
    <s v="Resolved"/>
    <s v="No"/>
    <s v="Techm_WAHassan"/>
    <s v="Low"/>
    <s v="Desktop"/>
    <s v="RTA Non standard application  Request"/>
    <s v="MS Office Professional"/>
    <s v="Resolved"/>
    <s v="V001296"/>
    <m/>
    <m/>
    <n v="0"/>
    <s v="Standard"/>
    <s v="Avaya_AVRebello"/>
    <s v="Avaya_Amanda.Rebello@rta.ae"/>
  </r>
  <r>
    <s v="INC000001321637"/>
    <s v="User Service Request"/>
    <s v="Fatma"/>
    <s v="Alblooshi"/>
    <d v="2026-02-25T10:31:44"/>
    <s v="Customer Happiness"/>
    <s v="RTA"/>
    <x v="0"/>
    <s v="Configure Smart Traffic URL on Microsoft Edge"/>
    <s v="Mohamed Alajlani"/>
    <s v="Service Desk"/>
    <m/>
    <s v="USER TO CONFIRM"/>
    <m/>
    <s v="4-Minor/Localized"/>
    <s v="4-Low"/>
    <s v="UMM RAMOOL -CUSTOMER SERVICE CENTER BLDG"/>
    <s v="Desktop"/>
    <s v="Configuration"/>
    <s v="Profile Configuration"/>
    <d v="2026-02-25T10:32:06"/>
    <s v="No"/>
    <s v="Within the Service Target"/>
    <s v="Phone"/>
    <s v="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
    <s v="Resolved"/>
    <s v="No"/>
    <s v="techm_myalajlani"/>
    <s v="Low"/>
    <s v="Desktop"/>
    <s v="Configuration"/>
    <s v="Profile Configuration"/>
    <s v="Resolved"/>
    <n v="11229"/>
    <m/>
    <m/>
    <n v="0"/>
    <s v="Standard"/>
    <s v="fmalblooshi"/>
    <s v="Fatma.Alblooshi@rta.ae"/>
  </r>
  <r>
    <s v="INC000001321632"/>
    <s v="User Service Request"/>
    <s v="Fatma"/>
    <s v="Alblooshi"/>
    <d v="2026-02-25T10:24:53"/>
    <s v="Customer Happiness"/>
    <s v="RTA"/>
    <x v="0"/>
    <s v="Outlook configuration"/>
    <s v="Mohamed Alajlani"/>
    <s v="Service Desk"/>
    <m/>
    <s v="USER TO CONFIRM"/>
    <m/>
    <s v="4-Minor/Localized"/>
    <s v="4-Low"/>
    <s v="UMM RAMOOL -CUSTOMER SERVICE CENTER BLDG"/>
    <s v="Desktop"/>
    <s v="Mail"/>
    <s v="Outlook Reconfiguration(RE)"/>
    <d v="2026-02-25T10:25:51"/>
    <s v="No"/>
    <s v="Within the Service Target"/>
    <s v="Phone"/>
    <s v="The Outlook has been configured successfully as requested."/>
    <s v="Resolved"/>
    <s v="No"/>
    <s v="techm_myalajlani"/>
    <s v="Low"/>
    <s v="Desktop"/>
    <s v="Mail"/>
    <s v="Outlook Reconfiguration(RE)"/>
    <s v="Resolved"/>
    <n v="11229"/>
    <m/>
    <m/>
    <n v="0"/>
    <s v="Standard"/>
    <s v="fmalblooshi"/>
    <s v="Fatma.Alblooshi@rta.ae"/>
  </r>
  <r>
    <s v="INC000001321622"/>
    <s v="User Service Request"/>
    <s v="Mohammad"/>
    <s v="Halloush"/>
    <d v="2026-02-25T10:10:01"/>
    <s v="Roads &amp; Facilities Maintenance"/>
    <s v="RTA"/>
    <x v="2"/>
    <s v="VPN Configuration Request"/>
    <s v="Zain Alabedein Skheih"/>
    <s v="Service Desk"/>
    <m/>
    <s v="USER TO CONFIRM"/>
    <m/>
    <s v="4-Minor/Localized"/>
    <s v="4-Low"/>
    <s v="Dubai"/>
    <s v="Desktop"/>
    <s v="Configuration"/>
    <s v="VPN Configuration"/>
    <d v="2026-02-25T10:12:47"/>
    <s v="No"/>
    <s v="Within the Service Target"/>
    <s v="Phone"/>
    <s v="We accessed remotely and configured the VPN for the user. Successfully connected."/>
    <s v="Resolved"/>
    <s v="No"/>
    <s v="techm_ziskheih"/>
    <s v="Low"/>
    <s v="Desktop"/>
    <s v="Configuration"/>
    <s v="VPN Configuration"/>
    <s v="Resolved"/>
    <n v="15969"/>
    <m/>
    <m/>
    <n v="0"/>
    <s v="Standard"/>
    <s v="mzhalloush"/>
    <s v="Mohammad.Halloush@rta.ae"/>
  </r>
  <r>
    <s v="INC000001321617"/>
    <s v="User Service Request"/>
    <s v="Mohammad"/>
    <s v="Halloush"/>
    <d v="2026-02-25T10:08:20"/>
    <s v="Roads &amp; Facilities Maintenance"/>
    <s v="RTA"/>
    <x v="2"/>
    <s v="Oracle Configuration Request &quot;Automation&quot;"/>
    <s v="Zain Alabedein Skheih"/>
    <s v="Service Desk"/>
    <m/>
    <s v="USER TO CONFIRM"/>
    <m/>
    <s v="4-Minor/Localized"/>
    <s v="4-Low"/>
    <s v="Dubai"/>
    <s v="Desktop"/>
    <s v="User Education"/>
    <s v="User Education"/>
    <d v="2026-02-25T10:09:06"/>
    <s v="No"/>
    <s v="Within the Service Target"/>
    <s v="Phone"/>
    <s v="We accessed remotely and guided the user on how to configure the Oracle for Automation system accessing."/>
    <s v="Resolved"/>
    <s v="No"/>
    <s v="techm_ziskheih"/>
    <s v="Low"/>
    <s v="Desktop"/>
    <s v="User Education"/>
    <s v="User Education"/>
    <s v="Resolved"/>
    <n v="15969"/>
    <m/>
    <m/>
    <n v="0"/>
    <s v="Standard"/>
    <s v="mzhalloush"/>
    <s v="Mohammad.Halloush@rta.ae"/>
  </r>
  <r>
    <s v="INC000001321614"/>
    <s v="User Service Request"/>
    <s v="Abeer"/>
    <s v="Al Bannai"/>
    <d v="2026-02-25T10:06:39"/>
    <s v="Rail Operations"/>
    <s v="RTA"/>
    <x v="6"/>
    <s v="User education"/>
    <s v="Techm Wahbaelrahman Hassan"/>
    <s v="Service Desk"/>
    <m/>
    <s v="USER TO CONFIRM"/>
    <m/>
    <s v="4-Minor/Localized"/>
    <s v="4-Low"/>
    <s v="UMM RAMOOL NEW HQ 3C"/>
    <s v="Desktop"/>
    <s v="User Education"/>
    <s v="User Education"/>
    <d v="2026-02-25T10:08:10"/>
    <s v="No"/>
    <s v="Within the Service Target"/>
    <s v="Phone"/>
    <s v="Guided user with resetting Adobe account password using self-service features Successfully"/>
    <s v="Resolved"/>
    <s v="No"/>
    <s v="Techm_WAHassan"/>
    <s v="Low"/>
    <s v="Desktop"/>
    <s v="User Education"/>
    <s v="User Education"/>
    <s v="Resolved"/>
    <n v="9062"/>
    <m/>
    <m/>
    <n v="0"/>
    <s v="Standard"/>
    <s v="aaalbannai"/>
    <s v="Abeer.AlBannai@RTA.ae"/>
  </r>
  <r>
    <s v="INC000001321609"/>
    <s v="User Service Restoration"/>
    <s v="Minaas"/>
    <s v="Alali"/>
    <d v="2026-02-25T10:05:13"/>
    <s v="Human Resources &amp; Development"/>
    <s v="RTA"/>
    <x v="0"/>
    <s v="Mailbox Issue &quot;Always Full&quot;"/>
    <s v="Zain Alabedein Skheih"/>
    <s v="Service Desk"/>
    <m/>
    <s v="USER TO CONFIRM"/>
    <m/>
    <s v="3-Moderate/Limited"/>
    <s v="3-Medium"/>
    <s v="Dubai"/>
    <s v="Desktop"/>
    <s v="Mail Box Issue"/>
    <s v="Mail Box Full(RE)"/>
    <d v="2026-02-25T10:06:49"/>
    <s v="No"/>
    <s v="Within the Service Target"/>
    <s v="Phone"/>
    <s v="We did manual archive and rasied a ticket for Data Archival team to enable EV access."/>
    <s v="Resolved"/>
    <s v="No"/>
    <s v="techm_ziskheih"/>
    <s v="Medium"/>
    <s v="Desktop"/>
    <s v="Mail Box Issue"/>
    <s v="Mail Box Full"/>
    <s v="Resolved"/>
    <s v="V0033895"/>
    <m/>
    <m/>
    <n v="0"/>
    <s v="Standard"/>
    <s v="trans_mbalali"/>
    <s v="Trans_Minaas.Alali@rta.ae"/>
  </r>
  <r>
    <s v="INC000001321604"/>
    <s v="User Service Restoration"/>
    <s v="Marwa"/>
    <s v="Marzooqi"/>
    <d v="2026-02-25T10:00:19"/>
    <s v="Innovation &amp; Pioneering"/>
    <s v="RTA"/>
    <x v="1"/>
    <s v="Browser Issue &quot;Can not open Security Awarness&quot;"/>
    <s v="Zain Alabedein Skheih"/>
    <s v="Service Desk"/>
    <m/>
    <s v="USER TO CONFIRM"/>
    <m/>
    <s v="3-Moderate/Limited"/>
    <s v="3-Medium"/>
    <m/>
    <s v="Desktop"/>
    <s v="RTA Standard application Incidents"/>
    <s v="MS Edge"/>
    <d v="2026-02-25T10:01:52"/>
    <s v="No"/>
    <s v="Within the Service Target"/>
    <s v="Phone"/>
    <s v="we disabled the Ivanti VPN as long as the user is connected through RTA Network then the issue got solved."/>
    <s v="Resolved"/>
    <s v="No"/>
    <s v="techm_ziskheih"/>
    <s v="Medium"/>
    <s v="Desktop"/>
    <s v="RTA Standard application Incidents"/>
    <s v="Google Chrome Issue"/>
    <s v="Resolved"/>
    <n v="14915"/>
    <m/>
    <m/>
    <n v="0"/>
    <s v="Standard"/>
    <s v="mamarzooqi"/>
    <s v="Marwa.Marzooqi@rta.ae"/>
  </r>
  <r>
    <s v="INC000001321602"/>
    <s v="User Service Request"/>
    <s v="Suliman"/>
    <s v="Afaneh"/>
    <d v="2026-02-25T10:03:12"/>
    <s v="Roads"/>
    <s v="RTA"/>
    <x v="2"/>
    <s v="Outlook configuration"/>
    <s v="Mohamed Alajlani"/>
    <s v="Service Desk"/>
    <m/>
    <s v="USER TO CONFIRM"/>
    <m/>
    <s v="4-Minor/Localized"/>
    <s v="4-Low"/>
    <s v="Dubai"/>
    <s v="Desktop"/>
    <s v="Mail"/>
    <s v="Outlook Reconfiguration(RE)"/>
    <d v="2026-02-25T10:04:30"/>
    <s v="No"/>
    <s v="Within the Service Target"/>
    <s v="Phone"/>
    <s v="The PST for calendar archiving has been created successfully."/>
    <s v="Resolved"/>
    <s v="No"/>
    <s v="techm_myalajlani"/>
    <s v="Low"/>
    <s v="Desktop"/>
    <s v="Mail"/>
    <s v="Outlook Reconfiguration(RE)"/>
    <s v="Resolved"/>
    <n v="15670"/>
    <m/>
    <m/>
    <n v="0"/>
    <s v="Standard"/>
    <s v="smafaneh"/>
    <s v="Suliman.Afaneh@rta.ae"/>
  </r>
  <r>
    <s v="INC000001321597"/>
    <s v="User Service Request"/>
    <s v="Jawaharali"/>
    <s v="Mohaideen"/>
    <d v="2026-02-25T09:53:39"/>
    <s v="Dubai Traffic &amp; Roads CEO"/>
    <s v="RTA"/>
    <x v="2"/>
    <s v="Unlock  VPN Request"/>
    <s v="Techm Wahbaelrahman Hassan"/>
    <s v="Service Desk"/>
    <m/>
    <s v="USER TO CONFIRM"/>
    <m/>
    <s v="4-Minor/Localized"/>
    <s v="4-Low"/>
    <s v="UMM RAMOOL NEW HQ 7C"/>
    <s v="Desktop"/>
    <s v="Configuration"/>
    <s v="VPN Configuration"/>
    <d v="2026-02-25T11:21:38"/>
    <s v="No"/>
    <s v="Within the Service Target"/>
    <s v="Phone"/>
    <s v="VPN has been configured on user machine successfully"/>
    <s v="Resolved"/>
    <s v="No"/>
    <s v="Techm_WAHassan"/>
    <s v="Low"/>
    <s v="Desktop"/>
    <s v="Configuration"/>
    <s v="VPN Configuration"/>
    <s v="Resolved"/>
    <n v="2951"/>
    <m/>
    <m/>
    <n v="2"/>
    <s v="Standard"/>
    <s v="jmmohaideen"/>
    <s v="Jawaharali.Mohaideen@rta.ae"/>
  </r>
  <r>
    <s v="INC000001321587"/>
    <s v="User Service Request"/>
    <s v="Abbas"/>
    <s v="Abbas"/>
    <d v="2026-02-25T09:47:40"/>
    <s v="Buses"/>
    <s v="RTA"/>
    <x v="4"/>
    <s v="MS Office Activation Request"/>
    <s v="Zain Alabedein Skheih"/>
    <s v="Service Desk"/>
    <m/>
    <s v="USER TO CONFIRM"/>
    <m/>
    <s v="4-Minor/Localized"/>
    <s v="4-Low"/>
    <s v=",NEW HQ UMM RAMOOL"/>
    <s v="Desktop"/>
    <s v="Mail"/>
    <s v="Outlook Reconfiguration(RE)"/>
    <d v="2026-02-25T09:49:24"/>
    <s v="No"/>
    <s v="Within the Service Target"/>
    <s v="Phone"/>
    <s v="We accessed remotely and configured the MS Office 365"/>
    <s v="Resolved"/>
    <s v="No"/>
    <s v="techm_ziskheih"/>
    <s v="Low"/>
    <s v="Desktop"/>
    <s v="Mail"/>
    <s v="Outlook Reconfiguration(RE)"/>
    <s v="Resolved"/>
    <n v="2301"/>
    <m/>
    <m/>
    <n v="0"/>
    <s v="Standard"/>
    <s v="afabbas"/>
    <s v="Abbas.Abbas@rta.ae"/>
  </r>
  <r>
    <s v="INC000001321581"/>
    <s v="User Service Request"/>
    <s v="Ali"/>
    <s v="Ahli"/>
    <d v="2026-02-25T09:43:29"/>
    <s v="Assets Management"/>
    <s v="RTA"/>
    <x v="1"/>
    <s v="Guide user to Reset Password through Self services portal."/>
    <s v="Techm Abdalbagee Hamed"/>
    <s v="Service Desk"/>
    <m/>
    <s v="USER TO CONFIRM"/>
    <m/>
    <s v="4-Minor/Localized"/>
    <s v="4-Low"/>
    <s v="Dubai"/>
    <s v="Desktop"/>
    <s v="User Education"/>
    <s v="User Education"/>
    <d v="2026-02-25T09:43:44"/>
    <s v="No"/>
    <s v="Within the Service Target"/>
    <s v="Phone"/>
    <s v="As per the request, SMS with Reset Password self-services URL has been shared with the user."/>
    <s v="Resolved"/>
    <s v="No"/>
    <s v="Techm_AMHamed"/>
    <s v="Low"/>
    <s v="Desktop"/>
    <s v="User Education"/>
    <s v="User Education"/>
    <s v="Resolved"/>
    <n v="12598"/>
    <m/>
    <m/>
    <n v="0"/>
    <s v="Standard"/>
    <s v="AEAhli"/>
    <s v="Ali.EAhli@rta.ae"/>
  </r>
  <r>
    <s v="INC000001321573"/>
    <s v="User Service Request"/>
    <s v="Sumiya"/>
    <s v="Alshehhi"/>
    <d v="2026-02-25T09:36:21"/>
    <s v="Procurement"/>
    <s v="RTA"/>
    <x v="0"/>
    <s v="Guide user to Reset Password through Self services portal."/>
    <s v="Mohamed Alajlani"/>
    <s v="Service Desk"/>
    <m/>
    <s v="USER TO CONFIRM"/>
    <m/>
    <s v="4-Minor/Localized"/>
    <s v="4-Low"/>
    <s v="Dubai"/>
    <s v="Desktop"/>
    <s v="User Education"/>
    <s v="User Education"/>
    <d v="2026-02-25T09:36:38"/>
    <s v="No"/>
    <s v="Within the Service Target"/>
    <s v="Phone"/>
    <s v="As per the request, SMS with Reset Password self-services URL has been shared with the user."/>
    <s v="Resolved"/>
    <s v="No"/>
    <s v="techm_myalajlani"/>
    <s v="Low"/>
    <s v="Desktop"/>
    <s v="User Education"/>
    <s v="User Education"/>
    <s v="Resolved"/>
    <n v="13189"/>
    <m/>
    <m/>
    <n v="0"/>
    <s v="Standard"/>
    <s v="SDAlshehhi"/>
    <s v="Sumiya.Alshehhi@rta.ae"/>
  </r>
  <r>
    <s v="INC000001321572"/>
    <s v="User Service Request"/>
    <s v="Salem"/>
    <s v="Alheraini"/>
    <d v="2026-02-25T09:57:14"/>
    <s v="Smart Services"/>
    <s v="RTA"/>
    <x v="3"/>
    <s v="Outlook configuration"/>
    <s v="Mohamed Alajlani"/>
    <s v="Service Desk"/>
    <m/>
    <s v="USER TO CONFIRM"/>
    <m/>
    <s v="4-Minor/Localized"/>
    <s v="4-Low"/>
    <s v="Dubai"/>
    <s v="Desktop"/>
    <s v="Mail"/>
    <s v="Outlook Reconfiguration(RE)"/>
    <d v="2026-02-25T09:57:35"/>
    <s v="No"/>
    <s v="Within the Service Target"/>
    <s v="Phone"/>
    <s v="The Outlook has been configured successfully."/>
    <s v="Resolved"/>
    <s v="No"/>
    <s v="techm_myalajlani"/>
    <s v="Low"/>
    <s v="Desktop"/>
    <s v="Mail"/>
    <s v="Outlook Reconfiguration(RE)"/>
    <s v="Resolved"/>
    <s v="V0026362"/>
    <m/>
    <m/>
    <n v="0"/>
    <s v="Standard"/>
    <s v="isoft_smalheraini"/>
    <s v="Isoft_Salem.Alheraini@rta.ae"/>
  </r>
  <r>
    <s v="INC000001321570"/>
    <s v="User Service Request"/>
    <s v="Fatima"/>
    <s v="Almulla"/>
    <d v="2026-02-25T11:30:59"/>
    <s v="Rail Planning &amp; Projects Development"/>
    <s v="RTA"/>
    <x v="6"/>
    <s v="Guide user to Unlock Account through Self services portal."/>
    <s v="Mohamed Alajlani"/>
    <s v="Service Desk"/>
    <m/>
    <s v="USER TO CONFIRM"/>
    <m/>
    <s v="4-Minor/Localized"/>
    <s v="4-Low"/>
    <m/>
    <s v="Desktop"/>
    <s v="User Education"/>
    <s v="User Education"/>
    <d v="2026-02-25T11:31:54"/>
    <s v="No"/>
    <s v="Within the Service Target"/>
    <s v="Phone"/>
    <s v="The account has been unlocked successfully."/>
    <s v="Resolved"/>
    <s v="No"/>
    <s v="techm_myalajlani"/>
    <s v="Low"/>
    <s v="Desktop"/>
    <s v="User Education"/>
    <s v="User Education"/>
    <s v="Resolved"/>
    <n v="14988"/>
    <m/>
    <m/>
    <n v="0"/>
    <s v="Standard"/>
    <s v="fmohalmulla"/>
    <s v="Fatima.MAlmulla@rta.ae"/>
  </r>
  <r>
    <s v="INC000001321568"/>
    <s v="User Service Restoration"/>
    <s v="Ahmed"/>
    <s v="Hamdan"/>
    <d v="2026-02-25T09:28:28"/>
    <s v="Internal Audit"/>
    <s v="RTA"/>
    <x v="5"/>
    <s v="adobe acrobat pro log in issue"/>
    <s v="Ismael Ismael"/>
    <s v="Service Desk"/>
    <m/>
    <s v="USER TO CONFIRM"/>
    <m/>
    <s v="3-Moderate/Limited"/>
    <s v="3-Medium"/>
    <s v="Dubai"/>
    <s v="Desktop"/>
    <s v="RTA Non standard application  Incidents"/>
    <s v="Adobe Acrobat Professional"/>
    <d v="2026-02-25T10:38:47"/>
    <s v="No"/>
    <s v="Within the Service Target"/>
    <s v="Phone"/>
    <s v="issue got resolved after resetting the adobe acrobat reader password"/>
    <s v="Resolved"/>
    <s v="No"/>
    <s v="techm_iaismael"/>
    <s v="Medium"/>
    <s v="Desktop"/>
    <s v="RTA Non standard application  Incidents"/>
    <s v="Adobe Acrobat Professional"/>
    <s v="Resolved"/>
    <n v="11870"/>
    <m/>
    <m/>
    <n v="0"/>
    <s v="Standard"/>
    <s v="afhamdan"/>
    <s v="Ahmed.Hamdan@rta.ae"/>
  </r>
  <r>
    <s v="INC000001321565"/>
    <s v="User Service Restoration"/>
    <s v="Lana"/>
    <s v="Al-fraihat"/>
    <d v="2026-02-25T09:30:47"/>
    <s v="Safety &amp; Risk Regulation and Planning"/>
    <s v="RTA"/>
    <x v="1"/>
    <s v="Outlook Issue - keep asking for password"/>
    <s v="Techm Abdalbagee Hamed"/>
    <s v="Service Desk"/>
    <m/>
    <s v="USER TO CONFIRM"/>
    <m/>
    <s v="3-Moderate/Limited"/>
    <s v="3-Medium"/>
    <s v="Dubai"/>
    <s v="Desktop"/>
    <s v="Mail Client Issue"/>
    <s v="Outlook Configuration Issue(RE)"/>
    <d v="2026-02-25T09:33:15"/>
    <s v="No"/>
    <s v="Within the Service Target"/>
    <s v="Phone"/>
    <s v="Old Passwordsaved in “password vault” of user’s profile from  windows credential option"/>
    <s v="Resolved"/>
    <s v="No"/>
    <s v="Techm_AMHamed"/>
    <s v="Medium"/>
    <s v="Desktop"/>
    <s v="Mail Client Issue"/>
    <s v="Outlook Configuration Issue"/>
    <s v="Resolved"/>
    <s v="V0017130"/>
    <m/>
    <m/>
    <n v="0"/>
    <s v="Standard"/>
    <s v="reach_lbalfraihat"/>
    <s v="Reach_Lana.Alfraihat@rta.ae"/>
  </r>
  <r>
    <s v="INC000001321551"/>
    <s v="User Service Restoration"/>
    <s v="Ghada"/>
    <s v="AlShaiba"/>
    <d v="2026-02-25T09:11:06"/>
    <s v="Technology Strategy &amp; Governance"/>
    <s v="RTA"/>
    <x v="3"/>
    <s v="External Monitor Issue"/>
    <s v="Techm Elsayed Mohamed"/>
    <s v="OnSite  EUS"/>
    <m/>
    <s v="USER TO CONFIRM"/>
    <m/>
    <s v="2-Significant/Large"/>
    <s v="2-High"/>
    <s v="UMM RAMOOL - NEW HQ"/>
    <s v="Desktop"/>
    <s v="Peripherals"/>
    <s v="Monitor"/>
    <d v="2026-02-25T09:33:10"/>
    <s v="Yes"/>
    <s v="Within the Service Target"/>
    <s v="Phone"/>
    <e v="#NAME?"/>
    <s v="Resolved"/>
    <s v="Yes"/>
    <s v="Techm_WAHassan"/>
    <s v="High"/>
    <s v="Desktop"/>
    <s v="PC Hardware Issue"/>
    <s v="Docking Station Issue"/>
    <s v="Resolved"/>
    <n v="12521"/>
    <m/>
    <m/>
    <n v="1"/>
    <s v="Sensitive"/>
    <s v="GAAlshaiba"/>
    <s v="Ghada.Alshaiba@rta.ae"/>
  </r>
  <r>
    <s v="INC000001321539"/>
    <s v="User Service Request"/>
    <s v="Imad"/>
    <s v="Khochman"/>
    <d v="2026-02-25T08:59:35"/>
    <s v="Commercial Transport Activities"/>
    <s v="RTA"/>
    <x v="7"/>
    <s v="Request to activate office 365 license"/>
    <s v="Techm Abdalbagee Hamed"/>
    <s v="Service Desk"/>
    <m/>
    <s v="USER TO CONFIRM"/>
    <m/>
    <s v="4-Minor/Localized"/>
    <s v="4-Low"/>
    <s v="Dubai"/>
    <s v="Desktop"/>
    <s v="RTA Standard Application installation Request"/>
    <s v="MS Office Installation Request"/>
    <d v="2026-02-25T09:00:26"/>
    <s v="No"/>
    <s v="Within the Service Target"/>
    <s v="Email"/>
    <s v="Request to activate office 365 license in excel app: - Go to file. - Office account. - Sign in. - Enter username@rta.ae - Enter password. - click option to sign in to all MS apps."/>
    <s v="Resolved"/>
    <s v="No"/>
    <s v="Techm_AMHamed"/>
    <s v="Low"/>
    <s v="Desktop"/>
    <s v="RTA Standard Application installation Request"/>
    <s v="MS Office Installation Request"/>
    <s v="Resolved"/>
    <s v="V0033310"/>
    <m/>
    <m/>
    <n v="0"/>
    <s v="Standard"/>
    <s v="tms_ikkhochman"/>
    <s v="Tms_Imad.Khochman@rta.ae"/>
  </r>
  <r>
    <s v="INC000001321535"/>
    <s v="User Service Restoration"/>
    <s v="Jalal"/>
    <s v="Bshart"/>
    <d v="2026-02-25T08:54:50"/>
    <s v="Dubai Transport CEO"/>
    <s v="RTA"/>
    <x v="4"/>
    <s v="Browser issue - not able to open automation"/>
    <s v="Techm Abdalbagee Hamed"/>
    <s v="Service Desk"/>
    <m/>
    <s v="USER TO CONFIRM"/>
    <m/>
    <s v="3-Moderate/Limited"/>
    <s v="3-Medium"/>
    <s v="Dubai"/>
    <s v="Desktop"/>
    <s v="Internet/Intranet Issues"/>
    <s v="Unable to access a specific URL(RE)"/>
    <d v="2026-02-25T08:56:14"/>
    <s v="No"/>
    <s v="Within the Service Target"/>
    <s v="Phone"/>
    <s v="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s v="Resolved"/>
    <s v="No"/>
    <s v="Techm_AMHamed"/>
    <s v="Medium"/>
    <s v="Desktop"/>
    <s v="Internet / Intranet Issues"/>
    <s v="Unable To Access Specific URL"/>
    <s v="Resolved"/>
    <n v="15959"/>
    <m/>
    <m/>
    <n v="0"/>
    <s v="Standard"/>
    <s v="jabshart"/>
    <s v="Jalal.Bshart@rta.ae"/>
  </r>
  <r>
    <s v="INC000001321526"/>
    <s v="User Service Request"/>
    <s v="Okool Ahmed"/>
    <s v="Rashwan"/>
    <d v="2026-02-25T08:47:14"/>
    <s v="Transportation Systems"/>
    <s v="RTA"/>
    <x v="4"/>
    <s v="Guide user to Unlock Account through Self services portal."/>
    <s v="Mohamed Alajlani"/>
    <s v="Service Desk"/>
    <m/>
    <s v="USER TO CONFIRM"/>
    <m/>
    <s v="4-Minor/Localized"/>
    <s v="4-Low"/>
    <m/>
    <s v="Desktop"/>
    <s v="User Education"/>
    <s v="User Education"/>
    <d v="2026-02-25T08:47:40"/>
    <s v="No"/>
    <s v="Within the Service Target"/>
    <s v="Phone"/>
    <s v="As per the request, SMS with Unlock Account self-services URL has been shared with the user."/>
    <s v="Resolved"/>
    <s v="No"/>
    <s v="techm_myalajlani"/>
    <s v="Low"/>
    <s v="Desktop"/>
    <s v="User Education"/>
    <s v="User Education"/>
    <s v="Resolved"/>
    <s v="V0010984"/>
    <m/>
    <m/>
    <n v="0"/>
    <s v="Standard"/>
    <s v="okool_aarashwan"/>
    <s v="Okool_Ahmed.Rashwan@rta.ae"/>
  </r>
  <r>
    <s v="INC000001321519"/>
    <s v="User Service Request"/>
    <s v="Zeyada"/>
    <s v="Saeed"/>
    <d v="2026-02-25T08:31:36"/>
    <s v="Internal Audit"/>
    <s v="RTA"/>
    <x v="5"/>
    <s v="Guide user to unlock through Self services portal."/>
    <s v="Techm Abdalbagee Hamed"/>
    <s v="Service Desk"/>
    <m/>
    <s v="USER TO CONFIRM"/>
    <m/>
    <s v="4-Minor/Localized"/>
    <s v="4-Low"/>
    <s v="Dubai"/>
    <s v="Desktop"/>
    <s v="User Education"/>
    <s v="User Education"/>
    <d v="2026-02-25T08:31:48"/>
    <s v="No"/>
    <s v="Within the Service Target"/>
    <s v="Phone"/>
    <s v="As per the request, SMS with Unlock self-services URL has been shared with the user."/>
    <s v="Resolved"/>
    <s v="No"/>
    <s v="Techm_AMHamed"/>
    <s v="Low"/>
    <s v="Desktop"/>
    <s v="User Education"/>
    <s v="User Education"/>
    <s v="Resolved"/>
    <n v="15821"/>
    <m/>
    <m/>
    <n v="0"/>
    <s v="Standard"/>
    <s v="zbsaeed"/>
    <s v="Zeyada.Saeed@rta.ae"/>
  </r>
  <r>
    <s v="INC000001321505"/>
    <s v="User Service Request"/>
    <s v="Nihad"/>
    <s v="Thiyyakandy"/>
    <d v="2026-02-25T08:03:37"/>
    <s v="Buses"/>
    <s v="RTA"/>
    <x v="4"/>
    <s v="Software Installing Request"/>
    <s v="Ismael Ismael"/>
    <s v="Service Desk"/>
    <m/>
    <s v="USER TO CONFIRM"/>
    <m/>
    <s v="4-Minor/Localized"/>
    <s v="4-Low"/>
    <s v="Dubai"/>
    <s v="Incident"/>
    <s v="Self-service"/>
    <s v="Mendix"/>
    <d v="2026-02-25T10:36:54"/>
    <s v="No"/>
    <s v="Within the Service Target"/>
    <s v="Self Service"/>
    <s v="user was informed that he was already added to the MS office 365 incense group"/>
    <s v="Resolved"/>
    <s v="No"/>
    <s v="mendix"/>
    <s v="Low"/>
    <s v="Desktop"/>
    <s v="RTA Non standard application  Request"/>
    <s v="MS Office Professional"/>
    <s v="Resolved"/>
    <s v="V0034622"/>
    <m/>
    <m/>
    <n v="2"/>
    <s v="Standard"/>
    <s v="alsahra_nmthiyyakand"/>
    <s v="Alsahra_Nihad.Thiyyakandy@rta.ae"/>
  </r>
  <r>
    <s v="INC000001321502"/>
    <s v="User Service Request"/>
    <s v="Ibrar"/>
    <s v="Sher"/>
    <d v="2026-02-25T07:59:49"/>
    <s v="Buses"/>
    <s v="RTA"/>
    <x v="4"/>
    <s v="Software Installing Request"/>
    <s v="Aryam Juma Mohammad Albasata Albasata"/>
    <s v="Service Desk"/>
    <m/>
    <s v="USER TO CONFIRM"/>
    <m/>
    <s v="4-Minor/Localized"/>
    <s v="4-Low"/>
    <s v="Dubai"/>
    <s v="Incident"/>
    <s v="Self-service"/>
    <s v="Mendix"/>
    <d v="2026-02-25T12:48:29"/>
    <s v="No"/>
    <s v="Within the Service Target"/>
    <s v="Self Service"/>
    <s v="checked with the user User is already having an O365 license assigned"/>
    <s v="Resolved"/>
    <s v="No"/>
    <s v="mendix"/>
    <s v="Low"/>
    <s v="Desktop"/>
    <s v="RTA Non standard application  Request"/>
    <s v="MS Office 2013 Professional"/>
    <s v="Resolved"/>
    <s v="V0034087"/>
    <m/>
    <m/>
    <n v="8"/>
    <s v="Standard"/>
    <s v="srsl_iasher"/>
    <s v="Srsl_Ibrar.Sher@rta.ae"/>
  </r>
  <r>
    <s v="INC000001321487"/>
    <s v="User Service Restoration"/>
    <s v="Kamal"/>
    <s v="Idris"/>
    <d v="2026-02-25T06:35:05"/>
    <s v="Planning &amp; Business Development"/>
    <s v="RTA"/>
    <x v="4"/>
    <s v="Booting Issue"/>
    <s v="Ali Adam"/>
    <s v="OnSite  EUS"/>
    <m/>
    <s v="USER TO CONFIRM"/>
    <m/>
    <s v="1-Extensive/Widespread"/>
    <s v="1-Critical"/>
    <s v="Dubai"/>
    <s v="Desktop"/>
    <s v="OS Issue"/>
    <s v="Booting Issue"/>
    <d v="2026-02-25T08:39:33"/>
    <s v="No"/>
    <s v="Within the Service Target"/>
    <s v="Phone"/>
    <e v="#NAME?"/>
    <s v="Resolved"/>
    <s v="No"/>
    <s v="techm_mbsiragelnour"/>
    <s v="Critical"/>
    <s v="Desktop"/>
    <s v="OS Issue"/>
    <s v="Booting Issue"/>
    <s v="Resolved"/>
    <s v="V0013246"/>
    <m/>
    <m/>
    <n v="1"/>
    <s v="Standard"/>
    <s v="okool_kyidris"/>
    <s v="Okool_Kamal.Idris@rta.ae"/>
  </r>
  <r>
    <s v="INC000001321483"/>
    <s v="User Service Request"/>
    <s v="Akshay"/>
    <s v="Eesarapu"/>
    <d v="2026-02-25T06:20:46"/>
    <s v="Automatic Collection Systems"/>
    <s v="RTA"/>
    <x v="3"/>
    <s v="VPN Reset Request"/>
    <s v="Mohamed Siragelnour"/>
    <s v="Service Desk"/>
    <m/>
    <s v="USER TO CONFIRM"/>
    <m/>
    <s v="4-Minor/Localized"/>
    <s v="4-Low"/>
    <s v="Dubai"/>
    <s v="Desktop"/>
    <s v="Configuration"/>
    <s v="VPN Configuration"/>
    <d v="2026-02-25T23:22:19"/>
    <s v="No"/>
    <s v="Within the Service Target"/>
    <s v="Phone"/>
    <s v="Closed as per user confirmation."/>
    <s v="Resolved"/>
    <s v="No"/>
    <s v="techm_mbsiragelnour"/>
    <s v="Low"/>
    <s v="Desktop"/>
    <s v="Configuration"/>
    <s v="VPN Configuration"/>
    <s v="Resolved"/>
    <s v="V0031111"/>
    <m/>
    <m/>
    <n v="2"/>
    <s v="Standard"/>
    <s v="electronic_aeeesarap"/>
    <s v="Electronic_Akshay.Eesarapu@rta.ae"/>
  </r>
  <r>
    <s v="INC000001321482"/>
    <s v="User Service Request"/>
    <s v="Anji"/>
    <s v="Alghafeer"/>
    <d v="2026-02-25T06:18:48"/>
    <s v="Buses"/>
    <s v="RTA"/>
    <x v="4"/>
    <s v="unlock account request"/>
    <s v="Mohamed Siragelnour"/>
    <s v="Service Desk"/>
    <m/>
    <s v="USER TO CONFIRM"/>
    <m/>
    <s v="4-Minor/Localized"/>
    <s v="4-Low"/>
    <s v="Dubai"/>
    <s v="Desktop"/>
    <s v="Profile"/>
    <s v="Account Lock Out"/>
    <d v="2026-02-25T06:18:57"/>
    <s v="No"/>
    <s v="Within the Service Target"/>
    <s v="Phone"/>
    <s v="The account &quot;BSMaintenance&quot; has been unlocked successfully."/>
    <s v="Resolved"/>
    <s v="No"/>
    <s v="techm_mbsiragelnour"/>
    <s v="Low"/>
    <s v="Desktop"/>
    <s v="Profile"/>
    <s v="Account Lock Out"/>
    <s v="Resolved"/>
    <s v="V0025357"/>
    <m/>
    <m/>
    <n v="0"/>
    <s v="Standard"/>
    <s v="srsl_ahalghafeer"/>
    <s v="Srsl_Anji.Alghafeer@rta.ae"/>
  </r>
  <r>
    <s v="INC000001321475"/>
    <s v="User Service Request"/>
    <s v="Fathima"/>
    <s v="Binth Salam"/>
    <d v="2026-02-25T04:43:44"/>
    <s v="Human Resources &amp; Development"/>
    <s v="RTA"/>
    <x v="0"/>
    <s v="Gudied user to unlock account via self-service"/>
    <s v="Mohamed Siragelnour"/>
    <s v="Service Desk"/>
    <m/>
    <s v="USER TO CONFIRM"/>
    <m/>
    <s v="4-Minor/Localized"/>
    <s v="4-Low"/>
    <s v="Dubai"/>
    <s v="Desktop"/>
    <s v="User Education"/>
    <s v="User Education"/>
    <d v="2026-02-25T04:44:12"/>
    <s v="No"/>
    <s v="Within the Service Target"/>
    <s v="Phone"/>
    <s v="Gudied user to unlock account via self-service"/>
    <s v="Resolved"/>
    <s v="No"/>
    <s v="techm_mbsiragelnour"/>
    <s v="Low"/>
    <s v="Desktop"/>
    <s v="User Education"/>
    <s v="User Education"/>
    <s v="Resolved"/>
    <s v="V0030591"/>
    <m/>
    <m/>
    <n v="0"/>
    <s v="Standard"/>
    <s v="trans_fsbinthsalam"/>
    <s v="Trans_Fathima.Binthsalam@rta.ae"/>
  </r>
  <r>
    <s v="INC000001321474"/>
    <s v="User Service Request"/>
    <s v="Cyber Security Center"/>
    <s v="Alerts"/>
    <d v="2026-02-25T04:17:18"/>
    <s v="Information Security"/>
    <s v="RTA"/>
    <x v="3"/>
    <s v="CSC Alert - Scan Failure Detected - 24022026-02"/>
    <s v="Techm Osama Abdullatif"/>
    <s v="OnSite  EUS"/>
    <m/>
    <s v="USER TO CONFIRM"/>
    <m/>
    <s v="4-Minor/Localized"/>
    <s v="4-Low"/>
    <s v="Dubai"/>
    <s v="Desktop"/>
    <s v="Proactive Monitoring"/>
    <s v="Proactive Action"/>
    <d v="2026-02-25T08:26:43"/>
    <s v="No"/>
    <s v="Within the Service Target"/>
    <s v="Email"/>
    <e v="#NAME?"/>
    <s v="Resolved"/>
    <s v="No"/>
    <s v="techm_mbsiragelnour"/>
    <s v="Low"/>
    <s v="Desktop"/>
    <s v="Proactive Monitoring"/>
    <s v="Proactive Action"/>
    <s v="Resolved"/>
    <m/>
    <m/>
    <m/>
    <n v="1"/>
    <s v="Standard"/>
    <s v="socalerts"/>
    <s v="CSC.alert@rta.ae"/>
  </r>
  <r>
    <s v="INC000001321473"/>
    <s v="User Service Request"/>
    <s v="Cyber Security Center"/>
    <s v="Alerts"/>
    <d v="2026-02-25T04:17:16"/>
    <s v="Information Security"/>
    <s v="RTA"/>
    <x v="3"/>
    <s v="CSC Alert - Scan Failure Detected - 24022026-02"/>
    <s v="Ali Adam"/>
    <s v="OnSite  EUS"/>
    <m/>
    <s v="USER TO CONFIRM"/>
    <m/>
    <s v="4-Minor/Localized"/>
    <s v="4-Low"/>
    <s v="Dubai"/>
    <s v="Desktop"/>
    <s v="Proactive Monitoring"/>
    <s v="Proactive Action"/>
    <d v="2026-02-25T13:09:08"/>
    <s v="No"/>
    <s v="Within the Service Target"/>
    <s v="Email"/>
    <s v="- C Partition has been freed by 50+ GB, Full scan started."/>
    <s v="Resolved"/>
    <s v="No"/>
    <s v="techm_mbsiragelnour"/>
    <s v="Low"/>
    <s v="Desktop"/>
    <s v="Disk Space"/>
    <s v="Low Disk Space(RE)"/>
    <s v="Resolved"/>
    <m/>
    <m/>
    <m/>
    <n v="1"/>
    <s v="Standard"/>
    <s v="socalerts"/>
    <s v="CSC.alert@rta.ae"/>
  </r>
  <r>
    <s v="INC000001321423"/>
    <s v="User Service Request"/>
    <s v="Surjeet"/>
    <s v="Samanta"/>
    <d v="2026-02-25T00:36:50"/>
    <s v="Information Technology"/>
    <s v="RTA"/>
    <x v="3"/>
    <s v="Nexthink: Device error 0X133"/>
    <s v="Surjeet Samanta"/>
    <s v="SCCM-Nexthink Support"/>
    <m/>
    <s v="No Further Action Required"/>
    <m/>
    <s v="4-Minor/Localized"/>
    <s v="4-Low"/>
    <s v="Dubai"/>
    <s v="Desktop"/>
    <s v="Proactive Monitoring"/>
    <s v="Proactive Action"/>
    <d v="2026-02-25T01:02:59"/>
    <s v="No"/>
    <s v="Within the Service Target"/>
    <s v="Email"/>
    <s v="Required registry fix has been applied to the affected PC.  No further action require"/>
    <s v="Resolved"/>
    <s v="No"/>
    <s v="techm_mbsiragelnour"/>
    <s v="Low"/>
    <s v="Desktop"/>
    <s v="Proactive Monitoring"/>
    <s v="Proactive Action"/>
    <s v="Resolved"/>
    <s v="V0024624"/>
    <m/>
    <m/>
    <n v="1"/>
    <s v="Standard"/>
    <s v="techm_sjsamanta"/>
    <s v="Techm_Surjeet.Samanta@rta.ae"/>
  </r>
  <r>
    <s v="INC000001321418"/>
    <s v="User Service Request"/>
    <s v="Stewart"/>
    <s v="Fernandes"/>
    <d v="2026-02-24T23:41:23"/>
    <s v="Enterprise Command &amp; Control"/>
    <s v="RTA"/>
    <x v="1"/>
    <s v="unlock account request"/>
    <s v="Mohamed Siragelnour"/>
    <s v="Service Desk"/>
    <m/>
    <s v="USER TO CONFIRM"/>
    <m/>
    <s v="4-Minor/Localized"/>
    <s v="4-Low"/>
    <s v="Dubai"/>
    <s v="Desktop"/>
    <s v="Profile"/>
    <s v="Account Lock Out"/>
    <d v="2026-02-24T23:41:41"/>
    <s v="No"/>
    <s v="Within the Service Target"/>
    <s v="Phone"/>
    <s v="The account &quot;ec3 itservicedesk&quot; has been unlocked successfully."/>
    <s v="Resolved"/>
    <s v="No"/>
    <s v="techm_mbsiragelnour"/>
    <s v="Low"/>
    <s v="Desktop"/>
    <s v="Profile"/>
    <s v="Account Lock Out"/>
    <s v="Resolved"/>
    <s v="V0029932"/>
    <m/>
    <m/>
    <n v="0"/>
    <s v="Standard"/>
    <s v="cns_sffernandes"/>
    <s v="Cns_Stewart.Fernandes@rta.ae"/>
  </r>
  <r>
    <s v="INC000001321306"/>
    <s v="User Service Request"/>
    <s v="Ayesha"/>
    <s v="Almheiri"/>
    <d v="2026-02-24T22:31:02"/>
    <s v="Roads &amp; Facilities Maintenance"/>
    <s v="RTA"/>
    <x v="2"/>
    <s v="AV Update request ( VPN )"/>
    <s v="Techm Omer Mohamed"/>
    <s v="Service Desk"/>
    <m/>
    <s v="USER TO CONFIRM"/>
    <m/>
    <s v="4-Minor/Localized"/>
    <s v="4-Low"/>
    <s v="Dubai"/>
    <s v="Desktop"/>
    <s v="AV Update ( Antivirus)"/>
    <s v="AV Definition Update"/>
    <d v="2026-02-24T22:39:09"/>
    <s v="No"/>
    <s v="Within the Service Target"/>
    <s v="Phone"/>
    <s v="Antivirus has been updated and VPN connected and working fine ."/>
    <s v="Resolved"/>
    <s v="No"/>
    <s v="Techm_OFMohamed"/>
    <s v="Low"/>
    <s v="Desktop"/>
    <s v="AV Update ( Antivirus)"/>
    <s v="AV Definition Update"/>
    <s v="Resolved"/>
    <n v="14364"/>
    <m/>
    <m/>
    <n v="0"/>
    <s v="Standard"/>
    <s v="AHAAlmheiri"/>
    <s v="Ayesha.HaAlmheiri@rta.ae"/>
  </r>
  <r>
    <s v="INC000001321305"/>
    <s v="User Service Request"/>
    <s v="Abdulrahman"/>
    <s v="Jumaa"/>
    <d v="2026-02-24T22:29:47"/>
    <s v="Technology Strategy &amp; Governance"/>
    <s v="RTA"/>
    <x v="3"/>
    <s v="Request to reset and reconfigure Oracle Authenticator"/>
    <s v="Techm Omer Mohamed"/>
    <s v="Service Desk"/>
    <m/>
    <s v="USER TO CONFIRM"/>
    <m/>
    <s v="4-Minor/Localized"/>
    <s v="4-Low"/>
    <s v="Dubai"/>
    <s v="Desktop"/>
    <s v="User Education"/>
    <s v="User Education"/>
    <d v="2026-02-24T22:38:29"/>
    <s v="No"/>
    <s v="Within the Service Target"/>
    <s v="Phone"/>
    <s v="Oracle Authenticator reset and reconfigured ."/>
    <s v="Resolved"/>
    <s v="No"/>
    <s v="Techm_OFMohamed"/>
    <s v="Low"/>
    <s v="Desktop"/>
    <s v="User Education"/>
    <s v="User Education"/>
    <s v="Resolved"/>
    <n v="11843"/>
    <m/>
    <m/>
    <n v="0"/>
    <s v="Standard"/>
    <s v="amjumaa"/>
    <s v="Abdulrahman.Jumaa@rta.ae"/>
  </r>
  <r>
    <s v="INC000001321304"/>
    <s v="User Service Restoration"/>
    <s v="Abdallah"/>
    <s v="Alhamadi"/>
    <d v="2026-02-24T22:28:26"/>
    <s v="Licensing Activities Monitoring"/>
    <s v="RTA"/>
    <x v="7"/>
    <s v="Intranet pop up issue"/>
    <s v="Techm Omer Mohamed"/>
    <s v="Service Desk"/>
    <m/>
    <s v="USER TO CONFIRM"/>
    <m/>
    <s v="3-Moderate/Limited"/>
    <s v="3-Medium"/>
    <s v="Dubai"/>
    <s v="Desktop"/>
    <s v="Internet/Intranet Issues"/>
    <s v="Internet POP UP(RE)"/>
    <d v="2026-02-24T22:37:52"/>
    <s v="No"/>
    <s v="Within the Service Target"/>
    <s v="Phone"/>
    <e v="#NAME?"/>
    <s v="Resolved"/>
    <s v="No"/>
    <s v="Techm_OFMohamed"/>
    <s v="Medium"/>
    <s v="Desktop"/>
    <s v="Internet / Intranet Issues"/>
    <s v="Internet POP UP"/>
    <s v="Resolved"/>
    <s v="V0031559"/>
    <m/>
    <m/>
    <n v="0"/>
    <s v="Standard"/>
    <s v="okool_aialhamadi"/>
    <s v="Okool_Abdallah.Alhamadi@rta.ae"/>
  </r>
  <r>
    <s v="INC000001321251"/>
    <s v="User Service Request"/>
    <s v="Nasser"/>
    <s v="Raisi"/>
    <d v="2026-02-24T17:06:45"/>
    <s v="Licensing Activities Monitoring"/>
    <s v="RTA"/>
    <x v="7"/>
    <s v="VPN configuration Request"/>
    <s v="Techm Omer Mohamed"/>
    <s v="Service Desk"/>
    <m/>
    <s v="USER TO CONFIRM"/>
    <m/>
    <s v="4-Minor/Localized"/>
    <s v="4-Low"/>
    <s v="Licensing"/>
    <s v="Desktop"/>
    <s v="Configuration"/>
    <s v="VPN Configuration"/>
    <d v="2026-02-24T17:11:36"/>
    <s v="No"/>
    <s v="Within the Service Target"/>
    <s v="Phone"/>
    <s v="VPN has been configured and connected successfully"/>
    <s v="Resolved"/>
    <s v="No"/>
    <s v="Techm_OFMohamed"/>
    <s v="Low"/>
    <s v="Desktop"/>
    <s v="Configuration"/>
    <s v="VPN Configuration"/>
    <s v="Resolved"/>
    <n v="5448"/>
    <m/>
    <m/>
    <n v="0"/>
    <s v="Standard"/>
    <s v="nsraisi"/>
    <s v="Nasser.Raisi@rta.ae"/>
  </r>
  <r>
    <s v="INC000001321224"/>
    <s v="User Service Restoration"/>
    <s v="Mona"/>
    <s v="Alamari"/>
    <d v="2026-02-24T14:51:05"/>
    <s v="Customer Happiness"/>
    <s v="RTA"/>
    <x v="0"/>
    <s v="CRM login Issue"/>
    <s v="Techm Ghaya Hamad"/>
    <s v="Service Desk"/>
    <m/>
    <s v="USER TO CONFIRM"/>
    <m/>
    <s v="3-Moderate/Limited"/>
    <s v="3-Medium"/>
    <s v="UMM RAMOOL -CUSTOMER SERVICE CENTER BLDG"/>
    <s v="Desktop"/>
    <s v="Internet/Intranet Issues"/>
    <s v="Unable to access a specific URL(RE)"/>
    <d v="2026-02-24T14:54:10"/>
    <s v="No"/>
    <s v="Within the Service Target"/>
    <s v="Phone"/>
    <s v="Guide user to login RTA email Mona.Alamari@RTA.ae"/>
    <s v="Resolved"/>
    <s v="No"/>
    <s v="Techm_GAHamad"/>
    <s v="Medium"/>
    <s v="Desktop"/>
    <s v="Internet / Intranet Issues"/>
    <s v="Unable To Access Specific URL"/>
    <s v="Resolved"/>
    <n v="5392"/>
    <m/>
    <m/>
    <n v="0"/>
    <s v="Sensitive"/>
    <s v="mmalamari"/>
    <s v="Mona.Alamari@RTA.ae"/>
  </r>
  <r>
    <s v="INC000001321222"/>
    <s v="User Service Request"/>
    <s v="Mohamed"/>
    <s v="Abdelhalim Elghannam"/>
    <d v="2026-02-24T14:48:03"/>
    <s v="Buses"/>
    <s v="RTA"/>
    <x v="4"/>
    <s v="Unlock generic account Request"/>
    <s v="Techm Ghaya Hamad"/>
    <s v="Service Desk"/>
    <m/>
    <s v="USER TO CONFIRM"/>
    <m/>
    <s v="4-Minor/Localized"/>
    <s v="4-Low"/>
    <m/>
    <s v="Desktop"/>
    <s v="Profile"/>
    <s v="Account Lock Out"/>
    <d v="2026-02-24T14:49:06"/>
    <s v="No"/>
    <s v="Within the Service Target"/>
    <s v="Phone"/>
    <s v="Unlocked generic account (BSMaintenance) has been done"/>
    <s v="Resolved"/>
    <s v="No"/>
    <s v="Techm_GAHamad"/>
    <s v="Low"/>
    <s v="Desktop"/>
    <s v="Profile"/>
    <s v="Account Lock Out"/>
    <s v="Resolved"/>
    <s v="V0025214"/>
    <m/>
    <m/>
    <n v="0"/>
    <s v="Standard"/>
    <s v="srsl_miabdelhalimelg"/>
    <s v="Srsl_Mohamed.Abdelhalimelghannam@rta.ae"/>
  </r>
  <r>
    <s v="INC000001321219"/>
    <s v="User Service Request"/>
    <s v="Mohamed"/>
    <s v="Ali"/>
    <d v="2026-02-24T14:39:06"/>
    <s v="Drivers Affairs"/>
    <s v="RTA"/>
    <x v="4"/>
    <s v="Enable location setting Request"/>
    <s v="Techm Ghaya Hamad"/>
    <s v="Service Desk"/>
    <m/>
    <s v="USER TO CONFIRM"/>
    <m/>
    <s v="4-Minor/Localized"/>
    <s v="4-Low"/>
    <m/>
    <s v="Application"/>
    <s v="Application Services"/>
    <s v="Application Modification / Enhancement Request"/>
    <d v="2026-02-24T14:42:24"/>
    <s v="No"/>
    <s v="Within the Service Target"/>
    <s v="Phone"/>
    <s v="Location has been enabled &amp; user is able to punch out"/>
    <s v="Resolved"/>
    <s v="No"/>
    <s v="Techm_GAHamad"/>
    <s v="Low"/>
    <s v="Application"/>
    <s v="Application Services"/>
    <s v="Application Modification / Enhancement Request"/>
    <s v="Resolved"/>
    <s v="V0025011"/>
    <m/>
    <m/>
    <n v="0"/>
    <s v="Standard"/>
    <s v="epic_mamali"/>
    <s v="Epic_Mohamed.Ali@rta.ae"/>
  </r>
  <r>
    <s v="INC000001321211"/>
    <s v="User Service Restoration"/>
    <s v="Aisha"/>
    <s v="Ali"/>
    <d v="2026-02-24T14:23:11"/>
    <s v="Finance"/>
    <s v="RTA"/>
    <x v="0"/>
    <s v="EV Issue"/>
    <s v="Techm Ghaya Hamad"/>
    <s v="Service Desk"/>
    <m/>
    <s v="USER TO CONFIRM"/>
    <m/>
    <s v="3-Moderate/Limited"/>
    <s v="3-Medium"/>
    <m/>
    <s v="Desktop"/>
    <s v="Mail"/>
    <s v="Enterprise Vault"/>
    <d v="2026-02-24T14:33:58"/>
    <s v="No"/>
    <s v="Within the Service Target"/>
    <s v="Phone"/>
    <s v="Enable EV in outlook add-ins setting"/>
    <s v="Resolved"/>
    <s v="No"/>
    <s v="Techm_GAHamad"/>
    <s v="Medium"/>
    <s v="Desktop"/>
    <s v="Mail"/>
    <s v="Enterprise Vault"/>
    <s v="Resolved"/>
    <n v="15414"/>
    <m/>
    <m/>
    <n v="0"/>
    <s v="Standard"/>
    <s v="asaiali"/>
    <s v="Aisha.SAli@rta.ae"/>
  </r>
  <r>
    <s v="INC000001321208"/>
    <s v="User Service Restoration"/>
    <s v="Abeer"/>
    <s v="Al Bannai"/>
    <d v="2026-02-24T14:18:15"/>
    <s v="Rail Operations"/>
    <s v="RTA"/>
    <x v="6"/>
    <s v="Locked account Issue"/>
    <s v="Techm Ghaya Hamad"/>
    <s v="Service Desk"/>
    <m/>
    <s v="USER TO CONFIRM"/>
    <m/>
    <s v="3-Moderate/Limited"/>
    <s v="3-Medium"/>
    <m/>
    <s v="Desktop"/>
    <s v="Profile"/>
    <s v="Account Lock Out"/>
    <d v="2026-02-24T14:30:23"/>
    <s v="No"/>
    <s v="Within the Service Target"/>
    <s v="Phone"/>
    <s v="Old password has been removed from credential manager"/>
    <s v="Resolved"/>
    <s v="No"/>
    <s v="Techm_GAHamad"/>
    <s v="Medium"/>
    <s v="Desktop"/>
    <s v="Profile"/>
    <s v="Account Lock Out"/>
    <s v="Resolved"/>
    <n v="9062"/>
    <m/>
    <m/>
    <n v="0"/>
    <s v="Standard"/>
    <s v="aaalbannai"/>
    <s v="Abeer.AlBannai@RTA.ae"/>
  </r>
  <r>
    <s v="INC000001321206"/>
    <s v="User Service Request"/>
    <s v="Sara"/>
    <s v="Marzooq"/>
    <d v="2026-02-24T14:16:51"/>
    <s v="Customer Happiness"/>
    <s v="RTA"/>
    <x v="0"/>
    <s v="Unlock account Request"/>
    <s v="Techm Ghaya Hamad"/>
    <s v="Service Desk"/>
    <m/>
    <s v="USER TO CONFIRM"/>
    <m/>
    <s v="4-Minor/Localized"/>
    <s v="4-Low"/>
    <s v="DEIRA -ITS DEIRA"/>
    <s v="Desktop"/>
    <s v="Profile"/>
    <s v="Account Lock Out"/>
    <d v="2026-02-24T14:29:16"/>
    <s v="No"/>
    <s v="Within the Service Target"/>
    <s v="Phone"/>
    <s v="Unlocked account has been done. User faced multiply times locked account"/>
    <s v="Resolved"/>
    <s v="No"/>
    <s v="Techm_GAHamad"/>
    <s v="Low"/>
    <s v="Desktop"/>
    <s v="Profile"/>
    <s v="Account Lock Out"/>
    <s v="Resolved"/>
    <n v="11368"/>
    <m/>
    <m/>
    <n v="0"/>
    <s v="Standard"/>
    <s v="symarzooq"/>
    <s v="Sara.Marzooq@rta.ae"/>
  </r>
  <r>
    <s v="INC000001321202"/>
    <s v="User Service Restoration"/>
    <s v="Fatima"/>
    <s v="Al Hammadi"/>
    <d v="2026-02-24T14:06:00"/>
    <s v="Marketing &amp; Corporate Communication"/>
    <s v="RTA"/>
    <x v="0"/>
    <s v="System Performance Issue"/>
    <s v="Mohamed Alajlani"/>
    <s v="Service Desk"/>
    <m/>
    <s v="USER TO CONFIRM"/>
    <m/>
    <s v="3-Moderate/Limited"/>
    <s v="3-Medium"/>
    <s v="Dubai"/>
    <s v="Desktop"/>
    <s v="OS Issue"/>
    <s v="Startup Error Message"/>
    <d v="2026-02-24T14:11:39"/>
    <s v="No"/>
    <s v="Within the Service Target"/>
    <s v="Phone"/>
    <s v="The issue was resolved after removing the temporary files, running the disk cleanup process, and fixing the OS issue using the command DISM /Online /Cleanup-Image /RestoreHealth."/>
    <s v="Resolved"/>
    <s v="No"/>
    <s v="techm_myalajlani"/>
    <s v="Medium"/>
    <s v="Desktop"/>
    <s v="OS Issue"/>
    <s v="Startup Error Message"/>
    <s v="Resolved"/>
    <n v="12215"/>
    <m/>
    <m/>
    <n v="0"/>
    <s v="Standard"/>
    <s v="fahalhammadi"/>
    <s v="fatima.alhammadi@rta.ae"/>
  </r>
  <r>
    <s v="INC000001321194"/>
    <s v="User Service Restoration"/>
    <s v="Fatima"/>
    <s v="Al Hammadi"/>
    <d v="2026-02-24T13:56:03"/>
    <s v="Marketing &amp; Corporate Communication"/>
    <s v="RTA"/>
    <x v="0"/>
    <s v="Booting Issue"/>
    <s v="Ali Adam"/>
    <s v="OnSite  EUS"/>
    <m/>
    <s v="USER TO CONFIRM"/>
    <m/>
    <s v="1-Extensive/Widespread"/>
    <s v="1-Critical"/>
    <s v="Dubai"/>
    <s v="Desktop"/>
    <s v="OS Issue"/>
    <s v="Booting Issue"/>
    <d v="2026-02-24T14:04:29"/>
    <s v="No"/>
    <s v="Within the Service Target"/>
    <s v="Phone"/>
    <s v="- The laptop is already restarted automatically after the update and it's working fine now."/>
    <s v="Resolved"/>
    <s v="No"/>
    <s v="techm_myalajlani"/>
    <s v="Critical"/>
    <s v="Desktop"/>
    <s v="OS Issue"/>
    <s v="Booting Issue"/>
    <s v="Resolved"/>
    <n v="12215"/>
    <m/>
    <m/>
    <n v="1"/>
    <s v="Standard"/>
    <s v="fahalhammadi"/>
    <s v="fatima.alhammadi@rta.ae"/>
  </r>
  <r>
    <s v="INC000001321175"/>
    <s v="User Service Restoration"/>
    <s v="Hasa"/>
    <s v="Albalushi"/>
    <d v="2026-02-24T13:26:31"/>
    <s v="Roads &amp; Facilities Maintenance"/>
    <s v="RTA"/>
    <x v="2"/>
    <s v="Intranet Browse Issue"/>
    <s v="Techm Wahbaelrahman Hassan"/>
    <s v="Service Desk"/>
    <m/>
    <s v="USER TO CONFIRM"/>
    <m/>
    <s v="3-Moderate/Limited"/>
    <s v="3-Medium"/>
    <s v="Dubai"/>
    <s v="Desktop"/>
    <s v="Internet/Intranet Issues"/>
    <s v="Intranet issues(RE)"/>
    <d v="2026-02-24T13:30:17"/>
    <s v="No"/>
    <s v="Within the Service Target"/>
    <s v="Phone"/>
    <e v="#NAME?"/>
    <s v="Resolved"/>
    <s v="No"/>
    <s v="Techm_WAHassan"/>
    <s v="Medium"/>
    <s v="Desktop"/>
    <s v="Internet / Intranet Issues"/>
    <s v="Intranet Issues"/>
    <s v="Resolved"/>
    <n v="15173"/>
    <m/>
    <m/>
    <n v="0"/>
    <s v="Standard"/>
    <s v="haalbalushi"/>
    <s v="Hasa.Albalushi@rta.ae"/>
  </r>
  <r>
    <s v="INC000001321174"/>
    <s v="User Service Restoration"/>
    <s v="Sulaiman"/>
    <s v="Almasalheh"/>
    <d v="2026-02-24T13:25:21"/>
    <s v="Intelligent Traffic System"/>
    <s v="RTA"/>
    <x v="2"/>
    <s v="PC Slowness Issue"/>
    <s v="Techm Wahbaelrahman Hassan"/>
    <s v="Service Desk"/>
    <m/>
    <s v="USER TO CONFIRM"/>
    <m/>
    <s v="3-Moderate/Limited"/>
    <s v="3-Medium"/>
    <s v="Dubai"/>
    <s v="Desktop"/>
    <s v="OS Issue"/>
    <s v="PC Slowness Issue"/>
    <d v="2026-02-24T13:35:08"/>
    <s v="No"/>
    <s v="Within the Service Target"/>
    <s v="Phone"/>
    <s v="- Run disk cleanup utility / cleared all temporary files and temporary internet files and cookies. - Check event viewer logs. - C Drive is having free space and functioning well - Deleted Tepm files  - %tepm%"/>
    <s v="Resolved"/>
    <s v="No"/>
    <s v="Techm_WAHassan"/>
    <s v="Medium"/>
    <s v="Desktop"/>
    <s v="OS Issue"/>
    <s v="PC Slowness Issue"/>
    <s v="Resolved"/>
    <n v="15538"/>
    <m/>
    <m/>
    <n v="0"/>
    <s v="Standard"/>
    <s v="sahalmasalheh"/>
    <s v="Sulaiman.AAlmasalheh@rta.ae"/>
  </r>
  <r>
    <s v="INC000001321136"/>
    <s v="User Service Request"/>
    <s v="Ahmed"/>
    <s v="Abdallah"/>
    <d v="2026-02-24T12:45:33"/>
    <s v="Buses"/>
    <s v="RTA"/>
    <x v="4"/>
    <s v="Guide user to Reset Password through Self services portal."/>
    <s v="Mohamed Alajlani"/>
    <s v="Service Desk"/>
    <m/>
    <s v="USER TO CONFIRM"/>
    <m/>
    <s v="4-Minor/Localized"/>
    <s v="4-Low"/>
    <s v="Dubai"/>
    <s v="Desktop"/>
    <s v="User Education"/>
    <s v="User Education"/>
    <d v="2026-02-24T12:45:47"/>
    <s v="No"/>
    <s v="Within the Service Target"/>
    <s v="Phone"/>
    <s v="As per the request, SMS with Reset Password self-services URL has been shared with the user."/>
    <s v="Resolved"/>
    <s v="No"/>
    <s v="techm_myalajlani"/>
    <s v="Low"/>
    <s v="Desktop"/>
    <s v="User Education"/>
    <s v="User Education"/>
    <s v="Resolved"/>
    <n v="3635"/>
    <m/>
    <m/>
    <n v="0"/>
    <s v="Standard"/>
    <s v="aiabdallah"/>
    <s v="ahmed.abdallah@rta.ae"/>
  </r>
  <r>
    <s v="INC000001321093"/>
    <s v="User Service Restoration"/>
    <s v="Yousuf"/>
    <s v="Alyahya"/>
    <d v="2026-02-24T11:35:46"/>
    <s v="Customer Happiness"/>
    <s v="RTA"/>
    <x v="0"/>
    <s v="E traffic Issue"/>
    <s v="Techm Osama Abdullatif"/>
    <s v="OnSite  EUS"/>
    <m/>
    <s v="USER TO CONFIRM"/>
    <m/>
    <s v="3-Moderate/Limited"/>
    <s v="3-Medium"/>
    <s v="Dubai"/>
    <s v="Desktop"/>
    <s v="RTA Standard application Incidents"/>
    <s v="E TRAFFIC Issue"/>
    <d v="2026-02-24T12:10:08"/>
    <s v="No"/>
    <s v="Within the Service Target"/>
    <s v="Web"/>
    <s v="- After checking found the issue is with Java. - Reset Java settings, - Cleared the IE / Edge history. - Reinstalled Java. - Reconfigured IE mode. checked and works fine."/>
    <s v="Resolved"/>
    <s v="No"/>
    <s v="Techm_OFAbdullatif"/>
    <s v="Medium"/>
    <s v="Desktop"/>
    <s v="RTA Standard application Incidents"/>
    <s v="E-Traffic Issue"/>
    <s v="Resolved"/>
    <n v="15938"/>
    <m/>
    <m/>
    <n v="0"/>
    <s v="Standard"/>
    <s v="yaalyahya"/>
    <s v="Yousuf.Alyahya@rta.ae"/>
  </r>
  <r>
    <s v="INC000001321092"/>
    <s v="User Service Request"/>
    <s v="Tahera"/>
    <s v="Al Jasmi"/>
    <d v="2026-02-24T11:33:25"/>
    <s v="Customer Happiness"/>
    <s v="RTA"/>
    <x v="0"/>
    <s v="Request for Windows profile configuration "/>
    <s v="Techm Osama Abdullatif"/>
    <s v="OnSite  EUS"/>
    <m/>
    <s v="USER TO CONFIRM"/>
    <m/>
    <s v="4-Minor/Localized"/>
    <s v="4-Low"/>
    <s v="Dubai"/>
    <s v="Desktop"/>
    <s v="Configuration"/>
    <s v="Profile Configuration"/>
    <d v="2026-02-24T12:33:33"/>
    <s v="No"/>
    <s v="Within the Service Target"/>
    <s v="Web"/>
    <s v="Configured the user's profile as requested."/>
    <s v="Resolved"/>
    <s v="No"/>
    <s v="Techm_OFAbdullatif"/>
    <s v="Low"/>
    <s v="Desktop"/>
    <s v="Configuration"/>
    <s v="Profile Configuration"/>
    <s v="Resolved"/>
    <s v="V0031254"/>
    <m/>
    <m/>
    <n v="0"/>
    <s v="Standard"/>
    <s v="align_taaljasmi"/>
    <s v="Align_Tahera.Aljasmi@rta.ae"/>
  </r>
  <r>
    <s v="INC000001321091"/>
    <s v="User Service Request"/>
    <s v="Jasim"/>
    <s v="Kashwani"/>
    <d v="2026-02-24T11:32:45"/>
    <s v="Customer Happiness"/>
    <s v="RTA"/>
    <x v="0"/>
    <s v="Printer configuration request"/>
    <s v="Techm Osama Abdullatif"/>
    <s v="OnSite  EUS"/>
    <m/>
    <s v="USER TO CONFIRM"/>
    <m/>
    <s v="4-Minor/Localized"/>
    <s v="4-Low"/>
    <s v="UMM RAMOOL -CUSTOMER SERVICE CENTER BLDG"/>
    <s v="Printer"/>
    <s v="Configuration"/>
    <s v="Printer  re-configuration(RE)"/>
    <d v="2026-02-24T12:22:41"/>
    <s v="No"/>
    <s v="Within the Service Target"/>
    <s v="Web"/>
    <s v="configured the paper printer as a default printer for the user."/>
    <s v="Resolved"/>
    <s v="No"/>
    <s v="Techm_OFAbdullatif"/>
    <s v="Low"/>
    <s v="Printer"/>
    <s v="Configuration"/>
    <s v="Printer Re-Configuration(RE)"/>
    <s v="Resolved"/>
    <n v="7126"/>
    <m/>
    <m/>
    <n v="0"/>
    <s v="Standard"/>
    <s v="jmkashwani"/>
    <s v="Jasim.Kashwani@rta.ae"/>
  </r>
  <r>
    <s v="INC000001321083"/>
    <s v="User Service Restoration"/>
    <s v="Yousef"/>
    <s v="Al Wazani"/>
    <d v="2026-02-24T11:24:30"/>
    <s v="Internal Audit"/>
    <s v="RTA"/>
    <x v="5"/>
    <s v="Adobe Acrobat Pro Issue"/>
    <s v="Zain Alabedein Skheih"/>
    <s v="Service Desk"/>
    <m/>
    <s v="USER TO CONFIRM"/>
    <m/>
    <s v="3-Moderate/Limited"/>
    <s v="3-Medium"/>
    <s v="RTA HQ Main BUilding, Second floor"/>
    <s v="Desktop"/>
    <s v="RTA Non standard application  Incidents"/>
    <s v="Adobe Acrobat Professional"/>
    <d v="2026-02-24T11:25:43"/>
    <s v="No"/>
    <s v="Within the Service Target"/>
    <s v="Phone"/>
    <s v="we set the Adobe Acrobat as a default app and we installed the latest updates for it."/>
    <s v="Resolved"/>
    <s v="No"/>
    <s v="techm_ziskheih"/>
    <s v="Medium"/>
    <s v="Desktop"/>
    <s v="RTA Non standard application  Incidents"/>
    <s v="Adobe Acrobat Professional"/>
    <s v="Resolved"/>
    <n v="6190"/>
    <m/>
    <m/>
    <n v="0"/>
    <s v="Standard"/>
    <s v="ykalwazani"/>
    <s v="yousef.alwazani@rta.ae"/>
  </r>
  <r>
    <s v="INC000001321063"/>
    <s v="User Service Restoration"/>
    <s v="Shaya"/>
    <s v="Al-ali"/>
    <d v="2026-02-24T11:22:55"/>
    <s v="Commercial &amp; Investment"/>
    <s v="RTA"/>
    <x v="1"/>
    <s v="laptop is not charging"/>
    <s v="Solaiman Alhussni"/>
    <s v="OnSite  EUS"/>
    <m/>
    <s v="USER TO CONFIRM"/>
    <m/>
    <s v="1-Extensive/Widespread"/>
    <s v="1-Critical"/>
    <s v="Dubai"/>
    <s v="Desktop"/>
    <s v="Peripherals"/>
    <s v="Laptop Charger"/>
    <d v="2026-02-24T11:41:57"/>
    <s v="No"/>
    <s v="Within the Service Target"/>
    <s v="Phone"/>
    <s v="The laptop and charger have been tested and are working properly. After connecting the charger to another socket, it functioned without any issues.  The user will open a separate ticket with the Building and Facilities team to repair the faulty electrical socket."/>
    <s v="Resolved"/>
    <s v="No"/>
    <s v="techm_ajalbasata"/>
    <s v="Critical"/>
    <s v="Desktop"/>
    <s v="Peripherals"/>
    <s v="Laptop Charger"/>
    <s v="Resolved"/>
    <n v="14164"/>
    <m/>
    <m/>
    <n v="1"/>
    <s v="Standard"/>
    <s v="SALAlali"/>
    <s v="Shaya.Alali@rta.ae"/>
  </r>
  <r>
    <s v="INC000001321050"/>
    <s v="User Service Request"/>
    <s v="Mohamed"/>
    <s v="Attia"/>
    <d v="2026-02-24T10:59:04"/>
    <s v="Customer Happiness"/>
    <s v="RTA"/>
    <x v="0"/>
    <s v="Laptop"/>
    <s v="Techm Wahbaelrahman Hassan"/>
    <s v="Service Desk"/>
    <m/>
    <s v="USER TO CONFIRM"/>
    <m/>
    <s v="4-Minor/Localized"/>
    <s v="4-Low"/>
    <m/>
    <s v="Incident"/>
    <s v="Self-service"/>
    <s v="Mendix"/>
    <d v="2026-02-24T12:46:10"/>
    <s v="No"/>
    <s v="Within the Service Target"/>
    <s v="Self Service"/>
    <s v="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
    <s v="Resolved"/>
    <s v="No"/>
    <s v="mendix"/>
    <s v="Low"/>
    <s v="Desktop"/>
    <s v="Hardware Request"/>
    <s v="Laptop"/>
    <s v="Resolved"/>
    <s v="V0011783"/>
    <m/>
    <m/>
    <n v="3"/>
    <s v="Standard"/>
    <s v="avaya_maattia"/>
    <s v="Avaya_Mohamed.Attia@rta.ae"/>
  </r>
  <r>
    <s v="INC000001321038"/>
    <s v="User Service Request"/>
    <s v="Ali"/>
    <s v="Mohammad"/>
    <d v="2026-02-24T10:43:12"/>
    <s v="Buses"/>
    <s v="RTA"/>
    <x v="4"/>
    <s v="Request top reset adobe acrobat password."/>
    <s v="Techm Abdalbagee Hamed"/>
    <s v="Service Desk"/>
    <m/>
    <s v="USER TO CONFIRM"/>
    <m/>
    <s v="4-Minor/Localized"/>
    <s v="4-Low"/>
    <m/>
    <s v="Desktop"/>
    <s v="RTA Non standard application  Request"/>
    <s v="Adobe Acrobat Professional(RE)"/>
    <d v="2026-02-24T10:44:15"/>
    <s v="No"/>
    <s v="Within the Service Target"/>
    <s v="Phone"/>
    <s v="From sign in option click in reset password then enter the verification code and create new account password."/>
    <s v="Resolved"/>
    <s v="No"/>
    <s v="Techm_AMHamed"/>
    <s v="Low"/>
    <s v="Desktop"/>
    <s v="RTA Non standard application  Request"/>
    <s v="Adobe Acrobat Professional"/>
    <s v="Resolved"/>
    <n v="14969"/>
    <m/>
    <m/>
    <n v="0"/>
    <s v="Standard"/>
    <s v="aabdulmohammad"/>
    <s v="Ali.AMohammad@rta.ae"/>
  </r>
  <r>
    <s v="INC000001321021"/>
    <s v="User Service Restoration"/>
    <s v="Omar"/>
    <s v="Aljaziri"/>
    <d v="2026-02-24T10:31:00"/>
    <s v="Legal Affairs"/>
    <s v="RTA"/>
    <x v="1"/>
    <s v="PC Slowness Issue"/>
    <s v="Techm Wahbaelrahman Hassan"/>
    <s v="Service Desk"/>
    <m/>
    <s v="USER TO CONFIRM"/>
    <m/>
    <s v="3-Moderate/Limited"/>
    <s v="3-Medium"/>
    <s v="UMM RAMOOL - NEW HQ"/>
    <s v="Desktop"/>
    <s v="OS Issue"/>
    <s v="PC Slowness Issue"/>
    <d v="2026-02-24T10:47:57"/>
    <s v="No"/>
    <s v="Within the Service Target"/>
    <s v="Phone"/>
    <s v="- Run disk cleanup utility / cleared all temporary files and temporary internet files and cookies. - Check event viewer logs. - Deleted Tepm files  - %tepm% - Run SFC /Scannow  , found corrupt files and successfully repaired them."/>
    <s v="Resolved"/>
    <s v="No"/>
    <s v="Techm_WAHassan"/>
    <s v="Medium"/>
    <s v="Desktop"/>
    <s v="OS Issue"/>
    <s v="PC Slowness Issue"/>
    <s v="Resolved"/>
    <n v="6650"/>
    <m/>
    <m/>
    <n v="0"/>
    <s v="Sensitive"/>
    <s v="omaljaziri"/>
    <s v="Omar.Aljaziri@rta.ae"/>
  </r>
  <r>
    <s v="INC000001321010"/>
    <s v="User Service Request"/>
    <s v="Mustafa"/>
    <s v="Omar"/>
    <d v="2026-02-24T10:22:50"/>
    <s v="Traffic"/>
    <s v="RTA"/>
    <x v="2"/>
    <s v="VPN reconfiguration Request"/>
    <s v="Techm Ghaya Hamad"/>
    <s v="Service Desk"/>
    <m/>
    <s v="USER TO CONFIRM"/>
    <m/>
    <s v="4-Minor/Localized"/>
    <s v="4-Low"/>
    <m/>
    <s v="Desktop"/>
    <s v="Configuration"/>
    <s v="VPN Configuration"/>
    <d v="2026-02-24T14:27:44"/>
    <s v="No"/>
    <s v="Within the Service Target"/>
    <s v="Phone"/>
    <s v="Reconfigured VPN successfully through LogMeIn"/>
    <s v="Resolved"/>
    <s v="No"/>
    <s v="Techm_GAHamad"/>
    <s v="Low"/>
    <s v="Desktop"/>
    <s v="Configuration"/>
    <s v="VPN Configuration"/>
    <s v="Resolved"/>
    <n v="15523"/>
    <m/>
    <m/>
    <n v="0"/>
    <s v="Standard"/>
    <s v="mabdomar"/>
    <s v="Mustafa.AOmar@rta.ae"/>
  </r>
  <r>
    <s v="INC000001321005"/>
    <s v="User Service Restoration"/>
    <s v="Shaikha"/>
    <s v="Alali"/>
    <d v="2026-02-24T10:11:59"/>
    <s v="Procurement"/>
    <s v="RTA"/>
    <x v="0"/>
    <s v="Intranet credential Issue"/>
    <s v="Techm Ghaya Hamad"/>
    <s v="Service Desk"/>
    <m/>
    <s v="USER TO CONFIRM"/>
    <m/>
    <s v="3-Moderate/Limited"/>
    <s v="3-Medium"/>
    <m/>
    <s v="Desktop"/>
    <s v="Internet/Intranet Issues"/>
    <s v="Internet POP UP(RE)"/>
    <d v="2026-02-24T14:27:13"/>
    <s v="No"/>
    <s v="Within the Service Target"/>
    <s v="Phone"/>
    <s v="Clear cache browser has been done Reset &amp; update browser  GPupdate /force"/>
    <s v="Resolved"/>
    <s v="No"/>
    <s v="Techm_GAHamad"/>
    <s v="Medium"/>
    <s v="Desktop"/>
    <s v="Internet / Intranet Issues"/>
    <s v="Internet POP UP"/>
    <s v="Resolved"/>
    <n v="11503"/>
    <m/>
    <m/>
    <n v="0"/>
    <s v="Standard"/>
    <s v="shalali"/>
    <s v="Shaikha.Alali@rta.ae"/>
  </r>
  <r>
    <s v="INC000001321001"/>
    <s v="User Service Request"/>
    <s v="Juma"/>
    <s v="Fikri"/>
    <d v="2026-02-24T10:10:04"/>
    <s v="Intelligent Traffic System"/>
    <s v="RTA"/>
    <x v="2"/>
    <s v="MS Office 365 activation Request"/>
    <s v="Techm Wahbaelrahman Hassan"/>
    <s v="Service Desk"/>
    <m/>
    <s v="USER TO CONFIRM"/>
    <m/>
    <s v="4-Minor/Localized"/>
    <s v="4-Low"/>
    <s v="Dubai"/>
    <s v="Desktop"/>
    <s v="RTA Non standard application  Request"/>
    <s v="MS office professional(RE)"/>
    <d v="2026-02-24T10:20:25"/>
    <s v="No"/>
    <s v="Within the Service Target"/>
    <s v="Phone"/>
    <s v="MS Office 365 has been activated on user machine Successfully"/>
    <s v="Resolved"/>
    <s v="No"/>
    <s v="Techm_WAHassan"/>
    <s v="Low"/>
    <s v="Desktop"/>
    <s v="RTA Non standard application  Request"/>
    <s v="MS Office Professional"/>
    <s v="Resolved"/>
    <n v="12716"/>
    <m/>
    <m/>
    <n v="0"/>
    <s v="Standard"/>
    <s v="JHFikri"/>
    <s v="Juma.Fikri@rta.ae"/>
  </r>
  <r>
    <s v="INC000001321000"/>
    <s v="User Service Restoration"/>
    <s v="Abdulla"/>
    <s v="Hasan"/>
    <d v="2026-02-24T10:10:17"/>
    <s v="Technology Strategy &amp; Governance"/>
    <s v="RTA"/>
    <x v="3"/>
    <s v="Outlook credential Issue"/>
    <s v="Techm Ghaya Hamad"/>
    <s v="Service Desk"/>
    <m/>
    <s v="USER TO CONFIRM"/>
    <m/>
    <s v="3-Moderate/Limited"/>
    <s v="3-Medium"/>
    <s v="Dubai"/>
    <s v="Desktop"/>
    <s v="Mail Box Issue"/>
    <s v="Login Issue"/>
    <d v="2026-02-24T11:57:11"/>
    <s v="No"/>
    <s v="Within the Service Target"/>
    <s v="Phone"/>
    <s v="Old password has been removed from credential manager"/>
    <s v="Resolved"/>
    <s v="No"/>
    <s v="Techm_GAHamad"/>
    <s v="Medium"/>
    <s v="Desktop"/>
    <s v="Mail Box Issue"/>
    <s v="Login Issue"/>
    <s v="Resolved"/>
    <n v="11806"/>
    <m/>
    <m/>
    <n v="0"/>
    <s v="Standard"/>
    <s v="amhasan"/>
    <s v="Abdulla.Hasan@rta.ae"/>
  </r>
  <r>
    <s v="INC000001320998"/>
    <s v="User Service Restoration"/>
    <s v="Anwar"/>
    <s v="Kutty"/>
    <d v="2026-02-24T10:06:44"/>
    <s v="Planning &amp; Business Development"/>
    <s v="RTA"/>
    <x v="4"/>
    <s v="PDF Architect installation pop up"/>
    <s v="Techm Abdalbagee Hamed"/>
    <s v="Service Desk"/>
    <m/>
    <s v="USER TO CONFIRM"/>
    <m/>
    <s v="3-Moderate/Limited"/>
    <s v="3-Medium"/>
    <s v="Dubai"/>
    <s v="Incident"/>
    <s v="Self-service"/>
    <s v="Mendix"/>
    <d v="2026-02-25T09:23:26"/>
    <s v="No"/>
    <s v="Within the Service Target"/>
    <s v="Self Service"/>
    <e v="#NAME?"/>
    <s v="Resolved"/>
    <s v="No"/>
    <s v="mendix"/>
    <s v="Medium"/>
    <s v="Desktop"/>
    <s v="RTA Non standard application  Incidents"/>
    <s v="Adobe Acrobat Professional"/>
    <s v="Resolved"/>
    <n v="14755"/>
    <m/>
    <m/>
    <n v="4"/>
    <s v="Standard"/>
    <s v="ASKutty"/>
    <s v="Anwar.Kutty@rta.ae"/>
  </r>
  <r>
    <s v="INC000001320993"/>
    <s v="User Service Request"/>
    <s v="Noora"/>
    <s v="Almadani"/>
    <d v="2026-02-24T10:05:31"/>
    <s v="Internal Audit"/>
    <s v="RTA"/>
    <x v="5"/>
    <s v="VPN Configuration Request"/>
    <s v="Techm Abdalbagee Hamed"/>
    <s v="Service Desk"/>
    <m/>
    <s v="USER TO CONFIRM"/>
    <m/>
    <s v="4-Minor/Localized"/>
    <s v="4-Low"/>
    <s v="Dubai"/>
    <s v="Desktop"/>
    <s v="Configuration"/>
    <s v="VPN Configuration"/>
    <d v="2026-02-24T10:06:06"/>
    <s v="No"/>
    <s v="Within the Service Target"/>
    <s v="Phone"/>
    <s v="VPN has been configured and connected."/>
    <s v="Resolved"/>
    <s v="No"/>
    <s v="Techm_AMHamed"/>
    <s v="Low"/>
    <s v="Desktop"/>
    <s v="Configuration"/>
    <s v="VPN Configuration"/>
    <s v="Resolved"/>
    <n v="14633"/>
    <m/>
    <m/>
    <n v="0"/>
    <s v="Standard"/>
    <s v="NSAlmadani"/>
    <s v="Noora.Almadani@rta.ae"/>
  </r>
  <r>
    <s v="INC000001320989"/>
    <s v="User Service Request"/>
    <s v="Omar"/>
    <s v="Aljaziri"/>
    <d v="2026-02-24T10:06:02"/>
    <s v="Legal Affairs"/>
    <s v="RTA"/>
    <x v="1"/>
    <s v="unlock account request"/>
    <s v="Mohamed Alajlani"/>
    <s v="Service Desk"/>
    <m/>
    <s v="USER TO CONFIRM"/>
    <m/>
    <s v="4-Minor/Localized"/>
    <s v="4-Low"/>
    <s v="UMM RAMOOL - NEW HQ"/>
    <s v="Desktop"/>
    <s v="Profile"/>
    <s v="Account Lock Out"/>
    <d v="2026-02-24T10:06:21"/>
    <s v="No"/>
    <s v="Within the Service Target"/>
    <s v="Phone"/>
    <s v="The account has been unlocked successfully."/>
    <s v="Resolved"/>
    <s v="No"/>
    <s v="techm_myalajlani"/>
    <s v="Low"/>
    <s v="Desktop"/>
    <s v="Profile"/>
    <s v="Account Lock Out"/>
    <s v="Resolved"/>
    <n v="6650"/>
    <m/>
    <m/>
    <n v="0"/>
    <s v="Sensitive"/>
    <s v="omaljaziri"/>
    <s v="Omar.Aljaziri@rta.ae"/>
  </r>
  <r>
    <s v="INC000001320984"/>
    <s v="User Service Request"/>
    <s v="Abdo"/>
    <s v="Al Absy"/>
    <d v="2026-02-24T09:55:57"/>
    <s v="Vehicles Licensing"/>
    <s v="RTA"/>
    <x v="7"/>
    <s v="VPN Request"/>
    <s v="Aryam Juma Mohammad Albasata Albasata"/>
    <s v="Service Desk"/>
    <m/>
    <s v="USER TO CONFIRM"/>
    <m/>
    <s v="4-Minor/Localized"/>
    <s v="4-Low"/>
    <s v="Licensing Department - Deira"/>
    <s v="Desktop"/>
    <s v="Configuration"/>
    <s v="VPN Configuration"/>
    <d v="2026-02-24T10:04:39"/>
    <s v="No"/>
    <s v="Within the Service Target"/>
    <s v="Phone"/>
    <s v="configured vpn for the user successfully"/>
    <s v="Resolved"/>
    <s v="No"/>
    <s v="techm_ajalbasata"/>
    <s v="Low"/>
    <s v="Desktop"/>
    <s v="Configuration"/>
    <s v="VPN Configuration"/>
    <s v="Resolved"/>
    <n v="5505"/>
    <m/>
    <m/>
    <n v="0"/>
    <s v="Standard"/>
    <s v="amalabsy"/>
    <s v="Abdo.AlAbsy@RTA.ae"/>
  </r>
  <r>
    <s v="INC000001320979"/>
    <s v="User Service Restoration"/>
    <s v="Elmina"/>
    <s v="Soliman Fajut"/>
    <d v="2026-02-24T09:50:33"/>
    <s v="Roads"/>
    <s v="RTA"/>
    <x v="2"/>
    <s v="Microstation Line Style"/>
    <s v="Ahmed Almeldeen"/>
    <s v="OnSite  EUS"/>
    <m/>
    <s v="No Further Action Required"/>
    <m/>
    <s v="3-Moderate/Limited"/>
    <s v="3-Medium"/>
    <s v="UMM RAMOOL NEW HQ 6C"/>
    <s v="Incident"/>
    <s v="Self-service"/>
    <s v="Mendix"/>
    <d v="2026-02-24T11:31:40"/>
    <s v="No"/>
    <s v="Within the Service Target"/>
    <s v="Self Service"/>
    <s v="The data has been copied through Section Shared folder"/>
    <s v="Resolved"/>
    <s v="No"/>
    <s v="mendix"/>
    <s v="Medium"/>
    <s v="Desktop"/>
    <s v="Profile"/>
    <s v="Copy / Transfer Data"/>
    <s v="Resolved"/>
    <n v="4497"/>
    <m/>
    <m/>
    <n v="2"/>
    <s v="Standard"/>
    <s v="efajut"/>
    <s v="Elmina.fajut@rta.ae"/>
  </r>
  <r>
    <s v="INC000001320976"/>
    <s v="User Service Request"/>
    <s v="Khalid"/>
    <s v="Alshehhi"/>
    <d v="2026-02-24T09:50:14"/>
    <s v="Parking"/>
    <s v="RTA"/>
    <x v="2"/>
    <s v="unlock account request"/>
    <s v="Ismael Ismael"/>
    <s v="Service Desk"/>
    <m/>
    <s v="USER TO CONFIRM"/>
    <m/>
    <s v="4-Minor/Localized"/>
    <s v="4-Low"/>
    <m/>
    <s v="Desktop"/>
    <s v="Profile"/>
    <s v="Account Lock Out"/>
    <d v="2026-02-24T09:50:59"/>
    <s v="No"/>
    <s v="Within the Service Target"/>
    <s v="Phone"/>
    <s v="account has been successfully unlocked"/>
    <s v="Resolved"/>
    <s v="No"/>
    <s v="techm_iaismael"/>
    <s v="Low"/>
    <s v="Desktop"/>
    <s v="Profile"/>
    <s v="Account Lock Out"/>
    <s v="Resolved"/>
    <n v="11680"/>
    <m/>
    <m/>
    <n v="0"/>
    <s v="Standard"/>
    <s v="KMAlshehhi"/>
    <s v="Khalid.Alshehhi@rta.ae"/>
  </r>
  <r>
    <s v="INC000001320965"/>
    <s v="User Service Restoration"/>
    <s v="Sumaya"/>
    <s v="Saeed"/>
    <d v="2026-02-24T09:47:57"/>
    <s v="Vehicles Licensing"/>
    <s v="RTA"/>
    <x v="7"/>
    <s v="Browser issue - not able to access EMS"/>
    <s v="Techm Abdalbagee Hamed"/>
    <s v="Service Desk"/>
    <m/>
    <s v="USER TO CONFIRM"/>
    <m/>
    <s v="3-Moderate/Limited"/>
    <s v="3-Medium"/>
    <s v="Dubai"/>
    <s v="Desktop"/>
    <s v="Internet/Intranet Issues"/>
    <s v="Unable to access a specific URL(RE)"/>
    <d v="2026-02-24T09:49:04"/>
    <s v="No"/>
    <s v="Within the Service Target"/>
    <s v="Phone"/>
    <s v="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s v="Resolved"/>
    <s v="No"/>
    <s v="Techm_AMHamed"/>
    <s v="Medium"/>
    <s v="Desktop"/>
    <s v="Internet / Intranet Issues"/>
    <s v="Unable To Access Specific URL"/>
    <s v="Resolved"/>
    <n v="13359"/>
    <m/>
    <m/>
    <n v="0"/>
    <s v="Standard"/>
    <s v="SJSaeed"/>
    <s v="Sumaya.Saeed@rta.ae"/>
  </r>
  <r>
    <s v="INC000001320962"/>
    <s v="User Service Request"/>
    <s v="Majid"/>
    <s v="Alhawai"/>
    <d v="2026-02-24T09:36:25"/>
    <s v="Roads"/>
    <s v="RTA"/>
    <x v="2"/>
    <s v="VPN account unlock request"/>
    <s v="Ismael Ismael"/>
    <s v="Service Desk"/>
    <m/>
    <s v="USER TO CONFIRM"/>
    <m/>
    <s v="4-Minor/Localized"/>
    <s v="4-Low"/>
    <s v="Dubai"/>
    <s v="Desktop"/>
    <s v="Configuration"/>
    <s v="VPN Configuration"/>
    <d v="2026-02-24T11:47:25"/>
    <s v="No"/>
    <s v="Within the Service Target"/>
    <s v="Phone"/>
    <s v="VPN profile was successfully unlocked"/>
    <s v="Resolved"/>
    <s v="No"/>
    <s v="techm_iaismael"/>
    <s v="Low"/>
    <s v="Desktop"/>
    <s v="Configuration"/>
    <s v="VPN Configuration"/>
    <s v="Resolved"/>
    <n v="15874"/>
    <m/>
    <m/>
    <n v="2"/>
    <s v="Standard"/>
    <s v="maalhawai"/>
    <s v="Majid.Alhawai@rta.ae"/>
  </r>
  <r>
    <s v="INC000001320957"/>
    <s v="User Service Restoration"/>
    <s v="Amna"/>
    <s v="Sulaiman"/>
    <d v="2026-02-24T09:28:40"/>
    <s v="Human Resources &amp; Development"/>
    <s v="RTA"/>
    <x v="0"/>
    <s v="Adobe acrobat language Issue"/>
    <s v="Techm Wahbaelrahman Hassan"/>
    <s v="Service Desk"/>
    <m/>
    <s v="USER TO CONFIRM"/>
    <m/>
    <s v="3-Moderate/Limited"/>
    <s v="3-Medium"/>
    <s v="Dubai"/>
    <s v="Desktop"/>
    <s v="RTA Non standard application  Incidents"/>
    <s v="Adobe Acrobat Professional"/>
    <d v="2026-02-24T10:00:35"/>
    <s v="No"/>
    <s v="Within the Service Target"/>
    <s v="Phone"/>
    <s v="- Change in Preferences (Acrobat/Desktop Apps):  - Go to Edit &gt; Preferences &gt; Language (or International in some versions) and selected preferred application language."/>
    <s v="Resolved"/>
    <s v="No"/>
    <s v="Techm_WAHassan"/>
    <s v="Medium"/>
    <s v="Desktop"/>
    <s v="RTA Non standard application  Incidents"/>
    <s v="Adobe Acrobat Professional"/>
    <s v="Resolved"/>
    <n v="11990"/>
    <m/>
    <m/>
    <n v="0"/>
    <s v="Standard"/>
    <s v="assulaiman"/>
    <s v="Amna.Sulaiman@rta.ae"/>
  </r>
  <r>
    <s v="INC000001320946"/>
    <s v="User Service Request"/>
    <s v="Mahmoud"/>
    <s v="Kreishan"/>
    <d v="2026-02-24T09:13:13"/>
    <m/>
    <m/>
    <x v="5"/>
    <s v="Guide user to Reset Password through Self services portal."/>
    <s v="Mohamed Alajlani"/>
    <s v="Service Desk"/>
    <m/>
    <s v="USER TO CONFIRM"/>
    <m/>
    <s v="4-Minor/Localized"/>
    <s v="4-Low"/>
    <s v="Dubai"/>
    <s v="Desktop"/>
    <s v="User Education"/>
    <s v="User Education"/>
    <d v="2026-02-24T09:17:21"/>
    <s v="No"/>
    <s v="Within the Service Target"/>
    <s v="Phone"/>
    <s v="As per the request, SMS with Reset Password self-services URL has been shared with the user."/>
    <s v="Resolved"/>
    <s v="No"/>
    <s v="techm_myalajlani"/>
    <s v="Low"/>
    <s v="Desktop"/>
    <s v="User Education"/>
    <s v="User Education"/>
    <s v="Resolved"/>
    <n v="15935"/>
    <m/>
    <m/>
    <n v="0"/>
    <s v="Standard"/>
    <s v="mmkreishan"/>
    <s v="Mahmoud.Kreishan@rta.ae"/>
  </r>
  <r>
    <s v="INC000001320944"/>
    <s v="User Service Restoration"/>
    <s v="Hussain"/>
    <s v="Saheb"/>
    <d v="2026-02-24T09:10:17"/>
    <s v="Procurement"/>
    <s v="RTA"/>
    <x v="0"/>
    <s v="Adobe Acrobat Issue"/>
    <s v="Zain Alabedein Skheih"/>
    <s v="Service Desk"/>
    <m/>
    <s v="USER TO CONFIRM"/>
    <m/>
    <s v="3-Moderate/Limited"/>
    <s v="3-Medium"/>
    <s v="Public transport agency"/>
    <s v="Desktop"/>
    <s v="RTA Non standard application  Incidents"/>
    <s v="Adobe Acrobat Professional"/>
    <d v="2026-02-24T09:12:58"/>
    <s v="No"/>
    <s v="Within the Service Target"/>
    <s v="Phone"/>
    <s v="We uninstalled the existing Adobe Acrobat PRO and installed another version and updated it."/>
    <s v="Resolved"/>
    <s v="No"/>
    <s v="techm_ziskheih"/>
    <s v="Medium"/>
    <s v="Desktop"/>
    <s v="RTA Non standard application  Incidents"/>
    <s v="Adobe Acrobat Professional"/>
    <s v="Resolved"/>
    <n v="5679"/>
    <m/>
    <m/>
    <n v="0"/>
    <s v="Standard"/>
    <s v="hlsaheb"/>
    <s v="Hussain.Saheb@rta.ae"/>
  </r>
  <r>
    <s v="INC000001320943"/>
    <s v="User Service Restoration"/>
    <s v="Ahmad"/>
    <s v="Rahahleh"/>
    <d v="2026-02-24T09:09:17"/>
    <s v="Buildings &amp; Facilities"/>
    <s v="RTA"/>
    <x v="0"/>
    <s v="google chrome issue"/>
    <s v="Ismael Ismael"/>
    <s v="Service Desk"/>
    <m/>
    <s v="USER TO CONFIRM"/>
    <m/>
    <s v="3-Moderate/Limited"/>
    <s v="3-Medium"/>
    <s v="Dubai"/>
    <s v="Desktop"/>
    <s v="RTA Standard application Incidents"/>
    <s v="MS Edge"/>
    <d v="2026-02-24T09:11:06"/>
    <s v="No"/>
    <s v="Within the Service Target"/>
    <s v="Phone"/>
    <s v="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7. Re-install Chrome."/>
    <s v="Resolved"/>
    <s v="No"/>
    <s v="techm_iaismael"/>
    <s v="Medium"/>
    <s v="Desktop"/>
    <s v="RTA Standard application Incidents"/>
    <s v="MS Edge"/>
    <s v="Resolved"/>
    <n v="14077"/>
    <m/>
    <m/>
    <n v="0"/>
    <s v="Standard"/>
    <s v="AARahahleh"/>
    <s v="Ahmad.Rahahleh@rta.ae"/>
  </r>
  <r>
    <s v="INC000001320940"/>
    <s v="User Service Request"/>
    <s v="Essa"/>
    <s v="AlAmiri"/>
    <d v="2026-02-24T09:03:49"/>
    <s v="Administration Services"/>
    <s v="RTA"/>
    <x v="0"/>
    <s v="Guide the user to login to Automation system with Oracle Authenticator"/>
    <s v="Techm Abdalbagee Hamed"/>
    <s v="Service Desk"/>
    <m/>
    <s v="USER TO CONFIRM"/>
    <m/>
    <s v="4-Minor/Localized"/>
    <s v="4-Low"/>
    <s v="UMM RAMOOL NEW HQ 5C -LICENSING CEO OFFICE  and  LICENSING Q"/>
    <s v="Desktop"/>
    <s v="User Education"/>
    <s v="User Education"/>
    <d v="2026-02-24T09:04:05"/>
    <s v="Yes"/>
    <s v="Within the Service Target"/>
    <s v="Phone"/>
    <s v="Guide the user to login to Automation system with Oracle Authenticator."/>
    <s v="Resolved"/>
    <s v="Yes"/>
    <s v="Techm_AMHamed"/>
    <s v="Low"/>
    <s v="Desktop"/>
    <s v="User Education"/>
    <s v="User Education"/>
    <s v="Resolved"/>
    <n v="9946"/>
    <m/>
    <m/>
    <n v="0"/>
    <s v="Sensitive"/>
    <s v="eaalamiri"/>
    <s v="Essa.AlAmiri@RTA.ae"/>
  </r>
  <r>
    <s v="INC000001320937"/>
    <s v="User Service Request"/>
    <s v="Noura"/>
    <s v="Alhamadi"/>
    <d v="2026-02-24T09:11:11"/>
    <s v="Legal Affairs"/>
    <s v="RTA"/>
    <x v="1"/>
    <s v="Guide user to Unlock Account through Self services portal."/>
    <s v="Mohamed Alajlani"/>
    <s v="Service Desk"/>
    <m/>
    <s v="USER TO CONFIRM"/>
    <m/>
    <s v="4-Minor/Localized"/>
    <s v="4-Low"/>
    <s v="Dubai"/>
    <s v="Desktop"/>
    <s v="User Education"/>
    <s v="User Education"/>
    <d v="2026-02-24T09:11:31"/>
    <s v="No"/>
    <s v="Within the Service Target"/>
    <s v="Phone"/>
    <s v="The account has been unlocked successfully."/>
    <s v="Resolved"/>
    <s v="No"/>
    <s v="techm_myalajlani"/>
    <s v="Low"/>
    <s v="Desktop"/>
    <s v="User Education"/>
    <s v="User Education"/>
    <s v="Resolved"/>
    <n v="12083"/>
    <m/>
    <m/>
    <n v="0"/>
    <s v="Standard"/>
    <s v="naalhamadi"/>
    <s v="Noura.Alhamadi@rta.ae"/>
  </r>
  <r>
    <s v="INC000001320935"/>
    <s v="User Service Request"/>
    <s v="Amna"/>
    <s v="Ahmad"/>
    <d v="2026-02-24T08:54:47"/>
    <s v="Rail Right Of Way"/>
    <s v="RTA"/>
    <x v="6"/>
    <s v="VPN Configuration Request"/>
    <s v="Mohamed Alajlani"/>
    <s v="Service Desk"/>
    <m/>
    <s v="USER TO CONFIRM"/>
    <m/>
    <s v="4-Minor/Localized"/>
    <s v="4-Low"/>
    <s v="Dubai"/>
    <s v="Desktop"/>
    <s v="Configuration"/>
    <s v="VPN Configuration"/>
    <d v="2026-02-24T08:55:03"/>
    <s v="No"/>
    <s v="Within the Service Target"/>
    <s v="Phone"/>
    <s v="The VPN has been configured successfully."/>
    <s v="Resolved"/>
    <s v="No"/>
    <s v="techm_myalajlani"/>
    <s v="Low"/>
    <s v="Desktop"/>
    <s v="Configuration"/>
    <s v="VPN Configuration"/>
    <s v="Resolved"/>
    <n v="15926"/>
    <m/>
    <m/>
    <n v="0"/>
    <s v="Standard"/>
    <s v="aoahmad"/>
    <s v="Amna.Ahmad@rta.ae"/>
  </r>
  <r>
    <s v="INC000001320930"/>
    <s v="User Service Request"/>
    <s v="Suroor"/>
    <s v="Alsuwaidi"/>
    <d v="2026-02-24T08:49:24"/>
    <s v="Vehicles Licensing"/>
    <s v="RTA"/>
    <x v="7"/>
    <s v="VPN configuration request"/>
    <s v="Ismael Ismael"/>
    <s v="Service Desk"/>
    <m/>
    <s v="USER TO CONFIRM"/>
    <m/>
    <s v="4-Minor/Localized"/>
    <s v="4-Low"/>
    <s v="Dubai"/>
    <s v="Desktop"/>
    <s v="Configuration"/>
    <s v="VPN Configuration"/>
    <d v="2026-02-24T08:50:32"/>
    <s v="No"/>
    <s v="Within the Service Target"/>
    <s v="Phone"/>
    <s v="VPN has been successfully configured"/>
    <s v="Resolved"/>
    <s v="No"/>
    <s v="techm_iaismael"/>
    <s v="Low"/>
    <s v="Desktop"/>
    <s v="Configuration"/>
    <s v="VPN Configuration"/>
    <s v="Resolved"/>
    <n v="15903"/>
    <m/>
    <m/>
    <n v="0"/>
    <s v="Standard"/>
    <s v="sabalsuwaidi"/>
    <s v="Suroor.Alsuwaidi@rta.ae"/>
  </r>
  <r>
    <s v="INC000001320928"/>
    <s v="User Service Request"/>
    <s v="Humisan"/>
    <s v="Humisan"/>
    <d v="2026-02-24T08:52:41"/>
    <s v="Security &amp; Monitoring"/>
    <s v="RTA"/>
    <x v="5"/>
    <s v="MS Teams Reconfiguration"/>
    <s v="Mohamed Alajlani"/>
    <s v="Service Desk"/>
    <m/>
    <s v="USER TO CONFIRM"/>
    <m/>
    <s v="3-Moderate/Limited"/>
    <s v="4-Low"/>
    <s v="Dubai"/>
    <s v="Desktop"/>
    <s v="RTA Non standard application  Request"/>
    <s v="MS Teams"/>
    <d v="2026-02-24T08:53:55"/>
    <s v="No"/>
    <s v="Within the Service Target"/>
    <s v="Phone"/>
    <s v="The MS Teams add-in has been configured and is now visible in the Outlook app."/>
    <s v="Resolved"/>
    <s v="No"/>
    <s v="techm_myalajlani"/>
    <s v="Low"/>
    <s v="Desktop"/>
    <s v="RTA Non standard application  Request"/>
    <s v="MS Teams"/>
    <s v="Resolved"/>
    <s v="V0033351"/>
    <m/>
    <m/>
    <n v="0"/>
    <s v="Standard"/>
    <s v="transguard_hahumisan"/>
    <s v="Transguard_Humisan.Humisan@rta.ae"/>
  </r>
  <r>
    <s v="INC000001320925"/>
    <s v="User Service Request"/>
    <s v="Mohamed"/>
    <s v="Ali"/>
    <d v="2026-02-24T08:43:41"/>
    <s v="Finance"/>
    <s v="RTA"/>
    <x v="0"/>
    <s v="Guide user to unlock through Self services portal."/>
    <s v="Techm Abdalbagee Hamed"/>
    <s v="Service Desk"/>
    <m/>
    <s v="USER TO CONFIRM"/>
    <m/>
    <s v="4-Minor/Localized"/>
    <s v="4-Low"/>
    <s v="Dubai"/>
    <s v="Desktop"/>
    <s v="User Education"/>
    <s v="User Education"/>
    <d v="2026-02-24T08:43:48"/>
    <s v="No"/>
    <s v="Within the Service Target"/>
    <s v="Phone"/>
    <s v="As per the request, SMS with Unlock self-services URL has been shared with the user."/>
    <s v="Resolved"/>
    <s v="No"/>
    <s v="Techm_AMHamed"/>
    <s v="Low"/>
    <s v="Desktop"/>
    <s v="User Education"/>
    <s v="User Education"/>
    <s v="Resolved"/>
    <n v="15741"/>
    <m/>
    <m/>
    <n v="0"/>
    <s v="Standard"/>
    <s v="mmouali"/>
    <s v="Mohamed.MAli@rta.ae"/>
  </r>
  <r>
    <s v="INC000001320923"/>
    <s v="User Service Request"/>
    <s v="Tariq"/>
    <s v="Baniyas"/>
    <d v="2026-02-24T08:41:50"/>
    <s v="Drivers Licensing"/>
    <s v="RTA"/>
    <x v="7"/>
    <s v="Guide user to Reset Password through Self services portal."/>
    <s v="Techm Abdalbagee Hamed"/>
    <s v="Service Desk"/>
    <m/>
    <s v="USER TO CONFIRM"/>
    <m/>
    <s v="4-Minor/Localized"/>
    <s v="4-Low"/>
    <s v="UMM RAMOOL NEW HQ 2C"/>
    <s v="Desktop"/>
    <s v="User Education"/>
    <s v="User Education"/>
    <d v="2026-02-24T08:42:21"/>
    <s v="No"/>
    <s v="Within the Service Target"/>
    <s v="Phone"/>
    <s v="As per the request, SMS with Reset Password self-services URL has been shared with the user"/>
    <s v="Resolved"/>
    <s v="No"/>
    <s v="Techm_AMHamed"/>
    <s v="Low"/>
    <s v="Desktop"/>
    <s v="User Education"/>
    <s v="User Education"/>
    <s v="Resolved"/>
    <n v="10568"/>
    <m/>
    <m/>
    <n v="0"/>
    <s v="Standard"/>
    <s v="tmbaniyas"/>
    <s v="Tariq.Baniyas@rta.ae"/>
  </r>
  <r>
    <s v="INC000001320915"/>
    <s v="User Service Restoration"/>
    <s v="Aramex"/>
    <s v="T2 Aweer Main"/>
    <d v="2026-02-24T08:28:57"/>
    <s v="Procurement"/>
    <s v="RTA"/>
    <x v="0"/>
    <s v="EV Issue"/>
    <s v="Ismael Ismael"/>
    <s v="Service Desk"/>
    <m/>
    <s v="USER TO CONFIRM"/>
    <m/>
    <s v="3-Moderate/Limited"/>
    <s v="3-Medium"/>
    <s v="Dubai"/>
    <s v="Desktop"/>
    <s v="Mail"/>
    <s v="Enterprise Vault"/>
    <d v="2026-02-24T08:30:33"/>
    <s v="No"/>
    <s v="Within the Service Target"/>
    <s v="Phone"/>
    <e v="#NAME?"/>
    <s v="Resolved"/>
    <s v="No"/>
    <s v="techm_iaismael"/>
    <s v="Medium"/>
    <s v="Desktop"/>
    <s v="Mail Client Issue"/>
    <s v="Outlook Configuration Issue(RE)"/>
    <s v="Resolved"/>
    <s v="V00431"/>
    <m/>
    <m/>
    <n v="0"/>
    <s v="Standard"/>
    <s v="aramex_T2r11"/>
    <s v="aramex_T2.r11@rta.ae"/>
  </r>
  <r>
    <s v="INC000001320849"/>
    <s v="User Service Request"/>
    <s v="Aisha"/>
    <s v="Al Nuaimi"/>
    <d v="2026-02-24T11:31:53"/>
    <s v="Customer Happiness"/>
    <s v="RTA"/>
    <x v="0"/>
    <s v="Request for Windows profile configuration "/>
    <s v="Techm Osama Abdullatif"/>
    <s v="OnSite  EUS"/>
    <m/>
    <s v="USER TO CONFIRM"/>
    <m/>
    <s v="4-Minor/Localized"/>
    <s v="4-Low"/>
    <s v="Dubai"/>
    <s v="Desktop"/>
    <s v="Configuration"/>
    <s v="Profile Configuration"/>
    <d v="2026-02-24T11:53:58"/>
    <s v="No"/>
    <s v="Within the Service Target"/>
    <s v="Web"/>
    <s v="configured the user's profile as requested."/>
    <s v="Resolved"/>
    <s v="No"/>
    <s v="Techm_OFAbdullatif"/>
    <s v="Low"/>
    <s v="Desktop"/>
    <s v="Configuration"/>
    <s v="Profile Configuration"/>
    <s v="Resolved"/>
    <n v="11777"/>
    <m/>
    <m/>
    <n v="0"/>
    <s v="Standard"/>
    <s v="asaalnuaimi"/>
    <s v="Aisha.Alnuaimi@rta.ae"/>
  </r>
  <r>
    <s v="INC000001320806"/>
    <s v="User Service Request"/>
    <s v="Bus"/>
    <s v="Maintenance"/>
    <d v="2026-02-24T08:05:10"/>
    <s v="Buses"/>
    <s v="RTA"/>
    <x v="4"/>
    <s v="unlock account request"/>
    <s v="Techm Hussein Aljayeh"/>
    <s v="Service Desk"/>
    <m/>
    <s v="USER TO CONFIRM"/>
    <m/>
    <s v="4-Minor/Localized"/>
    <s v="4-Low"/>
    <s v="Dubai"/>
    <s v="Desktop"/>
    <s v="Profile"/>
    <s v="Account Lock Out"/>
    <d v="2026-02-24T08:05:22"/>
    <s v="No"/>
    <s v="Within the Service Target"/>
    <s v="Phone"/>
    <s v="User Account has been unlocked"/>
    <s v="Resolved"/>
    <s v="No"/>
    <s v="Techm_HHAljayeh"/>
    <s v="Low"/>
    <s v="Desktop"/>
    <s v="Profile"/>
    <s v="Account Lock Out"/>
    <s v="Resolved"/>
    <m/>
    <m/>
    <m/>
    <n v="0"/>
    <s v="Standard"/>
    <s v="BSMaintenance"/>
    <s v="Busstation.Maintenance@rta.ae"/>
  </r>
  <r>
    <s v="INC000001320805"/>
    <s v="User Service Request"/>
    <s v="Ahmed"/>
    <s v="Eltohamy"/>
    <d v="2026-02-24T08:04:22"/>
    <s v="Right Of Way"/>
    <s v="RTA"/>
    <x v="2"/>
    <s v="Laptop"/>
    <s v="Techm Osama Abdullatif"/>
    <s v="OnSite  EUS"/>
    <m/>
    <s v="USER TO CONFIRM"/>
    <m/>
    <s v="4-Minor/Localized"/>
    <s v="4-Low"/>
    <s v="Dubai"/>
    <s v="Incident"/>
    <s v="Self-service"/>
    <s v="Mendix"/>
    <d v="2026-02-25T10:54:47"/>
    <s v="No"/>
    <s v="Within the Service Target"/>
    <s v="Self Service"/>
    <s v="User raised a replacement request due to performance issue. Troubleshooted the performance issue with below steps.  - Disabled unnecessary startup items and services  - Ran disk cleanup utility and cleared all temporary files. - Disabled unnecessary tasks in task scheduler. - Disabled Windows apps from running in the background.  - Ran SFC /scannow utility. - Ran DISM utility. - Ran chkdsk utility. - Updated Device Drivers to latest.  checked and confirmed by the user it is working fine.  hence closing the ticket."/>
    <s v="Resolved"/>
    <s v="No"/>
    <s v="mendix"/>
    <s v="Low"/>
    <s v="Desktop"/>
    <s v="OS Issue"/>
    <s v="PC Slowness Issue"/>
    <s v="Resolved"/>
    <n v="15620"/>
    <m/>
    <m/>
    <n v="2"/>
    <s v="Standard"/>
    <s v="ameltohamy"/>
    <s v="Ahmed.Eltohamy@rta.ae"/>
  </r>
  <r>
    <s v="INC000001320800"/>
    <s v="User Service Request"/>
    <s v="Mohammed"/>
    <s v="Tayyara"/>
    <d v="2026-02-24T07:54:39"/>
    <s v="Right Of Way"/>
    <s v="RTA"/>
    <x v="2"/>
    <s v="Guide user to reset the Password through Self services portal."/>
    <s v="Techm Hussein Aljayeh"/>
    <s v="Service Desk"/>
    <m/>
    <s v="USER TO CONFIRM"/>
    <m/>
    <s v="4-Minor/Localized"/>
    <s v="4-Low"/>
    <s v="UMM RAMOOL NEW HQ 9C"/>
    <s v="Desktop"/>
    <s v="User Education"/>
    <s v="User Education"/>
    <d v="2026-02-24T08:05:49"/>
    <s v="No"/>
    <s v="Within the Service Target"/>
    <s v="Phone"/>
    <s v="Password Reset SOP Sent to User by SMS,User Confirm On the same Hence ticket closed"/>
    <s v="Resolved"/>
    <s v="No"/>
    <s v="Techm_HHAljayeh"/>
    <s v="Low"/>
    <s v="Desktop"/>
    <s v="User Education"/>
    <s v="User Education"/>
    <s v="Resolved"/>
    <n v="5860"/>
    <m/>
    <m/>
    <n v="0"/>
    <s v="Standard"/>
    <s v="mmtaiyara"/>
    <s v="mohammed.tayyara@rta.ae"/>
  </r>
  <r>
    <s v="INC000001320795"/>
    <s v="User Service Request"/>
    <s v="Mohammed"/>
    <s v="pilla"/>
    <d v="2026-02-24T07:29:43"/>
    <s v="Corporate Technology Support Services CEO"/>
    <s v="RTA"/>
    <x v="3"/>
    <s v="unlock account request"/>
    <s v="Techm Hussein Aljayeh"/>
    <s v="Service Desk"/>
    <m/>
    <s v="USER TO CONFIRM"/>
    <m/>
    <s v="4-Minor/Localized"/>
    <s v="4-Low"/>
    <s v="UMM RAMOOL NEW HQ 6A"/>
    <s v="Desktop"/>
    <s v="Profile"/>
    <s v="Account Lock Out"/>
    <d v="2026-02-24T07:29:55"/>
    <s v="No"/>
    <s v="Within the Service Target"/>
    <s v="Phone"/>
    <s v="User Account has been unlocked"/>
    <s v="Resolved"/>
    <s v="No"/>
    <s v="Techm_HHAljayeh"/>
    <s v="Low"/>
    <s v="Desktop"/>
    <s v="Profile"/>
    <s v="Account Lock Out"/>
    <s v="Resolved"/>
    <n v="5736"/>
    <m/>
    <m/>
    <n v="0"/>
    <s v="Standard"/>
    <s v="mskm"/>
    <s v="mohammed.km@rta.ae"/>
  </r>
  <r>
    <s v="INC000001320793"/>
    <s v="User Service Request"/>
    <s v="Maryam"/>
    <s v="Alketbi"/>
    <d v="2026-02-24T07:12:02"/>
    <s v="Development &amp; Corporate Performance"/>
    <s v="RTA"/>
    <x v="1"/>
    <s v="Guide user to reset the Password through Self services portal."/>
    <s v="Techm Hussein Aljayeh"/>
    <s v="Service Desk"/>
    <m/>
    <s v="USER TO CONFIRM"/>
    <m/>
    <s v="4-Minor/Localized"/>
    <s v="4-Low"/>
    <m/>
    <s v="Desktop"/>
    <s v="User Education"/>
    <s v="User Education"/>
    <d v="2026-02-24T07:12:56"/>
    <s v="No"/>
    <s v="Within the Service Target"/>
    <s v="Phone"/>
    <s v="Password Reset SOP Sent to User by SMS,User Confirm On the same Hence ticket closed"/>
    <s v="Resolved"/>
    <s v="No"/>
    <s v="Techm_HHAljayeh"/>
    <s v="Low"/>
    <s v="Desktop"/>
    <s v="User Education"/>
    <s v="User Education"/>
    <s v="Resolved"/>
    <n v="15016"/>
    <m/>
    <m/>
    <n v="0"/>
    <s v="Standard"/>
    <s v="mhaalketbi"/>
    <s v="Maryam.Alketbi@rta.ae"/>
  </r>
  <r>
    <s v="INC000001320791"/>
    <s v="User Service Request"/>
    <s v="Muhammad"/>
    <s v="Khan"/>
    <d v="2026-02-24T07:11:01"/>
    <s v="Information Technology"/>
    <s v="RTA"/>
    <x v="3"/>
    <s v="unlock account request"/>
    <s v="Techm Hussein Aljayeh"/>
    <s v="Service Desk"/>
    <m/>
    <s v="USER TO CONFIRM"/>
    <m/>
    <s v="4-Minor/Localized"/>
    <s v="4-Low"/>
    <s v="Dubai"/>
    <s v="Desktop"/>
    <s v="Profile"/>
    <s v="Account Lock Out"/>
    <d v="2026-02-24T07:12:25"/>
    <s v="No"/>
    <s v="Within the Service Target"/>
    <s v="Phone"/>
    <s v="User Account has been unlocked"/>
    <s v="Resolved"/>
    <s v="No"/>
    <s v="Techm_HHAljayeh"/>
    <s v="Low"/>
    <s v="Desktop"/>
    <s v="Profile"/>
    <s v="Account Lock Out"/>
    <s v="Resolved"/>
    <s v="V0032861"/>
    <m/>
    <m/>
    <n v="0"/>
    <s v="Standard"/>
    <s v="techvista_mwwaqaskha"/>
    <s v="Techvista_Muhammad.Waqaskhan@rta.ae"/>
  </r>
  <r>
    <s v="INC000001320790"/>
    <s v="User Service Request"/>
    <s v="Waleed"/>
    <s v="Alhammadi"/>
    <d v="2026-02-24T06:53:06"/>
    <s v="Licensing Activities Monitoring"/>
    <s v="RTA"/>
    <x v="7"/>
    <s v="unlock account request"/>
    <s v="Techm Hussein Aljayeh"/>
    <s v="Service Desk"/>
    <m/>
    <s v="USER TO CONFIRM"/>
    <m/>
    <s v="4-Minor/Localized"/>
    <s v="4-Low"/>
    <s v="UMM RAMOOL NEW HQ 5C -LICENSING CEO OFFICE  and  LICENSING Q"/>
    <s v="Desktop"/>
    <s v="Profile"/>
    <s v="Account Lock Out"/>
    <d v="2026-02-24T07:04:11"/>
    <s v="No"/>
    <s v="Within the Service Target"/>
    <s v="Phone"/>
    <s v="User Account has been unlocked"/>
    <s v="Resolved"/>
    <s v="No"/>
    <s v="Techm_HHAljayeh"/>
    <s v="Low"/>
    <s v="Desktop"/>
    <s v="Profile"/>
    <s v="Account Lock Out"/>
    <s v="Resolved"/>
    <n v="6231"/>
    <m/>
    <m/>
    <n v="0"/>
    <s v="Standard"/>
    <s v="waalhammadi"/>
    <s v="Waleed.Alhammadi@RTA.ae"/>
  </r>
  <r>
    <s v="INC000001320741"/>
    <s v="User Service Request"/>
    <s v="Marwan"/>
    <s v="Elsharkawy"/>
    <d v="2026-02-24T03:29:11"/>
    <s v="Customer Happiness"/>
    <s v="RTA"/>
    <x v="0"/>
    <s v="CSC Alert - Scan Failure Detected - 23022026-03"/>
    <s v="Techm Osama Abdullatif"/>
    <s v="OnSite  EUS"/>
    <m/>
    <s v="USER TO CONFIRM"/>
    <m/>
    <s v="4-Minor/Localized"/>
    <s v="4-Low"/>
    <s v="Dubai"/>
    <s v="Desktop"/>
    <s v="Proactive Monitoring"/>
    <s v="Proactive Action"/>
    <d v="2026-02-24T11:26:29"/>
    <s v="No"/>
    <s v="Within the Service Target"/>
    <s v="Email"/>
    <e v="#NAME?"/>
    <s v="Resolved"/>
    <s v="No"/>
    <s v="Techm_HHAljayeh"/>
    <s v="Low"/>
    <s v="Desktop"/>
    <s v="Proactive Monitoring"/>
    <s v="Proactive Action"/>
    <s v="Resolved"/>
    <s v="V0030110"/>
    <m/>
    <m/>
    <n v="1"/>
    <s v="Standard"/>
    <s v="avaya_maelsharkawy"/>
    <s v="Avaya_Marwan.Elsharkawy@rta.ae"/>
  </r>
  <r>
    <s v="INC000001320740"/>
    <s v="User Service Request"/>
    <s v="Mohammad"/>
    <s v="Mohammad"/>
    <d v="2026-02-24T03:26:10"/>
    <s v="Parkin"/>
    <s v="RTA"/>
    <x v="8"/>
    <s v="unlock account request"/>
    <s v="Techm Hussein Aljayeh"/>
    <s v="Service Desk"/>
    <m/>
    <s v="USER TO CONFIRM"/>
    <m/>
    <s v="4-Minor/Localized"/>
    <s v="4-Low"/>
    <s v="MUHAISNAH -MAIN BUILDING"/>
    <s v="Desktop"/>
    <s v="Profile"/>
    <s v="Account Lock Out"/>
    <d v="2026-02-24T03:37:08"/>
    <s v="No"/>
    <s v="Within the Service Target"/>
    <s v="Phone"/>
    <s v="User Account has been unlocked"/>
    <s v="Resolved"/>
    <s v="No"/>
    <s v="Techm_HHAljayeh"/>
    <s v="Low"/>
    <s v="Desktop"/>
    <s v="Profile"/>
    <s v="Account Lock Out"/>
    <s v="Resolved"/>
    <n v="871"/>
    <m/>
    <m/>
    <n v="0"/>
    <s v="Standard"/>
    <s v="MOAalbalooshi"/>
    <s v="Mohammed.Albalooshi@rta.ae"/>
  </r>
  <r>
    <s v="INC000001320734"/>
    <s v="User Service Request"/>
    <s v="Ishaq"/>
    <s v="Ahmad"/>
    <d v="2026-02-24T02:01:50"/>
    <s v="Licensing Activities Monitoring"/>
    <s v="RTA"/>
    <x v="7"/>
    <s v="unlock account request"/>
    <s v="Techm Hussein Aljayeh"/>
    <s v="Service Desk"/>
    <m/>
    <s v="USER TO CONFIRM"/>
    <m/>
    <s v="4-Minor/Localized"/>
    <s v="4-Low"/>
    <s v="UMM RAMOOL NEW HQ 5C"/>
    <s v="Desktop"/>
    <s v="Profile"/>
    <s v="Account Lock Out"/>
    <d v="2026-02-24T03:36:57"/>
    <s v="No"/>
    <s v="Within the Service Target"/>
    <s v="Phone"/>
    <s v="User Account has been unlocked"/>
    <s v="Resolved"/>
    <s v="No"/>
    <s v="Techm_HHAljayeh"/>
    <s v="Low"/>
    <s v="Desktop"/>
    <s v="Profile"/>
    <s v="Account Lock Out"/>
    <s v="Resolved"/>
    <n v="1927"/>
    <m/>
    <m/>
    <n v="0"/>
    <s v="Standard"/>
    <s v="imahmad"/>
    <s v="Ishaq.Ahmad@rta.ae"/>
  </r>
  <r>
    <s v="INC000001320733"/>
    <s v="User Service Request"/>
    <s v="Arnold"/>
    <s v="Maniquiz"/>
    <d v="2026-02-24T02:00:08"/>
    <s v="Maintenance &amp; Services"/>
    <s v="RTA"/>
    <x v="4"/>
    <s v="Office365 Login Configuration"/>
    <s v="Techm Hussein Aljayeh"/>
    <s v="Service Desk"/>
    <m/>
    <s v="USER TO CONFIRM"/>
    <m/>
    <s v="4-Minor/Localized"/>
    <s v="4-Low"/>
    <s v="AL AWEER DEPOT"/>
    <s v="Desktop"/>
    <s v="Mail"/>
    <s v="Outlook Reconfiguration(RE)"/>
    <d v="2026-02-24T03:39:16"/>
    <s v="No"/>
    <s v="Within the Service Target"/>
    <s v="Phone"/>
    <s v="Request has been Completed Through Remote Access,User Confirm On the same Hence ticket closed"/>
    <s v="Resolved"/>
    <s v="No"/>
    <s v="Techm_HHAljayeh"/>
    <s v="Low"/>
    <s v="Desktop"/>
    <s v="Mail"/>
    <s v="Outlook Reconfiguration"/>
    <s v="Resolved"/>
    <n v="11097"/>
    <m/>
    <m/>
    <n v="0"/>
    <s v="Standard"/>
    <s v="aymaniquiz"/>
    <s v="Arnold.Maniquiz@rta.ae"/>
  </r>
  <r>
    <s v="INC000001320732"/>
    <s v="User Service Request"/>
    <s v="Abdulhameed"/>
    <s v="Eltohamy"/>
    <d v="2026-02-24T01:50:09"/>
    <s v="Roads &amp; Facilities Maintenance"/>
    <s v="RTA"/>
    <x v="2"/>
    <s v="Guide user to reset the Password through Self services portal."/>
    <s v="Techm Hussein Aljayeh"/>
    <s v="Service Desk"/>
    <m/>
    <s v="USER TO CONFIRM"/>
    <m/>
    <s v="4-Minor/Localized"/>
    <s v="4-Low"/>
    <s v="Dubai"/>
    <s v="Desktop"/>
    <s v="User Education"/>
    <s v="User Education"/>
    <d v="2026-02-24T03:38:41"/>
    <s v="No"/>
    <s v="Within the Service Target"/>
    <s v="Phone"/>
    <s v="Password Reset SOP Sent to User by SMS,User Confirm On the same Hence ticket closed"/>
    <s v="Resolved"/>
    <s v="No"/>
    <s v="Techm_HHAljayeh"/>
    <s v="Low"/>
    <s v="Desktop"/>
    <s v="User Education"/>
    <s v="User Education"/>
    <s v="Resolved"/>
    <n v="6486"/>
    <m/>
    <m/>
    <n v="0"/>
    <s v="Standard"/>
    <s v="asmeltohamy"/>
    <s v="Abdulhameed.Eltohamy@rta.ae"/>
  </r>
  <r>
    <s v="INC000001320729"/>
    <s v="User Service Request"/>
    <s v="Surjeet"/>
    <s v="Samanta"/>
    <d v="2026-02-24T01:32:33"/>
    <s v="Information Technology"/>
    <s v="RTA"/>
    <x v="3"/>
    <s v="Nexthink: Device error 0X133"/>
    <s v="Surjeet Samanta"/>
    <s v="SCCM-Nexthink Support"/>
    <m/>
    <s v="No Further Action Required"/>
    <m/>
    <s v="4-Minor/Localized"/>
    <s v="4-Low"/>
    <s v="Dubai"/>
    <s v="Desktop"/>
    <s v="Proactive Monitoring"/>
    <s v="Proactive Action"/>
    <d v="2026-02-24T23:09:57"/>
    <s v="No"/>
    <s v="Within the Service Target"/>
    <s v="Phone"/>
    <s v="Require registry fix has been pushed to the affected device.. no further action require"/>
    <s v="Resolved"/>
    <s v="No"/>
    <s v="Techm_HHAljayeh"/>
    <s v="Low"/>
    <s v="Desktop"/>
    <s v="Proactive Monitoring"/>
    <s v="Proactive Action"/>
    <s v="Resolved"/>
    <s v="V0024624"/>
    <m/>
    <m/>
    <n v="0"/>
    <s v="Standard"/>
    <s v="techm_sjsamanta"/>
    <s v="Techm_Surjeet.Samanta@rta.ae"/>
  </r>
  <r>
    <s v="INC000001320726"/>
    <s v="User Service Request"/>
    <s v="Obid"/>
    <s v="Bilal"/>
    <d v="2026-02-24T00:21:41"/>
    <s v="Right Of Way"/>
    <s v="RTA"/>
    <x v="2"/>
    <s v="RTA Mail Outlook configuration on Personal Smart Phone"/>
    <s v="Techm Hussein Aljayeh"/>
    <s v="Service Desk"/>
    <m/>
    <s v="USER TO CONFIRM"/>
    <m/>
    <s v="4-Minor/Localized"/>
    <s v="4-Low"/>
    <s v="MUHAISNAH -PTP BUILDING"/>
    <s v="Desktop"/>
    <s v="Personal Device Support"/>
    <s v="Personal Smart Phone"/>
    <d v="2026-02-24T03:38:14"/>
    <s v="No"/>
    <s v="Within the Service Target"/>
    <s v="Phone"/>
    <s v="SOP -SMS Sent to User ,User Confirm On the same Hence ticket Closed."/>
    <s v="Resolved"/>
    <s v="No"/>
    <s v="Techm_HHAljayeh"/>
    <s v="Low"/>
    <s v="Desktop"/>
    <s v="Personal Device Support"/>
    <s v="Personal Smart Phone"/>
    <s v="Resolved"/>
    <n v="4010"/>
    <m/>
    <m/>
    <n v="0"/>
    <s v="Standard"/>
    <s v="OJBilal"/>
    <s v="Obid.Bilal@rta.ae"/>
  </r>
  <r>
    <s v="INC000001320723"/>
    <s v="User Service Request"/>
    <s v="Mohammed"/>
    <s v="Alwakil"/>
    <d v="2026-02-24T00:04:46"/>
    <s v="Human Resources &amp; Development"/>
    <s v="RTA"/>
    <x v="0"/>
    <s v="VPN Configuration Request"/>
    <s v="Techm Hussein Aljayeh"/>
    <s v="Service Desk"/>
    <m/>
    <s v="USER TO CONFIRM"/>
    <m/>
    <s v="4-Minor/Localized"/>
    <s v="4-Low"/>
    <s v="Dubai"/>
    <s v="Desktop"/>
    <s v="Configuration"/>
    <s v="VPN Configuration"/>
    <d v="2026-02-24T03:37:44"/>
    <s v="No"/>
    <s v="Within the Service Target"/>
    <s v="Phone"/>
    <s v="Request has been Completed Through Phone,User Confirm On the same Hence ticket Closed."/>
    <s v="Resolved"/>
    <s v="No"/>
    <s v="Techm_HHAljayeh"/>
    <s v="Low"/>
    <s v="Desktop"/>
    <s v="Configuration"/>
    <s v="VPN Configuration"/>
    <s v="Resolved"/>
    <n v="15925"/>
    <m/>
    <m/>
    <n v="0"/>
    <s v="Standard"/>
    <s v="mhalwakil"/>
    <s v="Mohammed.Alwakil@rta.ae"/>
  </r>
  <r>
    <s v="INC000001320722"/>
    <s v="User Service Request"/>
    <s v="Ahmed"/>
    <s v="Shaaban-Contractor"/>
    <d v="2026-02-24T00:02:25"/>
    <s v="Administration Services"/>
    <s v="RTA"/>
    <x v="0"/>
    <s v="Guide user to reset the Password through Self services portal."/>
    <s v="Techm Hussein Aljayeh"/>
    <s v="Service Desk"/>
    <m/>
    <s v="USER TO CONFIRM"/>
    <m/>
    <s v="4-Minor/Localized"/>
    <s v="4-Low"/>
    <m/>
    <s v="Desktop"/>
    <s v="User Education"/>
    <s v="User Education"/>
    <d v="2026-02-24T03:37:24"/>
    <s v="No"/>
    <s v="Within the Service Target"/>
    <s v="Phone"/>
    <s v="Password Reset SOP Sent to User by SMS,User Confirm On the same Hence ticket closed"/>
    <s v="Resolved"/>
    <s v="No"/>
    <s v="Techm_HHAljayeh"/>
    <s v="Low"/>
    <s v="Desktop"/>
    <s v="User Education"/>
    <s v="User Education"/>
    <s v="Resolved"/>
    <s v="V0010799"/>
    <m/>
    <m/>
    <n v="0"/>
    <s v="Standard"/>
    <s v="apex_aashaaban"/>
    <s v="Apex_Ahmed.Shaaban@rta.ae"/>
  </r>
  <r>
    <s v="INC000001320721"/>
    <s v="User Service Request"/>
    <s v="Saleem"/>
    <s v="Kadavath"/>
    <d v="2026-02-24T00:01:55"/>
    <s v="Buses"/>
    <s v="RTA"/>
    <x v="4"/>
    <s v="unlock account request"/>
    <s v="Techm Hussein Aljayeh"/>
    <s v="Service Desk"/>
    <m/>
    <s v="USER TO CONFIRM"/>
    <m/>
    <s v="4-Minor/Localized"/>
    <s v="4-Low"/>
    <s v="Dubai"/>
    <s v="Desktop"/>
    <s v="Profile"/>
    <s v="Account Lock Out"/>
    <d v="2026-02-24T03:36:46"/>
    <s v="No"/>
    <s v="Within the Service Target"/>
    <s v="Phone"/>
    <s v="User Account has been unlocked"/>
    <s v="Resolved"/>
    <s v="No"/>
    <s v="Techm_HHAljayeh"/>
    <s v="Low"/>
    <s v="Desktop"/>
    <s v="Profile"/>
    <s v="Account Lock Out"/>
    <s v="Resolved"/>
    <s v="V0027508"/>
    <m/>
    <m/>
    <n v="0"/>
    <s v="Standard"/>
    <s v="srsl_svkadavath"/>
    <s v="Srsl_Saleem.Kadavath@rta.ae"/>
  </r>
  <r>
    <s v="INC000001320720"/>
    <s v="User Service Request"/>
    <s v="Yassine"/>
    <s v="Lamsahhal"/>
    <d v="2026-02-24T00:01:27"/>
    <s v="Buses"/>
    <s v="RTA"/>
    <x v="4"/>
    <s v="unlock account request"/>
    <s v="Techm Hussein Aljayeh"/>
    <s v="Service Desk"/>
    <m/>
    <s v="USER TO CONFIRM"/>
    <m/>
    <s v="4-Minor/Localized"/>
    <s v="4-Low"/>
    <s v="Dubai"/>
    <s v="Desktop"/>
    <s v="Profile"/>
    <s v="Account Lock Out"/>
    <d v="2026-02-24T03:36:31"/>
    <s v="No"/>
    <s v="Within the Service Target"/>
    <s v="Phone"/>
    <s v="User Account has been unlocked"/>
    <s v="Resolved"/>
    <s v="No"/>
    <s v="Techm_HHAljayeh"/>
    <s v="Low"/>
    <s v="Desktop"/>
    <s v="Profile"/>
    <s v="Account Lock Out"/>
    <s v="Resolved"/>
    <s v="V0025288"/>
    <m/>
    <m/>
    <n v="0"/>
    <s v="Standard"/>
    <s v="srsl_yllamsahhal"/>
    <s v="Srsl_Yassine.Lamsahhal@rta.ae"/>
  </r>
  <r>
    <s v="INC000001320715"/>
    <s v="User Service Request"/>
    <s v="Stewart"/>
    <s v="Fernandes"/>
    <d v="2026-02-23T23:12:39"/>
    <s v="Enterprise Command &amp; Control"/>
    <s v="RTA"/>
    <x v="1"/>
    <s v="unlock account request"/>
    <s v="Techm Omer Mohamed"/>
    <s v="Service Desk"/>
    <m/>
    <s v="USER TO CONFIRM"/>
    <m/>
    <s v="4-Minor/Localized"/>
    <s v="4-Low"/>
    <s v="Dubai"/>
    <s v="Desktop"/>
    <s v="Profile"/>
    <s v="Account Lock Out"/>
    <d v="2026-02-23T23:12:55"/>
    <s v="No"/>
    <s v="Within the Service Target"/>
    <s v="Phone"/>
    <s v="ec3_itservicedesk account has been unlocked"/>
    <s v="Resolved"/>
    <s v="No"/>
    <s v="Techm_OFMohamed"/>
    <s v="Low"/>
    <s v="Desktop"/>
    <s v="Profile"/>
    <s v="Account Lock Out"/>
    <s v="Resolved"/>
    <s v="V0029932"/>
    <m/>
    <m/>
    <n v="0"/>
    <s v="Standard"/>
    <s v="cns_sffernandes"/>
    <s v="Cns_Stewart.Fernandes@rta.ae"/>
  </r>
  <r>
    <s v="INC000001320689"/>
    <s v="User Service Request"/>
    <s v="Raed"/>
    <s v="Ismail"/>
    <d v="2026-02-23T20:08:56"/>
    <s v="Passengers Transport Activities Monitoring"/>
    <s v="RTA"/>
    <x v="4"/>
    <s v="Enable PC location"/>
    <s v="Techm Osama Abdullatif"/>
    <s v="OnSite  EUS"/>
    <m/>
    <s v="USER TO CONFIRM"/>
    <m/>
    <s v="4-Minor/Localized"/>
    <s v="4-Low"/>
    <s v="Dubai"/>
    <s v="Desktop"/>
    <s v="Configuration"/>
    <s v="PC Reconnection"/>
    <d v="2026-02-25T08:49:12"/>
    <s v="No"/>
    <s v="Within the Service Target"/>
    <s v="Phone"/>
    <s v="Enabled the PC Location Services as requested."/>
    <s v="Resolved"/>
    <s v="No"/>
    <s v="Techm_OFMohamed"/>
    <s v="Low"/>
    <s v="Desktop"/>
    <s v="Configuration"/>
    <s v="Profile Configuration"/>
    <s v="Resolved"/>
    <n v="13171"/>
    <m/>
    <m/>
    <n v="1"/>
    <s v="Standard"/>
    <s v="RKIsmail"/>
    <s v="Raed.Ismail@rta.ae"/>
  </r>
  <r>
    <s v="INC000001320651"/>
    <s v="User Service Restoration"/>
    <s v="Sara"/>
    <s v="Marzooq"/>
    <d v="2026-02-23T16:13:42"/>
    <s v="Customer Happiness"/>
    <s v="RTA"/>
    <x v="0"/>
    <s v="System booting issue"/>
    <s v="Techm Ahmed Mahmoud"/>
    <s v="OnSite  EUS"/>
    <m/>
    <s v="USER TO CONFIRM"/>
    <m/>
    <s v="1-Extensive/Widespread"/>
    <s v="1-Critical"/>
    <s v="DEIRA -ITS DEIRA"/>
    <s v="Desktop"/>
    <s v="OS Issue"/>
    <s v="Booting Issue"/>
    <d v="2026-02-24T15:00:19"/>
    <s v="No"/>
    <s v="Within the Service Target"/>
    <s v="Email"/>
    <s v="The system BIOS has been successfully reset, and following a restart, the system is now operating normally with all driver updates completed. This maintenance ensures that the hardware configurations are aligned and the latest software optimizations are in place to maintain system stability and performance."/>
    <s v="Resolved"/>
    <s v="No"/>
    <s v="Techm_OFMohamed"/>
    <s v="Critical"/>
    <s v="Desktop"/>
    <s v="OS Issue"/>
    <s v="Booting Issue"/>
    <s v="Resolved"/>
    <n v="11368"/>
    <m/>
    <m/>
    <n v="1"/>
    <s v="Standard"/>
    <s v="symarzooq"/>
    <s v="Sara.Marzooq@rta.ae"/>
  </r>
  <r>
    <s v="INC000001320639"/>
    <s v="User Service Request"/>
    <s v="Ahmed"/>
    <s v="Alrashdi"/>
    <d v="2026-02-23T15:06:47"/>
    <s v="Customer Happiness"/>
    <s v="RTA"/>
    <x v="0"/>
    <s v="Counter 5 Activation - Al Barsha CHC"/>
    <s v="Techm Ahmed Mahmoud"/>
    <s v="OnSite  EUS"/>
    <m/>
    <s v="USER TO CONFIRM"/>
    <m/>
    <s v="4-Minor/Localized"/>
    <s v="4-Low"/>
    <s v="AL MANARA Customer Service Center"/>
    <s v="Desktop"/>
    <s v="Configuration"/>
    <s v="Profile Configuration"/>
    <d v="2026-02-24T14:55:00"/>
    <s v="No"/>
    <s v="Within the Service Target"/>
    <s v="Email"/>
    <s v="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
    <s v="Resolved"/>
    <s v="No"/>
    <s v="Techm_OFMohamed"/>
    <s v="Low"/>
    <s v="Desktop"/>
    <s v="Configuration"/>
    <s v="Profile Configuration"/>
    <s v="Resolved"/>
    <n v="4676"/>
    <m/>
    <m/>
    <n v="1"/>
    <s v="Sensitive"/>
    <s v="aaalrashdi"/>
    <s v="Ahmed.Alrashdi@RTA.ae"/>
  </r>
  <r>
    <s v="INC000001320624"/>
    <s v="User Service Request"/>
    <s v="maryam"/>
    <s v="taher"/>
    <d v="2026-02-23T14:37:07"/>
    <s v="Customer Happiness"/>
    <s v="RTA"/>
    <x v="0"/>
    <s v="Smart traffic configuration Request"/>
    <s v="Techm Ghaya Hamad"/>
    <s v="Service Desk"/>
    <m/>
    <s v="USER TO CONFIRM"/>
    <m/>
    <s v="4-Minor/Localized"/>
    <s v="4-Low"/>
    <s v="AL BARSHA -LICENSING"/>
    <s v="Desktop"/>
    <s v="RTA Standard Application installation Request"/>
    <s v="MS Edge"/>
    <d v="2026-02-24T09:46:39"/>
    <s v="No"/>
    <s v="Within the Service Target"/>
    <s v="Phone"/>
    <s v="Smart traffic configuration has been configured in Ms edge"/>
    <s v="Resolved"/>
    <s v="No"/>
    <s v="Techm_GAHamad"/>
    <s v="Low"/>
    <s v="Desktop"/>
    <s v="RTA Standard Application installation Request"/>
    <s v="MS Edge"/>
    <s v="Resolved"/>
    <n v="10699"/>
    <m/>
    <m/>
    <n v="0"/>
    <s v="Standard"/>
    <s v="mmtaher"/>
    <s v="maryamm.taher@rta.ae"/>
  </r>
  <r>
    <s v="INC000001320618"/>
    <s v="User Service Restoration"/>
    <s v="Abdul"/>
    <s v="Khan"/>
    <d v="2026-02-23T14:30:35"/>
    <s v="Transportation Strategic Planning"/>
    <s v="RTA"/>
    <x v="1"/>
    <s v="Intranet credential Issue"/>
    <s v="Techm Ghaya Hamad"/>
    <s v="Service Desk"/>
    <m/>
    <s v="USER TO CONFIRM"/>
    <m/>
    <s v="3-Moderate/Limited"/>
    <s v="3-Medium"/>
    <m/>
    <s v="Desktop"/>
    <s v="Internet/Intranet Issues"/>
    <s v="Internet POP UP(RE)"/>
    <d v="2026-02-24T09:51:05"/>
    <s v="No"/>
    <s v="Within the Service Target"/>
    <s v="Phone"/>
    <s v="Clear cache browser has been done Reset &amp; update browser  GPupdate /force"/>
    <s v="Resolved"/>
    <s v="No"/>
    <s v="Techm_GAHamad"/>
    <s v="Medium"/>
    <s v="Desktop"/>
    <s v="Internet / Intranet Issues"/>
    <s v="Internet POP UP"/>
    <s v="Resolved"/>
    <n v="14806"/>
    <m/>
    <m/>
    <n v="0"/>
    <s v="Standard"/>
    <s v="abaskhan"/>
    <s v="AbdulBaseer.Khan@rta.ae"/>
  </r>
  <r>
    <s v="INC000001320616"/>
    <s v="User Service Request"/>
    <s v="Anji"/>
    <s v="Alghafeer"/>
    <d v="2026-02-23T14:28:46"/>
    <s v="Buses"/>
    <s v="RTA"/>
    <x v="4"/>
    <s v="Request an electronic signature device"/>
    <s v="Techm Osama Abdullatif"/>
    <s v="OnSite  EUS"/>
    <m/>
    <s v="USER TO CONFIRM"/>
    <m/>
    <s v="4-Minor/Localized"/>
    <s v="4-Low"/>
    <s v="Dubai"/>
    <s v="Desktop"/>
    <s v="Audio and Video"/>
    <s v="Request for AV Devices (LED/LCD TVs &amp; audio)"/>
    <d v="2026-02-24T10:20:06"/>
    <s v="No"/>
    <s v="Within the Service Target"/>
    <s v="Email"/>
    <s v="- Requested deice (E-Signature) is not part of IT service catalogue hence ITD can’t provide it, - Sent email to inform her with the same.  - Hence closing the ticket."/>
    <s v="Resolved"/>
    <s v="No"/>
    <s v="techm_maalhammadi"/>
    <s v="Low"/>
    <s v="Desktop"/>
    <s v="Hardware Request"/>
    <s v="Smart Device"/>
    <s v="Resolved"/>
    <s v="V0025357"/>
    <m/>
    <m/>
    <n v="1"/>
    <s v="Standard"/>
    <s v="srsl_ahalghafeer"/>
    <s v="Srsl_Anji.Alghafeer@rta.ae"/>
  </r>
  <r>
    <s v="INC000001320576"/>
    <s v="User Service Request"/>
    <s v="Muhammed"/>
    <s v="Khan"/>
    <d v="2026-02-23T13:28:24"/>
    <s v="Roads &amp; Facilities Maintenance"/>
    <s v="RTA"/>
    <x v="2"/>
    <s v="Outlook configuration"/>
    <s v="Mohamed Alajlani"/>
    <s v="Service Desk"/>
    <m/>
    <s v="USER TO CONFIRM"/>
    <m/>
    <s v="4-Minor/Localized"/>
    <s v="4-Low"/>
    <s v="UMM RAMOOL - G+2 BUILDING"/>
    <s v="Desktop"/>
    <s v="Mail"/>
    <s v="Outlook Reconfiguration(RE)"/>
    <d v="2026-02-23T13:29:05"/>
    <s v="No"/>
    <s v="Within the Service Target"/>
    <s v="Phone"/>
    <s v="Outlook has been successfully configured and activated as requested."/>
    <s v="Resolved"/>
    <s v="No"/>
    <s v="techm_myalajlani"/>
    <s v="Low"/>
    <s v="Desktop"/>
    <s v="Mail"/>
    <s v="Outlook Reconfiguration(RE)"/>
    <s v="Resolved"/>
    <n v="5873"/>
    <m/>
    <m/>
    <n v="0"/>
    <s v="Standard"/>
    <s v="mkhan"/>
    <s v="Muhammed.Khan@rta.ae"/>
  </r>
  <r>
    <s v="INC000001320565"/>
    <s v="User Service Restoration"/>
    <s v="Sergio"/>
    <s v="Grosso"/>
    <d v="2026-02-23T13:06:35"/>
    <s v="Strategic Planning"/>
    <s v="RTA"/>
    <x v="1"/>
    <s v="unable to run python program on 2 machines"/>
    <s v="Mohamed Al Taweel"/>
    <s v="OnSite  EUS"/>
    <m/>
    <s v="USER TO CONFIRM"/>
    <m/>
    <s v="3-Moderate/Limited"/>
    <s v="3-Medium"/>
    <s v="Dubai"/>
    <s v="Incident"/>
    <s v="Self-service"/>
    <s v="Mendix"/>
    <d v="2026-02-24T11:21:03"/>
    <s v="No"/>
    <s v="Within the Service Target"/>
    <s v="Self Service"/>
    <s v="The issue was resolved by using a different Python version"/>
    <s v="Resolved"/>
    <s v="No"/>
    <s v="mendix"/>
    <s v="Medium"/>
    <s v="Application"/>
    <s v="Application Services"/>
    <s v="Non-Standard Software Applications"/>
    <s v="Resolved"/>
    <s v="V009668"/>
    <m/>
    <m/>
    <n v="2"/>
    <s v="Standard"/>
    <s v="Trans_SGGrosso"/>
    <s v="Trans_Sergio.Grosso@rta.ae"/>
  </r>
  <r>
    <s v="INC000001320547"/>
    <s v="User Service Request"/>
    <s v="Shaikha"/>
    <s v="Alali"/>
    <d v="2026-02-23T12:56:10"/>
    <s v="Procurement"/>
    <s v="RTA"/>
    <x v="0"/>
    <s v="VPN Configuration Request"/>
    <s v="Mohamed Siragelnour"/>
    <s v="Service Desk"/>
    <m/>
    <s v="USER TO CONFIRM"/>
    <m/>
    <s v="4-Minor/Localized"/>
    <s v="4-Low"/>
    <s v="UMM RAMOOL NEW HQ 4C -RAIL AGENCY"/>
    <s v="Desktop"/>
    <s v="Configuration"/>
    <s v="VPN Configuration"/>
    <d v="2026-02-23T12:56:36"/>
    <s v="No"/>
    <s v="Within the Service Target"/>
    <s v="Phone"/>
    <s v="VPN has been configured successfully."/>
    <s v="Resolved"/>
    <s v="No"/>
    <s v="techm_mbsiragelnour"/>
    <s v="Low"/>
    <s v="Desktop"/>
    <s v="Configuration"/>
    <s v="VPN Configuration"/>
    <s v="Resolved"/>
    <n v="11503"/>
    <m/>
    <m/>
    <n v="0"/>
    <s v="Standard"/>
    <s v="shalali"/>
    <s v="Shaikha.Alali@rta.ae"/>
  </r>
  <r>
    <s v="INC000001320540"/>
    <s v="User Service Request"/>
    <s v="Ayesha"/>
    <s v="Aljasmi"/>
    <d v="2026-02-23T12:36:44"/>
    <s v="Assets Management"/>
    <s v="RTA"/>
    <x v="1"/>
    <s v="Outlook configuration"/>
    <s v="Mohamed Alajlani"/>
    <s v="Service Desk"/>
    <m/>
    <s v="USER TO CONFIRM"/>
    <m/>
    <s v="4-Minor/Localized"/>
    <s v="4-Low"/>
    <s v="Dubai"/>
    <s v="Desktop"/>
    <s v="Mail"/>
    <s v="Outlook Reconfiguration(RE)"/>
    <d v="2026-02-23T12:53:51"/>
    <s v="No"/>
    <s v="Within the Service Target"/>
    <s v="Phone"/>
    <s v="The Outlook has been configured as requested."/>
    <s v="Resolved"/>
    <s v="No"/>
    <s v="techm_myalajlani"/>
    <s v="Low"/>
    <s v="Desktop"/>
    <s v="Mail"/>
    <s v="Outlook Reconfiguration(RE)"/>
    <s v="Resolved"/>
    <n v="15837"/>
    <m/>
    <m/>
    <n v="0"/>
    <s v="Standard"/>
    <s v="aabdulaljasmi"/>
    <s v="Ayesha.Aljasmi@rta.ae"/>
  </r>
  <r>
    <s v="INC000001320532"/>
    <s v="User Service Request"/>
    <s v="Muhammad"/>
    <s v="Asghar"/>
    <d v="2026-02-23T12:29:04"/>
    <s v="Information Technology"/>
    <s v="RTA"/>
    <x v="3"/>
    <s v="Software Installing Request"/>
    <s v="Ismael Ismael"/>
    <s v="Service Desk"/>
    <m/>
    <s v="USER TO CONFIRM"/>
    <m/>
    <s v="4-Minor/Localized"/>
    <s v="4-Low"/>
    <s v="Dubai"/>
    <s v="Incident"/>
    <s v="Self-service"/>
    <s v="Mendix"/>
    <d v="2026-02-24T11:20:05"/>
    <s v="No"/>
    <s v="Within the Service Target"/>
    <s v="Self Service"/>
    <s v="Java 8 already installed in the machine"/>
    <s v="Resolved"/>
    <s v="No"/>
    <s v="mendix"/>
    <s v="Low"/>
    <s v="Desktop"/>
    <s v="RTA Standard Application installation Request"/>
    <s v="Java Runtime Environment"/>
    <s v="Resolved"/>
    <n v="15060"/>
    <m/>
    <m/>
    <n v="2"/>
    <s v="Standard"/>
    <s v="maasghar"/>
    <s v="Muhammad.Asghar@rta.ae"/>
  </r>
  <r>
    <s v="INC000001320529"/>
    <s v="User Service Request"/>
    <s v="Muhammad"/>
    <s v="Asghar"/>
    <d v="2026-02-23T12:27:53"/>
    <s v="Information Technology"/>
    <s v="RTA"/>
    <x v="3"/>
    <s v="Software Installing Request"/>
    <s v="Mohamed Alajlani"/>
    <s v="Service Desk"/>
    <m/>
    <s v="USER TO CONFIRM"/>
    <m/>
    <s v="4-Minor/Localized"/>
    <s v="4-Low"/>
    <s v="Dubai"/>
    <s v="Incident"/>
    <s v="Self-service"/>
    <s v="Mendix"/>
    <d v="2026-02-25T13:02:43"/>
    <s v="No"/>
    <s v="Within the Service Target"/>
    <s v="Self Service"/>
    <s v="The software has been installed successfully as requested"/>
    <s v="Resolved"/>
    <s v="No"/>
    <s v="mendix"/>
    <s v="Low"/>
    <s v="Desktop"/>
    <s v="RTA Non standard application  Request"/>
    <s v="Non-listed Application/Software"/>
    <s v="Resolved"/>
    <n v="15060"/>
    <m/>
    <m/>
    <n v="11"/>
    <s v="Standard"/>
    <s v="maasghar"/>
    <s v="Muhammad.Asghar@rta.ae"/>
  </r>
  <r>
    <s v="INC000001320518"/>
    <s v="User Service Restoration"/>
    <s v="Mustafa"/>
    <s v="Sonasath"/>
    <d v="2026-02-23T12:21:19"/>
    <s v="Planning &amp; Business Development"/>
    <s v="RTA"/>
    <x v="4"/>
    <s v="Laptop network connectivity issue"/>
    <s v="Zain Alabedein Skheih"/>
    <s v="Service Desk"/>
    <m/>
    <s v="USER TO CONFIRM"/>
    <m/>
    <s v="3-Moderate/Limited"/>
    <s v="3-Medium"/>
    <s v="Dubai"/>
    <s v="Desktop"/>
    <s v="OS Issue"/>
    <s v="PC Slowness Issue"/>
    <d v="2026-02-23T12:40:16"/>
    <s v="No"/>
    <s v="Within the Service Target"/>
    <s v="Phone"/>
    <s v="user confirmed over the phone call that the issue got solved already"/>
    <s v="Resolved"/>
    <s v="No"/>
    <s v="techm_ziskheih"/>
    <s v="Medium"/>
    <s v="Desktop"/>
    <s v="OS Issue"/>
    <s v="PC Slowness Issue"/>
    <s v="Resolved"/>
    <n v="15347"/>
    <m/>
    <m/>
    <n v="2"/>
    <s v="Standard"/>
    <s v="mksonasath"/>
    <s v="Mustafa.Sonasath@rta.ae"/>
  </r>
  <r>
    <s v="INC000001320515"/>
    <s v="User Service Request"/>
    <s v="Tarek"/>
    <s v="Walid Abu Gharbieh"/>
    <d v="2026-02-23T12:18:04"/>
    <s v="Traffic"/>
    <s v="RTA"/>
    <x v="2"/>
    <s v="Assist user to Retrieving Files"/>
    <s v="Ismael Ismael"/>
    <s v="Service Desk"/>
    <m/>
    <s v="USER TO CONFIRM"/>
    <m/>
    <s v="4-Minor/Localized"/>
    <s v="4-Low"/>
    <s v="UMM RAMOOL NEW HQ 7C"/>
    <s v="Desktop"/>
    <s v="Data Recovery"/>
    <s v="Data Recovery Request"/>
    <d v="2026-02-23T12:35:37"/>
    <s v="No"/>
    <s v="Within the Service Target"/>
    <s v="Email"/>
    <s v="MS outlook was set to default when opening saved emails"/>
    <s v="Resolved"/>
    <s v="No"/>
    <s v="Techm_NRMohamed"/>
    <s v="Low"/>
    <s v="Desktop"/>
    <s v="Mail"/>
    <s v="Outlook Reconfiguration"/>
    <s v="Resolved"/>
    <n v="3102"/>
    <m/>
    <m/>
    <n v="1"/>
    <s v="Sensitive"/>
    <s v="TWGharbieh"/>
    <s v="Tariq.Gharbieh@rta.ae"/>
  </r>
  <r>
    <s v="INC000001320510"/>
    <s v="User Service Request"/>
    <s v="Manal"/>
    <s v="Alfugaer"/>
    <d v="2026-02-23T12:15:13"/>
    <s v="Marketing &amp; Corporate Communication"/>
    <s v="RTA"/>
    <x v="0"/>
    <s v="VPN reconfiguration Request"/>
    <s v="Techm Ghaya Hamad"/>
    <s v="Service Desk"/>
    <m/>
    <s v="USER TO CONFIRM"/>
    <m/>
    <s v="4-Minor/Localized"/>
    <s v="4-Low"/>
    <s v="Dubai"/>
    <s v="Desktop"/>
    <s v="Configuration"/>
    <s v="VPN Configuration"/>
    <d v="2026-02-24T09:26:33"/>
    <s v="No"/>
    <s v="Within the Service Target"/>
    <s v="Phone"/>
    <s v="Reconfigured VPN successfully through LogMeIn"/>
    <s v="Resolved"/>
    <s v="No"/>
    <s v="Techm_GAHamad"/>
    <s v="Low"/>
    <s v="Desktop"/>
    <s v="Configuration"/>
    <s v="VPN Configuration"/>
    <s v="Resolved"/>
    <n v="12824"/>
    <m/>
    <m/>
    <n v="0"/>
    <s v="Standard"/>
    <s v="MMAlfugaer"/>
    <s v="Manal.Alfugaer@rta.ae"/>
  </r>
  <r>
    <s v="INC000001320506"/>
    <s v="User Service Restoration"/>
    <s v="Hamad"/>
    <s v="Al bedwawi"/>
    <d v="2026-02-23T12:15:33"/>
    <s v="Licensing Activities Monitoring"/>
    <s v="RTA"/>
    <x v="7"/>
    <s v="IPAD issue"/>
    <s v="Nihad Mozayek"/>
    <s v="OnSite  EUS"/>
    <m/>
    <s v="No Further Action Required"/>
    <m/>
    <s v="3-Moderate/Limited"/>
    <s v="3-Medium"/>
    <s v="Dubai"/>
    <s v="Desktop"/>
    <s v="Temporary Hardware"/>
    <s v="IPAD"/>
    <d v="2026-02-23T15:10:56"/>
    <s v="No"/>
    <s v="Within the Service Target"/>
    <s v="Phone"/>
    <s v="Resolved by sign out from MS Teams and sign in again"/>
    <s v="Resolved"/>
    <s v="No"/>
    <s v="techm_ajalbasata"/>
    <s v="Medium"/>
    <s v="Desktop"/>
    <s v="IPad Issue"/>
    <s v="IPad Issue"/>
    <s v="Resolved"/>
    <n v="6141"/>
    <m/>
    <m/>
    <n v="1"/>
    <s v="Standard"/>
    <s v="hialbedwawi"/>
    <s v="Hamad.Albedwawi@RTA.ae"/>
  </r>
  <r>
    <s v="INC000001320504"/>
    <s v="User Service Request"/>
    <s v="Experts Salah"/>
    <s v="Ahmed"/>
    <d v="2026-02-23T12:10:16"/>
    <s v="Passengers Transport Activities Monitoring"/>
    <s v="RTA"/>
    <x v="4"/>
    <s v="Temporary USB Unblocking"/>
    <s v="Techm Ahmed Elboshy"/>
    <s v="Service Desk"/>
    <m/>
    <s v="USER TO CONFIRM"/>
    <m/>
    <s v="4-Minor/Localized"/>
    <s v="4-Low"/>
    <s v="Dubai"/>
    <s v="Incident"/>
    <s v="Self-service"/>
    <s v="Mendix"/>
    <d v="2026-02-23T13:44:11"/>
    <s v="No"/>
    <s v="Within the Service Target"/>
    <s v="Self Service"/>
    <s v="Please note that your system &quot; RTA-PTA-TAM-209&quot; has been moved to USB Block exception Group."/>
    <s v="Resolved"/>
    <s v="No"/>
    <s v="mendix"/>
    <s v="Low"/>
    <s v="Security"/>
    <s v="USB"/>
    <s v="USB Access Unblocking"/>
    <s v="Resolved"/>
    <s v="V009534"/>
    <m/>
    <m/>
    <n v="3"/>
    <s v="Standard"/>
    <s v="Experts_SMAhmed"/>
    <s v="Experts_Salah.Ahmed@rta.ae"/>
  </r>
  <r>
    <s v="INC000001320498"/>
    <s v="User Service Request"/>
    <s v="Hanan"/>
    <s v="Abdulmuttaleb"/>
    <d v="2026-02-23T12:06:41"/>
    <s v="Drivers Licensing"/>
    <s v="RTA"/>
    <x v="7"/>
    <s v="User education"/>
    <s v="Techm Wahbaelrahman Hassan"/>
    <s v="Service Desk"/>
    <m/>
    <s v="USER TO CONFIRM"/>
    <m/>
    <s v="4-Minor/Localized"/>
    <s v="4-Low"/>
    <s v="Dubai"/>
    <s v="Desktop"/>
    <s v="User Education"/>
    <s v="User Education"/>
    <d v="2026-02-23T12:07:27"/>
    <s v="No"/>
    <s v="Within the Service Target"/>
    <s v="Phone"/>
    <s v="Guided user with saving the email as a PDF file Successfully"/>
    <s v="Resolved"/>
    <s v="No"/>
    <s v="Techm_WAHassan"/>
    <s v="Low"/>
    <s v="Desktop"/>
    <s v="User Education"/>
    <s v="User Education"/>
    <s v="Resolved"/>
    <n v="14326"/>
    <m/>
    <m/>
    <n v="0"/>
    <s v="Standard"/>
    <s v="HHAbdulmuttaleb"/>
    <s v="Hanan.alhasawi@rta.ae"/>
  </r>
  <r>
    <s v="INC000001320489"/>
    <s v="User Service Request"/>
    <s v="Ghulam"/>
    <s v="Qadir"/>
    <d v="2026-02-23T12:01:53"/>
    <s v="Customer Happiness"/>
    <s v="RTA"/>
    <x v="0"/>
    <s v="Reset Oracle account Request"/>
    <s v="Techm Ghaya Hamad"/>
    <s v="Service Desk"/>
    <m/>
    <s v="USER TO CONFIRM"/>
    <m/>
    <s v="4-Minor/Localized"/>
    <s v="4-Low"/>
    <s v="Dubai"/>
    <s v="Application"/>
    <s v="Application Services"/>
    <s v="Application Modification / Enhancement Request"/>
    <d v="2026-02-24T09:25:36"/>
    <s v="No"/>
    <s v="Within the Service Target"/>
    <s v="Phone"/>
    <s v="Reset Oracle account has been done"/>
    <s v="Resolved"/>
    <s v="No"/>
    <s v="Techm_GAHamad"/>
    <s v="Low"/>
    <s v="Application"/>
    <s v="Application Services"/>
    <s v="Application Modification / Enhancement Request"/>
    <s v="Resolved"/>
    <n v="13774"/>
    <m/>
    <m/>
    <n v="0"/>
    <s v="Standard"/>
    <s v="GNQadir"/>
    <s v="Ghulam.Qadir@rta.ae"/>
  </r>
  <r>
    <s v="INC000001320486"/>
    <s v="User Service Request"/>
    <s v="Hossam"/>
    <s v="Soliman"/>
    <d v="2026-02-23T12:55:22"/>
    <s v="Rail Right Of Way"/>
    <s v="RTA"/>
    <x v="6"/>
    <s v="Guided user to unlock account via Self-Service"/>
    <s v="Mohamed Siragelnour"/>
    <s v="Service Desk"/>
    <m/>
    <s v="USER TO CONFIRM"/>
    <m/>
    <s v="4-Minor/Localized"/>
    <s v="4-Low"/>
    <s v="Dubai"/>
    <s v="Desktop"/>
    <s v="User Education"/>
    <s v="User Education"/>
    <d v="2026-02-23T12:55:47"/>
    <s v="No"/>
    <s v="Within the Service Target"/>
    <s v="Phone"/>
    <s v="Guided user to unlock account via Self-Service"/>
    <s v="Resolved"/>
    <s v="No"/>
    <s v="techm_mbsiragelnour"/>
    <s v="Low"/>
    <s v="Desktop"/>
    <s v="User Education"/>
    <s v="User Education"/>
    <s v="Resolved"/>
    <n v="15831"/>
    <m/>
    <m/>
    <n v="0"/>
    <s v="Standard"/>
    <s v="hasoliman"/>
    <s v="Hossam.Soliman@rta.ae"/>
  </r>
  <r>
    <s v="INC000001320482"/>
    <s v="User Service Request"/>
    <s v="Halima"/>
    <s v="AlZahli"/>
    <d v="2026-02-23T11:56:21"/>
    <s v="Customer Happiness"/>
    <s v="RTA"/>
    <x v="0"/>
    <s v="smart traffic configuration request"/>
    <s v="Ismael Ismael"/>
    <s v="Service Desk"/>
    <m/>
    <s v="USER TO CONFIRM"/>
    <m/>
    <s v="4-Minor/Localized"/>
    <s v="4-Low"/>
    <s v="AL BARSHA -LICENSING"/>
    <s v="Desktop"/>
    <s v="RTA Standard Application installation Request"/>
    <s v="MS Edge"/>
    <d v="2026-02-23T11:56:42"/>
    <s v="No"/>
    <s v="Within the Service Target"/>
    <s v="Phone"/>
    <s v="smart traffic has been successfully configured"/>
    <s v="Resolved"/>
    <s v="No"/>
    <s v="techm_iaismael"/>
    <s v="Low"/>
    <s v="Desktop"/>
    <s v="RTA Standard Application installation Request"/>
    <s v="MS Edge"/>
    <s v="Resolved"/>
    <n v="10635"/>
    <m/>
    <m/>
    <n v="0"/>
    <s v="Standard"/>
    <s v="hkalzahli"/>
    <s v="Halima.AlZahli@rta.ae"/>
  </r>
  <r>
    <s v="INC000001320479"/>
    <s v="User Service Request"/>
    <s v="Shayma"/>
    <s v="Alblooshi"/>
    <d v="2026-02-23T11:52:46"/>
    <s v="Security &amp; Monitoring"/>
    <s v="RTA"/>
    <x v="5"/>
    <s v="Temporary USB Unblocking"/>
    <s v="Techm Ahmed Elboshy"/>
    <s v="Service Desk"/>
    <m/>
    <s v="USER TO CONFIRM"/>
    <m/>
    <s v="4-Minor/Localized"/>
    <s v="4-Low"/>
    <s v="Dubai"/>
    <s v="Incident"/>
    <s v="Self-service"/>
    <s v="Mendix"/>
    <d v="2026-02-23T12:56:02"/>
    <s v="No"/>
    <s v="Within the Service Target"/>
    <s v="Self Service"/>
    <s v="Please note that your system &quot;rta-cho-sam-067 &quot; has been moved to USB Block exception Group."/>
    <s v="Resolved"/>
    <s v="No"/>
    <s v="mendix"/>
    <s v="Low"/>
    <s v="Security"/>
    <s v="USB"/>
    <s v="USB Access Unblocking"/>
    <s v="Resolved"/>
    <n v="15376"/>
    <m/>
    <m/>
    <n v="5"/>
    <s v="Standard"/>
    <s v="smohaalblooshi"/>
    <s v="Shayma.Alblooshi@rta.ae"/>
  </r>
  <r>
    <s v="INC000001320460"/>
    <s v="User Service Restoration"/>
    <s v="Khalid"/>
    <s v="Al Mazzem"/>
    <d v="2026-02-23T11:43:56"/>
    <s v="Drivers Licensing"/>
    <s v="RTA"/>
    <x v="7"/>
    <s v="VPN Issue"/>
    <s v="Zain Alabedein Skheih"/>
    <s v="Service Desk"/>
    <m/>
    <s v="USER TO CONFIRM"/>
    <m/>
    <s v="3-Moderate/Limited"/>
    <s v="3-Medium"/>
    <s v="UMM RAMOOL -BLOCK B"/>
    <s v="Desktop"/>
    <s v="Configuration"/>
    <s v="VPN Troubleshooting"/>
    <d v="2026-02-23T11:53:16"/>
    <s v="No"/>
    <s v="Within the Service Target"/>
    <s v="Phone"/>
    <s v="we did reset for the VPN and configured it successfully"/>
    <s v="Resolved"/>
    <s v="No"/>
    <s v="techm_ziskheih"/>
    <s v="Medium"/>
    <s v="Desktop"/>
    <s v="Configuration"/>
    <s v="VPN Troubleshooting"/>
    <s v="Resolved"/>
    <n v="4210"/>
    <m/>
    <m/>
    <n v="0"/>
    <s v="Standard"/>
    <s v="kmalmazzem"/>
    <s v="Khalid.AlMazzem@RTA.ae"/>
  </r>
  <r>
    <s v="INC000001320449"/>
    <s v="User Service Request"/>
    <s v="Eman"/>
    <s v="Alameeri"/>
    <d v="2026-02-23T11:36:44"/>
    <s v="Marketing &amp; Corporate Communication"/>
    <s v="RTA"/>
    <x v="0"/>
    <s v="Guide user to Reset Password through Self services portal."/>
    <s v="Mohamed Alajlani"/>
    <s v="Service Desk"/>
    <m/>
    <s v="USER TO CONFIRM"/>
    <m/>
    <s v="4-Minor/Localized"/>
    <s v="4-Low"/>
    <s v="Dubai"/>
    <s v="Desktop"/>
    <s v="User Education"/>
    <s v="User Education"/>
    <d v="2026-02-23T11:37:03"/>
    <s v="No"/>
    <s v="Within the Service Target"/>
    <s v="Phone"/>
    <s v="As per the request, SMS with Reset Password self-services URL has been shared with the user."/>
    <s v="Resolved"/>
    <s v="No"/>
    <s v="techm_myalajlani"/>
    <s v="Low"/>
    <s v="Desktop"/>
    <s v="User Education"/>
    <s v="User Education"/>
    <s v="Resolved"/>
    <n v="15878"/>
    <m/>
    <m/>
    <n v="0"/>
    <s v="Standard"/>
    <s v="eaalameeri"/>
    <s v="Eman.Alameeri@rta.ae"/>
  </r>
  <r>
    <s v="INC000001320439"/>
    <s v="User Service Request"/>
    <s v="Mona"/>
    <s v="Alamari"/>
    <d v="2026-02-23T11:25:58"/>
    <s v="Customer Happiness"/>
    <s v="RTA"/>
    <x v="0"/>
    <s v="VPN Configurations Request"/>
    <s v="Zain Alabedein Skheih"/>
    <s v="Service Desk"/>
    <m/>
    <s v="USER TO CONFIRM"/>
    <m/>
    <s v="4-Minor/Localized"/>
    <s v="4-Low"/>
    <s v="UMM RAMOOL -CUSTOMER SERVICE CENTER BLDG"/>
    <s v="Desktop"/>
    <s v="Configuration"/>
    <s v="VPN Configuration"/>
    <d v="2026-02-23T11:26:30"/>
    <s v="No"/>
    <s v="Within the Service Target"/>
    <s v="Phone"/>
    <s v="We configured the VPN successfully"/>
    <s v="Resolved"/>
    <s v="No"/>
    <s v="techm_ziskheih"/>
    <s v="Low"/>
    <s v="Desktop"/>
    <s v="Configuration"/>
    <s v="VPN Configuration"/>
    <s v="Resolved"/>
    <n v="5392"/>
    <m/>
    <m/>
    <n v="0"/>
    <s v="Sensitive"/>
    <s v="mmalamari"/>
    <s v="Mona.Alamari@RTA.ae"/>
  </r>
  <r>
    <s v="INC000001320436"/>
    <s v="User Service Restoration"/>
    <s v="Shamsa"/>
    <s v="Faraj"/>
    <d v="2026-02-23T11:22:52"/>
    <s v="Human Resources &amp; Development"/>
    <s v="RTA"/>
    <x v="0"/>
    <s v="Chrome Browser Issue &quot;Can not open RTA Intranet&quot;"/>
    <s v="Zain Alabedein Skheih"/>
    <s v="Service Desk"/>
    <m/>
    <s v="USER TO CONFIRM"/>
    <m/>
    <s v="3-Moderate/Limited"/>
    <s v="3-Medium"/>
    <s v="Dubai"/>
    <s v="Desktop"/>
    <s v="RTA Standard application Incidents"/>
    <s v="MS Edge"/>
    <d v="2026-02-23T11:24:13"/>
    <s v="No"/>
    <s v="Within the Service Target"/>
    <s v="Phone"/>
    <s v="we accessed remotely and did gpupdate /force and cleared the browser data then the issue got solved"/>
    <s v="Resolved"/>
    <s v="No"/>
    <s v="techm_ziskheih"/>
    <s v="Medium"/>
    <s v="Desktop"/>
    <s v="RTA Standard application Incidents"/>
    <s v="Google Chrome Issue"/>
    <s v="Resolved"/>
    <n v="14560"/>
    <m/>
    <m/>
    <n v="0"/>
    <s v="Standard"/>
    <s v="SMFaraj"/>
    <s v="Shamsa.Faraj@rta.ae"/>
  </r>
  <r>
    <s v="INC000001320434"/>
    <s v="User Service Restoration"/>
    <s v="Sana Juma"/>
    <s v="Zayed"/>
    <d v="2026-02-23T11:24:14"/>
    <s v="Dubai Transport CEO"/>
    <s v="RTA"/>
    <x v="4"/>
    <s v="The user is facing a SIM card issue"/>
    <s v="Ali Adam"/>
    <s v="OnSite  EUS"/>
    <m/>
    <s v="USER TO CONFIRM"/>
    <m/>
    <s v="2-Significant/Large"/>
    <s v="2-High"/>
    <s v="UMM RAMOOL - NEW HQ"/>
    <s v="Desktop"/>
    <s v="3G Request"/>
    <s v="Permanant"/>
    <d v="2026-02-23T17:04:05"/>
    <s v="No"/>
    <s v="Within the Service Target"/>
    <s v="Email"/>
    <s v="- The SIM card has been reinserted to the iPad and it's working fine now."/>
    <s v="Resolved"/>
    <s v="No"/>
    <s v="techm_maalneil"/>
    <s v="High"/>
    <s v="Desktop"/>
    <s v="PC Hardware Issue"/>
    <s v="Network Card Issue"/>
    <s v="Resolved"/>
    <n v="357"/>
    <m/>
    <m/>
    <n v="1"/>
    <s v="Sensitive"/>
    <s v="sjzayed"/>
    <s v="sana.zayed@rta.ae"/>
  </r>
  <r>
    <s v="INC000001320429"/>
    <s v="User Service Restoration"/>
    <s v="AlMoatasem belah"/>
    <s v="Haj Saleh"/>
    <d v="2026-02-23T11:17:50"/>
    <s v="Dubai Transport CEO"/>
    <s v="RTA"/>
    <x v="4"/>
    <s v="Booting Issue"/>
    <s v="Ali Adam"/>
    <s v="OnSite  EUS"/>
    <m/>
    <s v="USER TO CONFIRM"/>
    <m/>
    <s v="1-Extensive/Widespread"/>
    <s v="1-Critical"/>
    <s v="UMM RAMOOL NEW HQ 2C - MARKETING AND CORPORATE COMMUNICATION"/>
    <s v="Desktop"/>
    <s v="OS Issue"/>
    <s v="Booting Issue"/>
    <d v="2026-02-23T12:38:00"/>
    <s v="No"/>
    <s v="Within the Service Target"/>
    <s v="Phone"/>
    <e v="#NAME?"/>
    <s v="Resolved"/>
    <s v="No"/>
    <s v="Techm_WAHassan"/>
    <s v="Critical"/>
    <s v="Desktop"/>
    <s v="OS Issue"/>
    <s v="Booting Issue"/>
    <s v="Resolved"/>
    <n v="3673"/>
    <m/>
    <m/>
    <n v="1"/>
    <s v="Standard"/>
    <s v="ambelah"/>
    <s v="Almoatasem.saleh@rta.ae"/>
  </r>
  <r>
    <s v="INC000001320425"/>
    <s v="User Service Restoration"/>
    <s v="Madhu"/>
    <s v="Tayi"/>
    <d v="2026-02-23T11:14:09"/>
    <s v="Planning &amp; Business Development"/>
    <s v="RTA"/>
    <x v="4"/>
    <s v="Laptop network connectivity issue"/>
    <s v="Ali Adam"/>
    <s v="OnSite  EUS"/>
    <m/>
    <s v="USER TO CONFIRM"/>
    <m/>
    <s v="3-Moderate/Limited"/>
    <s v="3-Medium"/>
    <s v="Dubai"/>
    <s v="Desktop"/>
    <s v="OS Issue"/>
    <s v="Booting Issue"/>
    <d v="2026-02-23T17:06:29"/>
    <s v="No"/>
    <s v="Within the Service Target"/>
    <s v="Phone"/>
    <e v="#NAME?"/>
    <s v="Resolved"/>
    <s v="No"/>
    <s v="techm_ziskheih"/>
    <s v="Medium"/>
    <s v="Desktop"/>
    <s v="Network Connectivity issues"/>
    <s v="Wireless Network Issues"/>
    <s v="Resolved"/>
    <n v="15613"/>
    <m/>
    <m/>
    <n v="1"/>
    <s v="Standard"/>
    <s v="mktayi"/>
    <s v="Madhu.Tayi@rta.ae"/>
  </r>
  <r>
    <s v="INC000001320412"/>
    <s v="User Service Request"/>
    <s v="Nawal"/>
    <s v="Mahfoodh"/>
    <d v="2026-02-23T11:10:18"/>
    <s v="Drivers Licensing"/>
    <s v="RTA"/>
    <x v="7"/>
    <s v="Guided user to reset password via Self-service"/>
    <s v="Mohamed Siragelnour"/>
    <s v="Service Desk"/>
    <m/>
    <s v="USER TO CONFIRM"/>
    <m/>
    <s v="4-Minor/Localized"/>
    <s v="4-Low"/>
    <s v="Licensing Agency"/>
    <s v="Desktop"/>
    <s v="User Education"/>
    <s v="User Education"/>
    <d v="2026-02-23T11:26:46"/>
    <s v="No"/>
    <s v="Within the Service Target"/>
    <s v="Phone"/>
    <s v="Guided user to reset password via Self-service"/>
    <s v="Resolved"/>
    <s v="No"/>
    <s v="techm_mbsiragelnour"/>
    <s v="Low"/>
    <s v="Desktop"/>
    <s v="User Education"/>
    <s v="User Education"/>
    <s v="Resolved"/>
    <n v="3190"/>
    <m/>
    <m/>
    <n v="0"/>
    <s v="Standard"/>
    <s v="njmahfoodh"/>
    <s v="Nawal.Mahfoodh@RTA.ae"/>
  </r>
  <r>
    <s v="INC000001320410"/>
    <s v="User Service Request"/>
    <s v="Wissam"/>
    <s v="Aboueida"/>
    <d v="2026-02-23T11:05:32"/>
    <s v="Commercial Transport Activities"/>
    <s v="RTA"/>
    <x v="7"/>
    <s v="Outlook configuration request"/>
    <s v="Techm Wahbaelrahman Hassan"/>
    <s v="Service Desk"/>
    <m/>
    <s v="USER TO CONFIRM"/>
    <m/>
    <s v="4-Minor/Localized"/>
    <s v="4-Low"/>
    <s v="Dubai"/>
    <s v="Desktop"/>
    <s v="Mail"/>
    <s v="Outlook Reconfiguration(RE)"/>
    <d v="2026-02-23T11:07:03"/>
    <s v="No"/>
    <s v="Within the Service Target"/>
    <s v="Phone"/>
    <s v="Outlook  has been configured on the user machine successfully"/>
    <s v="Resolved"/>
    <s v="No"/>
    <s v="Techm_WAHassan"/>
    <s v="Low"/>
    <s v="Desktop"/>
    <s v="Mail"/>
    <s v="Outlook Reconfiguration(RE)"/>
    <s v="Resolved"/>
    <s v="V0033800"/>
    <m/>
    <m/>
    <n v="0"/>
    <s v="Standard"/>
    <s v="tms_wsaboueida"/>
    <s v="Tms_Wissam.Aboueida@rta.ae"/>
  </r>
  <r>
    <s v="INC000001320405"/>
    <s v="User Service Request"/>
    <s v="Roqaya"/>
    <s v="AlBlooshi"/>
    <d v="2026-02-23T11:04:16"/>
    <s v="Technology Strategy &amp; Governance"/>
    <s v="RTA"/>
    <x v="3"/>
    <s v="User education"/>
    <s v="Techm Wahbaelrahman Hassan"/>
    <s v="Service Desk"/>
    <m/>
    <s v="USER TO CONFIRM"/>
    <m/>
    <s v="4-Minor/Localized"/>
    <s v="4-Low"/>
    <s v="UMM RAMOOL NEW HQ 5A"/>
    <s v="Desktop"/>
    <s v="User Education"/>
    <s v="User Education"/>
    <d v="2026-02-23T11:08:26"/>
    <s v="No"/>
    <s v="Within the Service Target"/>
    <s v="Phone"/>
    <s v="Guided the user with resetting her account password using the self-service link"/>
    <s v="Resolved"/>
    <s v="No"/>
    <s v="Techm_WAHassan"/>
    <s v="Low"/>
    <s v="Desktop"/>
    <s v="User Education"/>
    <s v="User Education"/>
    <s v="Resolved"/>
    <n v="9942"/>
    <m/>
    <m/>
    <n v="0"/>
    <s v="Standard"/>
    <s v="rksafar"/>
    <s v="roqaya.safar@rta.ae"/>
  </r>
  <r>
    <s v="INC000001320403"/>
    <s v="User Service Restoration"/>
    <s v="AlSayed"/>
    <s v="Al Hashmi"/>
    <d v="2026-02-23T11:02:05"/>
    <s v="Parking"/>
    <s v="RTA"/>
    <x v="2"/>
    <s v="Intranet Browse Issue"/>
    <s v="Techm Wahbaelrahman Hassan"/>
    <s v="Service Desk"/>
    <m/>
    <s v="USER TO CONFIRM"/>
    <m/>
    <s v="3-Moderate/Limited"/>
    <s v="3-Medium"/>
    <s v="UMM RAMOOL - G+2 BUILDING"/>
    <s v="Desktop"/>
    <s v="Internet/Intranet Issues"/>
    <s v="Intranet issues(RE)"/>
    <d v="2026-02-23T11:12:54"/>
    <s v="No"/>
    <s v="Within the Service Target"/>
    <s v="Phone"/>
    <e v="#NAME?"/>
    <s v="Resolved"/>
    <s v="No"/>
    <s v="Techm_WAHassan"/>
    <s v="Medium"/>
    <s v="Desktop"/>
    <s v="Internet / Intranet Issues"/>
    <s v="Intranet Issues"/>
    <s v="Resolved"/>
    <n v="10175"/>
    <m/>
    <m/>
    <n v="0"/>
    <s v="Sensitive"/>
    <s v="aialhashmi"/>
    <s v="Alsayed.Alhashmi@rta.ae"/>
  </r>
  <r>
    <s v="INC000001320400"/>
    <s v="User Service Request"/>
    <s v="Khadija"/>
    <s v="Aljeziri"/>
    <d v="2026-02-23T11:01:10"/>
    <s v="Vehicles Licensing"/>
    <s v="RTA"/>
    <x v="7"/>
    <s v="Edge configuration Request"/>
    <s v="Techm Wahbaelrahman Hassan"/>
    <s v="Service Desk"/>
    <m/>
    <s v="USER TO CONFIRM"/>
    <m/>
    <s v="4-Minor/Localized"/>
    <s v="4-Low"/>
    <m/>
    <s v="Desktop"/>
    <s v="RTA Standard Application installation Request"/>
    <s v="MS Edge"/>
    <d v="2026-02-23T11:20:17"/>
    <s v="No"/>
    <s v="Within the Service Target"/>
    <s v="Phone"/>
    <s v="1/  In Edge settings.  2/  Go to default browser.  3/ Then go to Internet Explorer compatibility.  4/  Then add &quot; &quot; to internet Explorer mode pages.  5/ Enabled internet Explorer mode and chose it allow.  6/  Restart the browser to take effects."/>
    <s v="Resolved"/>
    <s v="No"/>
    <s v="Techm_WAHassan"/>
    <s v="Low"/>
    <s v="Desktop"/>
    <s v="RTA Standard Application installation Request"/>
    <s v="MS Edge"/>
    <s v="Resolved"/>
    <n v="15258"/>
    <m/>
    <m/>
    <n v="0"/>
    <s v="Standard"/>
    <s v="kaaljeziri"/>
    <s v="Khadija.Aljeziri@rta.ae"/>
  </r>
  <r>
    <s v="INC000001320399"/>
    <s v="User Service Request"/>
    <s v="Marwan"/>
    <s v="Alamm"/>
    <d v="2026-02-23T10:58:58"/>
    <s v="Roads"/>
    <s v="RTA"/>
    <x v="2"/>
    <s v="unlock account request"/>
    <s v="Ismael Ismael"/>
    <s v="Service Desk"/>
    <m/>
    <s v="USER TO CONFIRM"/>
    <m/>
    <s v="4-Minor/Localized"/>
    <s v="4-Low"/>
    <s v="Dubai"/>
    <s v="Desktop"/>
    <s v="Profile"/>
    <s v="Account Lock Out"/>
    <d v="2026-02-23T10:59:21"/>
    <s v="No"/>
    <s v="Within the Service Target"/>
    <s v="Phone"/>
    <s v="account has been successfully unlocked"/>
    <s v="Resolved"/>
    <s v="No"/>
    <s v="techm_iaismael"/>
    <s v="Low"/>
    <s v="Desktop"/>
    <s v="Profile"/>
    <s v="Account Lock Out"/>
    <s v="Resolved"/>
    <n v="13000"/>
    <m/>
    <m/>
    <n v="0"/>
    <s v="Standard"/>
    <s v="MAAlamm"/>
    <s v="Marwan.Alamm@rta.ae"/>
  </r>
  <r>
    <s v="INC000001320397"/>
    <s v="User Service Restoration"/>
    <s v="Wassim"/>
    <s v="Huwari"/>
    <d v="2026-02-23T10:59:07"/>
    <s v="Marketing &amp; Corporate Communication"/>
    <s v="RTA"/>
    <x v="0"/>
    <s v="Mailbox Full Issue"/>
    <s v="Mohamed Siragelnour"/>
    <s v="Service Desk"/>
    <m/>
    <s v="USER TO CONFIRM"/>
    <m/>
    <s v="3-Moderate/Limited"/>
    <s v="3-Medium"/>
    <s v="Dubai"/>
    <s v="Desktop"/>
    <s v="Mail Box Issue"/>
    <s v="Mail Box Full(RE)"/>
    <d v="2026-02-23T11:27:25"/>
    <s v="No"/>
    <s v="Within the Service Target"/>
    <s v="Phone"/>
    <s v="- Cleared unwanted items.  - User doesn't have access to EV.  - Created a local PST file. - Manually archived some emails to a local PST -&gt; user has around 300 MB Free now.  - User will call us back once he get EV access to restore emails."/>
    <s v="Resolved"/>
    <s v="No"/>
    <s v="techm_mbsiragelnour"/>
    <s v="Medium"/>
    <s v="Desktop"/>
    <s v="Mail Box Issue"/>
    <s v="Mail Box Full"/>
    <s v="Resolved"/>
    <n v="15907"/>
    <m/>
    <m/>
    <n v="0"/>
    <s v="Standard"/>
    <s v="wwhuwari"/>
    <s v="Wassim.Huwari@rta.ae"/>
  </r>
  <r>
    <s v="INC000001320395"/>
    <s v="User Service Restoration"/>
    <s v="Sana Juma"/>
    <s v="Zayed"/>
    <d v="2026-02-23T10:57:39"/>
    <s v="Dubai Transport CEO"/>
    <s v="RTA"/>
    <x v="4"/>
    <s v="Adobe Pro Issue"/>
    <s v="Ali Adam"/>
    <s v="OnSite  EUS"/>
    <m/>
    <s v="USER TO CONFIRM"/>
    <m/>
    <s v="3-Moderate/Limited"/>
    <s v="3-Medium"/>
    <s v="UMM RAMOOL - NEW HQ"/>
    <s v="Desktop"/>
    <s v="Configuration"/>
    <s v="VPN Troubleshooting"/>
    <d v="2026-02-23T17:08:55"/>
    <s v="No"/>
    <s v="Within the Service Target"/>
    <s v="Phone"/>
    <e v="#NAME?"/>
    <s v="Resolved"/>
    <s v="No"/>
    <s v="Techm_WAHassan"/>
    <s v="Medium"/>
    <s v="Desktop"/>
    <s v="RTA Non standard application  Incidents"/>
    <s v="Adobe Acrobat Professional"/>
    <s v="Resolved"/>
    <n v="357"/>
    <m/>
    <m/>
    <n v="1"/>
    <s v="Sensitive"/>
    <s v="sjzayed"/>
    <s v="sana.zayed@rta.ae"/>
  </r>
  <r>
    <s v="INC000001320393"/>
    <s v="User Service Restoration"/>
    <s v="Hamed"/>
    <s v="AlFahim"/>
    <d v="2026-02-23T10:56:27"/>
    <s v="Roads"/>
    <s v="RTA"/>
    <x v="2"/>
    <s v="ms out outlook"/>
    <s v="Ismael Ismael"/>
    <s v="Service Desk"/>
    <m/>
    <s v="USER TO CONFIRM"/>
    <m/>
    <s v="1-Extensive/Widespread"/>
    <s v="1-Critical"/>
    <s v="UMM RAMOOL NEW HQ 6C"/>
    <s v="Incident"/>
    <s v="Self-service"/>
    <s v="Mendix"/>
    <d v="2026-02-24T11:57:31"/>
    <s v="No"/>
    <s v="Within the Service Target"/>
    <s v="Self Service"/>
    <s v="Received confirmation from user over phone that the issue got resolved"/>
    <s v="Resolved"/>
    <s v="No"/>
    <s v="mendix"/>
    <s v="Critical"/>
    <s v="Desktop"/>
    <s v="Mail"/>
    <s v="Enterprise Vault"/>
    <s v="Resolved"/>
    <n v="389"/>
    <m/>
    <m/>
    <n v="4"/>
    <s v="Sensitive"/>
    <s v="HAFahim"/>
    <s v="Hamed.AlFahim@rta.ae"/>
  </r>
  <r>
    <s v="INC000001320379"/>
    <s v="User Service Restoration"/>
    <s v="Mohamed"/>
    <s v="Hafez"/>
    <d v="2026-02-23T10:56:07"/>
    <s v="Administration Services"/>
    <s v="RTA"/>
    <x v="0"/>
    <s v="Chrome Browser Issue"/>
    <s v="Zain Alabedein Skheih"/>
    <s v="Service Desk"/>
    <m/>
    <s v="USER TO CONFIRM"/>
    <m/>
    <s v="3-Moderate/Limited"/>
    <s v="3-Medium"/>
    <s v="Dubai"/>
    <s v="Desktop"/>
    <s v="RTA Non standard application  Incidents"/>
    <s v="MS project professional"/>
    <d v="2026-02-23T10:59:19"/>
    <s v="No"/>
    <s v="Within the Service Target"/>
    <s v="Phone"/>
    <s v="Deleted browser data and did gpupdate /force"/>
    <s v="Resolved"/>
    <s v="No"/>
    <s v="techm_ziskheih"/>
    <s v="Medium"/>
    <s v="Desktop"/>
    <s v="RTA Standard application Incidents"/>
    <s v="Google Chrome Issue"/>
    <s v="Resolved"/>
    <s v="V0027400"/>
    <m/>
    <m/>
    <n v="0"/>
    <s v="Standard"/>
    <s v="iron_mmhafez"/>
    <s v="Iron_Mohamed.Hafez@rta.ae"/>
  </r>
  <r>
    <s v="INC000001320374"/>
    <s v="User Service Request"/>
    <s v="Nawal"/>
    <s v="Mahfoodh"/>
    <d v="2026-02-23T10:58:34"/>
    <s v="Drivers Licensing"/>
    <s v="RTA"/>
    <x v="7"/>
    <s v="Guided user to unlock account via Self-service"/>
    <s v="Mohamed Siragelnour"/>
    <s v="Service Desk"/>
    <m/>
    <s v="USER TO CONFIRM"/>
    <m/>
    <s v="4-Minor/Localized"/>
    <s v="4-Low"/>
    <s v="Licensing Agency"/>
    <s v="Desktop"/>
    <s v="User Education"/>
    <s v="User Education"/>
    <d v="2026-02-23T11:05:07"/>
    <s v="No"/>
    <s v="Within the Service Target"/>
    <s v="Phone"/>
    <s v="Guided user to unlock account via Self-service"/>
    <s v="Resolved"/>
    <s v="No"/>
    <s v="techm_mbsiragelnour"/>
    <s v="Low"/>
    <s v="Desktop"/>
    <s v="User Education"/>
    <s v="User Education"/>
    <s v="Resolved"/>
    <n v="3190"/>
    <m/>
    <m/>
    <n v="0"/>
    <s v="Standard"/>
    <s v="njmahfoodh"/>
    <s v="Nawal.Mahfoodh@RTA.ae"/>
  </r>
  <r>
    <s v="INC000001320370"/>
    <s v="User Service Request"/>
    <s v="Amr"/>
    <s v="Ali"/>
    <d v="2026-02-23T10:49:36"/>
    <s v="Rail Operations"/>
    <s v="RTA"/>
    <x v="6"/>
    <s v="Map share folder request"/>
    <s v="Techm Ghaya Hamad"/>
    <s v="Service Desk"/>
    <m/>
    <s v="USER TO CONFIRM"/>
    <m/>
    <s v="4-Minor/Localized"/>
    <s v="4-Low"/>
    <s v="Dubai"/>
    <s v="Desktop"/>
    <s v="Profile"/>
    <s v="Network folder Access(RE)"/>
    <d v="2026-02-23T12:07:32"/>
    <s v="No"/>
    <s v="Within the Service Target"/>
    <s v="Email"/>
    <s v="User is able to access the share folder"/>
    <s v="Resolved"/>
    <s v="No"/>
    <s v="techm_maalneil"/>
    <s v="Low"/>
    <s v="Desktop"/>
    <s v="Profile"/>
    <s v="Re -Map Share Folder"/>
    <s v="Resolved"/>
    <n v="15313"/>
    <m/>
    <m/>
    <n v="1"/>
    <s v="Standard"/>
    <s v="amahali"/>
    <s v="Amr.Ali@rta.ae"/>
  </r>
  <r>
    <s v="INC000001320363"/>
    <s v="User Service Request"/>
    <s v="Marwan Saleh"/>
    <s v="Munssar"/>
    <d v="2026-02-23T10:42:26"/>
    <s v="Right Of Way"/>
    <s v="RTA"/>
    <x v="2"/>
    <s v="VPN Configuration Request"/>
    <s v="Zain Alabedein Skheih"/>
    <s v="Service Desk"/>
    <m/>
    <s v="USER TO CONFIRM"/>
    <m/>
    <s v="4-Minor/Localized"/>
    <s v="4-Low"/>
    <s v="UMM RAMOOL - G+2 BUILDING"/>
    <s v="Desktop"/>
    <s v="Configuration"/>
    <s v="VPN Configuration"/>
    <d v="2026-02-23T10:43:18"/>
    <s v="No"/>
    <s v="Within the Service Target"/>
    <s v="Phone"/>
    <s v="we accessed remotely and configured the VPN"/>
    <s v="Resolved"/>
    <s v="No"/>
    <s v="techm_ziskheih"/>
    <s v="Low"/>
    <s v="Desktop"/>
    <s v="Configuration"/>
    <s v="VPN Configuration"/>
    <s v="Resolved"/>
    <n v="3819"/>
    <m/>
    <m/>
    <n v="0"/>
    <s v="Standard"/>
    <s v="mmunssar"/>
    <s v="marwan.munssar@rta.ae"/>
  </r>
  <r>
    <s v="INC000001320354"/>
    <s v="User Service Request"/>
    <s v="Alia"/>
    <s v="Almheiri"/>
    <d v="2026-02-23T10:37:51"/>
    <s v="Innovation &amp; Pioneering"/>
    <s v="RTA"/>
    <x v="1"/>
    <s v="Guide user to Unlock Account through Self services portal."/>
    <s v="Mohamed Alajlani"/>
    <s v="Service Desk"/>
    <m/>
    <s v="USER TO CONFIRM"/>
    <m/>
    <s v="4-Minor/Localized"/>
    <s v="4-Low"/>
    <s v="Dubai"/>
    <s v="Desktop"/>
    <s v="User Education"/>
    <s v="User Education"/>
    <d v="2026-02-23T10:38:38"/>
    <s v="No"/>
    <s v="Within the Service Target"/>
    <s v="Phone"/>
    <s v="The account has been unlocked successfully."/>
    <s v="Resolved"/>
    <s v="No"/>
    <s v="techm_myalajlani"/>
    <s v="Low"/>
    <s v="Desktop"/>
    <s v="User Education"/>
    <s v="User Education"/>
    <s v="Resolved"/>
    <n v="15924"/>
    <m/>
    <m/>
    <n v="0"/>
    <s v="Standard"/>
    <s v="asaealmheiri"/>
    <s v="Alia.SAlmheiri@rta.ae"/>
  </r>
  <r>
    <s v="INC000001320320"/>
    <s v="User Service Request"/>
    <s v="Yasser"/>
    <s v="Dbouk"/>
    <d v="2026-02-23T10:15:55"/>
    <s v="Licensing Systems"/>
    <s v="RTA"/>
    <x v="7"/>
    <s v="Guided user to connect to VPN"/>
    <s v="Mohamed Siragelnour"/>
    <s v="Service Desk"/>
    <m/>
    <s v="USER TO CONFIRM"/>
    <m/>
    <s v="4-Minor/Localized"/>
    <s v="4-Low"/>
    <s v="Dubai"/>
    <s v="Desktop"/>
    <s v="User Education"/>
    <s v="User Education"/>
    <d v="2026-02-23T10:16:23"/>
    <s v="No"/>
    <s v="Within the Service Target"/>
    <s v="Phone"/>
    <s v="Guided user to connect to VPN successfully."/>
    <s v="Resolved"/>
    <s v="No"/>
    <s v="techm_mbsiragelnour"/>
    <s v="Low"/>
    <s v="Desktop"/>
    <s v="User Education"/>
    <s v="User Education"/>
    <s v="Resolved"/>
    <n v="15261"/>
    <m/>
    <m/>
    <n v="0"/>
    <s v="Standard"/>
    <s v="ymdbouk"/>
    <s v="Yasser.Dbouk@rta.ae"/>
  </r>
  <r>
    <s v="INC000001320303"/>
    <s v="User Service Request"/>
    <s v="Muhammad"/>
    <s v="Latif"/>
    <d v="2026-02-23T10:06:52"/>
    <s v="Drivers Affairs"/>
    <s v="RTA"/>
    <x v="4"/>
    <s v="Reset Smart employee account Request"/>
    <s v="Techm Ghaya Hamad"/>
    <s v="Service Desk"/>
    <m/>
    <s v="USER TO CONFIRM"/>
    <m/>
    <s v="4-Minor/Localized"/>
    <s v="4-Low"/>
    <m/>
    <s v="Application"/>
    <s v="Application Services"/>
    <s v="Application Modification / Enhancement Request"/>
    <d v="2026-02-23T11:38:29"/>
    <s v="No"/>
    <s v="Within the Service Target"/>
    <s v="Phone"/>
    <s v="Reset is done &amp; user will be able to punch in /out from different device"/>
    <s v="Resolved"/>
    <s v="No"/>
    <s v="Techm_GAHamad"/>
    <s v="Low"/>
    <s v="Application"/>
    <s v="Application Services"/>
    <s v="Application Modification / Enhancement Request"/>
    <s v="Resolved"/>
    <n v="2501"/>
    <m/>
    <m/>
    <n v="2"/>
    <s v="Standard"/>
    <s v="Mhlatif"/>
    <s v="Muhammad.Hayatabdul@rta.ae"/>
  </r>
  <r>
    <s v="INC000001320300"/>
    <s v="User Service Request"/>
    <s v="Nada"/>
    <s v="Dashti"/>
    <d v="2026-02-23T10:04:44"/>
    <s v="Transportation Systems"/>
    <s v="RTA"/>
    <x v="4"/>
    <s v="Reset Oracle Authenticator Request"/>
    <s v="Techm Ghaya Hamad"/>
    <s v="Service Desk"/>
    <m/>
    <s v="USER TO CONFIRM"/>
    <m/>
    <s v="4-Minor/Localized"/>
    <s v="4-Low"/>
    <s v="Dubai"/>
    <s v="Application"/>
    <s v="Application Services"/>
    <s v="Application Modification / Enhancement Request"/>
    <d v="2026-02-24T09:24:52"/>
    <s v="No"/>
    <s v="Within the Service Target"/>
    <s v="Phone"/>
    <s v="Reset Oracle account has been done"/>
    <s v="Resolved"/>
    <s v="No"/>
    <s v="Techm_GAHamad"/>
    <s v="Low"/>
    <s v="Application"/>
    <s v="Application Services"/>
    <s v="Application Modification / Enhancement Request"/>
    <s v="Resolved"/>
    <n v="14687"/>
    <m/>
    <m/>
    <n v="0"/>
    <s v="Standard"/>
    <s v="NADashti"/>
    <s v="Nada.Dashti@rta.ae"/>
  </r>
  <r>
    <s v="INC000001320295"/>
    <s v="User Service Request"/>
    <s v="Rashed"/>
    <s v="Hassan"/>
    <d v="2026-02-23T10:02:15"/>
    <s v="Assets Management"/>
    <s v="RTA"/>
    <x v="1"/>
    <s v="Guide user to Reset Password through Self services portal."/>
    <s v="Mohamed Alajlani"/>
    <s v="Service Desk"/>
    <m/>
    <s v="USER TO CONFIRM"/>
    <m/>
    <s v="4-Minor/Localized"/>
    <s v="4-Low"/>
    <m/>
    <s v="Desktop"/>
    <s v="User Education"/>
    <s v="User Education"/>
    <d v="2026-02-23T10:10:06"/>
    <s v="No"/>
    <s v="Within the Service Target"/>
    <s v="Phone"/>
    <s v="As per the request, SMS with Reset Password self-services URL has been shared with the user."/>
    <s v="Resolved"/>
    <s v="No"/>
    <s v="techm_myalajlani"/>
    <s v="Low"/>
    <s v="Desktop"/>
    <s v="User Education"/>
    <s v="User Education"/>
    <s v="Resolved"/>
    <n v="13125"/>
    <m/>
    <m/>
    <n v="0"/>
    <s v="Standard"/>
    <s v="RMHassan"/>
    <s v="Rashed.Hassan@rta.ae"/>
  </r>
  <r>
    <s v="INC000001320291"/>
    <s v="User Service Request"/>
    <s v="Musab"/>
    <s v="Yahyia Alasawedh"/>
    <d v="2026-02-23T09:56:50"/>
    <s v="Roads &amp; Facilities Maintenance"/>
    <s v="RTA"/>
    <x v="2"/>
    <s v="Laptop"/>
    <s v="Ahmed Almeldeen"/>
    <s v="OnSite  EUS"/>
    <m/>
    <s v="Customer Follow-Up Required"/>
    <m/>
    <s v="4-Minor/Localized"/>
    <s v="4-Low"/>
    <s v="UMM RAMOOL NEW HQ 10C"/>
    <s v="Incident"/>
    <s v="Self-service"/>
    <s v="Mendix"/>
    <d v="2026-02-23T10:08:06"/>
    <s v="No"/>
    <s v="Within the Service Target"/>
    <s v="Self Service"/>
    <s v="this request already duplicated with INC000001320244"/>
    <s v="Resolved"/>
    <s v="No"/>
    <s v="mendix"/>
    <s v="Low"/>
    <s v="Desktop"/>
    <s v="Replacement"/>
    <s v="Laptop Replacement With Laptop"/>
    <s v="Resolved"/>
    <n v="5632"/>
    <m/>
    <m/>
    <n v="2"/>
    <s v="Standard"/>
    <s v="myalasawedh"/>
    <s v="Musab.Alasawedh@rta.ae"/>
  </r>
  <r>
    <s v="INC000001320280"/>
    <s v="User Service Restoration"/>
    <s v="Muna"/>
    <s v="Alshakhadhah"/>
    <d v="2026-02-23T09:49:46"/>
    <s v="Technology Strategy &amp; Governance"/>
    <s v="RTA"/>
    <x v="3"/>
    <s v="Received popup notification while open EV"/>
    <s v="Techm Ghaya Hamad"/>
    <s v="Service Desk"/>
    <m/>
    <s v="USER TO CONFIRM"/>
    <m/>
    <s v="3-Moderate/Limited"/>
    <s v="3-Medium"/>
    <s v="Dubai"/>
    <s v="Desktop"/>
    <s v="Mail"/>
    <s v="Enterprise Vault"/>
    <d v="2026-02-24T14:06:31"/>
    <s v="No"/>
    <s v="Within the Service Target"/>
    <s v="Email"/>
    <s v="Old password has been removed from credential manager    Old ost has been removed issue resolved: -click on view-check on (Hidden Item) -Go to C drive-users-user login ID-app-Microsoft-outlook-remove old ost"/>
    <s v="Resolved"/>
    <s v="No"/>
    <s v="Techm_NRMohamed"/>
    <s v="Medium"/>
    <s v="Desktop"/>
    <s v="Mail Box Issue"/>
    <s v="Login Issue"/>
    <s v="Resolved"/>
    <n v="14636"/>
    <m/>
    <m/>
    <n v="1"/>
    <s v="Standard"/>
    <s v="MAAlshakhadhah"/>
    <s v="Muna.Alshakhadhah@rta.ae"/>
  </r>
  <r>
    <s v="INC000001320276"/>
    <s v="User Service Request"/>
    <s v="Athari"/>
    <s v="Zahreddin"/>
    <d v="2026-02-23T09:47:51"/>
    <s v="Human Resources &amp; Development"/>
    <s v="RTA"/>
    <x v="0"/>
    <s v="unlock account request"/>
    <s v="Ismael Ismael"/>
    <s v="Service Desk"/>
    <m/>
    <s v="USER TO CONFIRM"/>
    <m/>
    <s v="4-Minor/Localized"/>
    <s v="4-Low"/>
    <s v="Dubai"/>
    <s v="Desktop"/>
    <s v="Profile"/>
    <s v="Account Lock Out"/>
    <d v="2026-02-23T09:50:02"/>
    <s v="Yes"/>
    <s v="Within the Service Target"/>
    <s v="Phone"/>
    <s v="account was successfully unlocked"/>
    <s v="Resolved"/>
    <s v="Yes"/>
    <s v="techm_iaismael"/>
    <s v="Low"/>
    <s v="Desktop"/>
    <s v="Profile"/>
    <s v="Account Lock Out"/>
    <s v="Resolved"/>
    <n v="12881"/>
    <m/>
    <m/>
    <n v="0"/>
    <s v="Standard"/>
    <s v="AMUZahreddin"/>
    <s v="Athari.MZahreddin@rta.ae"/>
  </r>
  <r>
    <s v="INC000001320267"/>
    <s v="User Service Request"/>
    <s v="Salim Hussein"/>
    <s v="Al Rimawi"/>
    <d v="2026-02-23T09:38:13"/>
    <s v="Roads &amp; Facilities Maintenance"/>
    <s v="RTA"/>
    <x v="2"/>
    <s v="Guide user to Reset Password through Self services portal."/>
    <s v="Mohamed Alajlani"/>
    <s v="Service Desk"/>
    <m/>
    <s v="USER TO CONFIRM"/>
    <m/>
    <s v="4-Minor/Localized"/>
    <s v="4-Low"/>
    <s v="UMM RAMOOL NEW HQ 6C"/>
    <s v="Desktop"/>
    <s v="User Education"/>
    <s v="User Education"/>
    <d v="2026-02-23T09:39:55"/>
    <s v="No"/>
    <s v="Within the Service Target"/>
    <s v="Phone"/>
    <s v="As per the request, SMS with Reset Password self-services URL has been shared with the user."/>
    <s v="Resolved"/>
    <s v="No"/>
    <s v="techm_myalajlani"/>
    <s v="Low"/>
    <s v="Desktop"/>
    <s v="User Education"/>
    <s v="User Education"/>
    <s v="Resolved"/>
    <n v="3766"/>
    <m/>
    <m/>
    <n v="0"/>
    <s v="Sensitive"/>
    <s v="salrimawi"/>
    <s v="salim.alrimawi@rta.ae"/>
  </r>
  <r>
    <s v="INC000001320265"/>
    <s v="User Service Request"/>
    <s v="Intisar"/>
    <s v="Almuntaser"/>
    <d v="2026-02-23T09:37:38"/>
    <s v="Customer Happiness"/>
    <s v="RTA"/>
    <x v="0"/>
    <s v="MS Outlook &amp; MS Teams Configuration"/>
    <s v="Mohamed Siragelnour"/>
    <s v="Service Desk"/>
    <m/>
    <s v="USER TO CONFIRM"/>
    <m/>
    <s v="4-Minor/Localized"/>
    <s v="4-Low"/>
    <s v=",NEW HQ UMM RAMOOL"/>
    <s v="Desktop"/>
    <s v="Mail"/>
    <s v="Outlook Reconfiguration(RE)"/>
    <d v="2026-02-23T09:38:24"/>
    <s v="No"/>
    <s v="Within the Service Target"/>
    <s v="Phone"/>
    <s v="Guided user to configure Microsoft MFA, configured MS Outlook and MS Teams Successfully."/>
    <s v="Resolved"/>
    <s v="No"/>
    <s v="techm_mbsiragelnour"/>
    <s v="Low"/>
    <s v="Desktop"/>
    <s v="Mail"/>
    <s v="Outlook Reconfiguration"/>
    <s v="Resolved"/>
    <n v="11998"/>
    <m/>
    <m/>
    <n v="0"/>
    <s v="Standard"/>
    <s v="isalmuntaser"/>
    <s v="Intisar.Almuntaser@rta.ae"/>
  </r>
  <r>
    <s v="INC000001320262"/>
    <s v="User Service Request"/>
    <s v="Farida"/>
    <s v="Al Zarooni"/>
    <d v="2026-02-23T09:34:16"/>
    <s v="Roads"/>
    <s v="RTA"/>
    <x v="2"/>
    <s v="VPN Configuration Request"/>
    <s v="Mohamed Siragelnour"/>
    <s v="Service Desk"/>
    <m/>
    <s v="USER TO CONFIRM"/>
    <m/>
    <s v="4-Minor/Localized"/>
    <s v="4-Low"/>
    <s v="Others"/>
    <s v="Desktop"/>
    <s v="Configuration"/>
    <s v="VPN Configuration"/>
    <d v="2026-02-23T09:34:53"/>
    <s v="No"/>
    <s v="Within the Service Target"/>
    <s v="Phone"/>
    <s v="VPN has been configured successfully."/>
    <s v="Resolved"/>
    <s v="No"/>
    <s v="techm_mbsiragelnour"/>
    <s v="Low"/>
    <s v="Desktop"/>
    <s v="Configuration"/>
    <s v="VPN Configuration"/>
    <s v="Resolved"/>
    <n v="4160"/>
    <m/>
    <m/>
    <n v="0"/>
    <s v="Standard"/>
    <s v="fmalzarooni"/>
    <s v="farida.alzarooni@rta.ae"/>
  </r>
  <r>
    <s v="INC000001320252"/>
    <s v="User Service Request"/>
    <s v="Rawaah"/>
    <s v="Qadous"/>
    <d v="2026-02-23T09:26:41"/>
    <s v="Rail Planning &amp; Projects Development"/>
    <s v="RTA"/>
    <x v="6"/>
    <s v="Guide user to Unlock Account through Self services portal."/>
    <s v="Mohamed Alajlani"/>
    <s v="Service Desk"/>
    <m/>
    <s v="USER TO CONFIRM"/>
    <m/>
    <s v="4-Minor/Localized"/>
    <s v="4-Low"/>
    <s v="Dubai"/>
    <s v="Desktop"/>
    <s v="User Education"/>
    <s v="User Education"/>
    <d v="2026-02-23T09:27:06"/>
    <s v="No"/>
    <s v="Within the Service Target"/>
    <s v="Phone"/>
    <s v="The account has been unlocked successfully."/>
    <s v="Resolved"/>
    <s v="No"/>
    <s v="techm_myalajlani"/>
    <s v="Low"/>
    <s v="Desktop"/>
    <s v="User Education"/>
    <s v="User Education"/>
    <s v="Resolved"/>
    <n v="15525"/>
    <m/>
    <m/>
    <n v="0"/>
    <s v="Standard"/>
    <s v="rmqadous"/>
    <s v="Rawaah.Qadous@rta.ae"/>
  </r>
  <r>
    <s v="INC000001320246"/>
    <s v="User Service Request"/>
    <s v="Mohamed"/>
    <s v="Abdulmajid"/>
    <d v="2026-02-23T09:20:01"/>
    <s v="Customer Happiness"/>
    <s v="RTA"/>
    <x v="0"/>
    <s v="Configure Smart Traffic URL on Microsoft Edge"/>
    <s v="Mohamed Alajlani"/>
    <s v="Service Desk"/>
    <m/>
    <s v="USER TO CONFIRM"/>
    <m/>
    <s v="4-Minor/Localized"/>
    <s v="4-Low"/>
    <s v="AL MANARA Customer Service Center"/>
    <s v="Desktop"/>
    <s v="Configuration"/>
    <s v="Profile Configuration"/>
    <d v="2026-02-23T09:23:00"/>
    <s v="No"/>
    <s v="Within the Service Target"/>
    <s v="Phone"/>
    <s v="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
    <s v="Resolved"/>
    <s v="No"/>
    <s v="techm_myalajlani"/>
    <s v="Low"/>
    <s v="Desktop"/>
    <s v="Configuration"/>
    <s v="Profile Configuration"/>
    <s v="Resolved"/>
    <n v="7593"/>
    <m/>
    <m/>
    <n v="0"/>
    <s v="Standard"/>
    <s v="mfabdulmajid"/>
    <s v="Mohamed.Abdulmajid@RTA.ae"/>
  </r>
  <r>
    <s v="INC000001320232"/>
    <s v="User Service Restoration"/>
    <s v="Amna"/>
    <s v="Adeel"/>
    <d v="2026-02-23T08:59:57"/>
    <s v="Commercial &amp; Investment"/>
    <s v="RTA"/>
    <x v="1"/>
    <s v="system is not working "/>
    <s v="Mohamed Al Taweel"/>
    <s v="OnSite  EUS"/>
    <m/>
    <s v="USER TO CONFIRM"/>
    <m/>
    <s v="3-Moderate/Limited"/>
    <s v="3-Medium"/>
    <s v="Dubai"/>
    <s v="Application"/>
    <s v="Application Services"/>
    <s v="Administrative Tasks"/>
    <d v="2026-02-25T07:19:56"/>
    <s v="No"/>
    <s v="Within the Service Target"/>
    <s v="Self Service"/>
    <s v="Myrta has bee installed in her mobile and working fine and the location has been activated on her laptop"/>
    <s v="Resolved"/>
    <s v="No"/>
    <s v="mendix"/>
    <s v="Medium"/>
    <s v="Application"/>
    <s v="Application Services"/>
    <s v="Administrative Tasks"/>
    <s v="Resolved"/>
    <s v="V0033215"/>
    <m/>
    <m/>
    <n v="5"/>
    <s v="Standard"/>
    <s v="tms_abadeel"/>
    <s v="Tms_Amna.Adeel@rta.ae"/>
  </r>
  <r>
    <s v="INC000001320230"/>
    <s v="User Service Request"/>
    <s v="Mohammad"/>
    <s v="Alsaleh"/>
    <d v="2026-02-23T08:57:37"/>
    <s v="Dubai Traffic &amp; Roads CEO"/>
    <s v="RTA"/>
    <x v="2"/>
    <s v="Software Installing Request"/>
    <s v="Techm Ghaya Hamad"/>
    <s v="Service Desk"/>
    <m/>
    <s v="USER TO CONFIRM"/>
    <m/>
    <s v="4-Minor/Localized"/>
    <s v="4-Low"/>
    <s v="Dubai"/>
    <s v="Incident"/>
    <s v="Self-service"/>
    <s v="Mendix"/>
    <d v="2026-02-25T10:41:04"/>
    <s v="No"/>
    <s v="Within the Service Target"/>
    <s v="Self Service"/>
    <s v="Unfortunately using OneDrive software is not an approved service within RTA as of now, user can request to use secure RTA SFTP as alternative through the automation"/>
    <s v="Resolved"/>
    <s v="No"/>
    <s v="mendix"/>
    <s v="Low"/>
    <s v="Desktop"/>
    <s v="RTA Non standard application  Request"/>
    <s v="Non-listed Application/Software"/>
    <s v="Resolved"/>
    <n v="15792"/>
    <m/>
    <m/>
    <n v="8"/>
    <s v="Standard"/>
    <s v="maalsaleh"/>
    <s v="Mohammad.Alsaleh@rta.ae"/>
  </r>
  <r>
    <s v="INC000001320229"/>
    <s v="User Service Request"/>
    <s v="Waad"/>
    <s v="Altowail"/>
    <d v="2026-02-23T08:56:38"/>
    <s v="Procurement"/>
    <s v="RTA"/>
    <x v="0"/>
    <s v="Guide user to Reset Password through Self services portal."/>
    <s v="Mohamed Alajlani"/>
    <s v="Service Desk"/>
    <m/>
    <s v="USER TO CONFIRM"/>
    <m/>
    <s v="4-Minor/Localized"/>
    <s v="4-Low"/>
    <s v="Dubai"/>
    <s v="Desktop"/>
    <s v="User Education"/>
    <s v="User Education"/>
    <d v="2026-02-23T08:57:02"/>
    <s v="No"/>
    <s v="Within the Service Target"/>
    <s v="Phone"/>
    <s v="As per the request, SMS with Reset Password self-services URL has been shared with the user."/>
    <s v="Resolved"/>
    <s v="No"/>
    <s v="techm_myalajlani"/>
    <s v="Low"/>
    <s v="Desktop"/>
    <s v="User Education"/>
    <s v="User Education"/>
    <s v="Resolved"/>
    <n v="13638"/>
    <m/>
    <m/>
    <n v="0"/>
    <s v="Standard"/>
    <s v="WAAltowail"/>
    <s v="Waad.Altowail@rta.ae"/>
  </r>
  <r>
    <s v="INC000001320227"/>
    <s v="User Service Request"/>
    <s v="Taher"/>
    <s v="Abdelwahab"/>
    <d v="2026-02-23T08:53:58"/>
    <s v="Rail Right Of Way"/>
    <s v="RTA"/>
    <x v="6"/>
    <s v="Request for HDMI Cable"/>
    <s v="Techm Omer Idris"/>
    <s v="OnSite  EUS"/>
    <m/>
    <s v="USER TO CONFIRM"/>
    <m/>
    <s v="4-Minor/Localized"/>
    <s v="4-Low"/>
    <s v="Dubai"/>
    <s v="Desktop"/>
    <s v="Audio and Video"/>
    <s v="Issue with HDMI / VGA / Audio cable"/>
    <d v="2026-02-24T11:00:37"/>
    <s v="No"/>
    <s v="Within the Service Target"/>
    <s v="Phone"/>
    <s v="HDMI Cable is provided to User"/>
    <s v="Resolved"/>
    <s v="No"/>
    <s v="techm_mbsiragelnour"/>
    <s v="Low"/>
    <s v="Desktop"/>
    <s v="Audio and Video"/>
    <s v="Issue with HDMI / VGA / Audio cable"/>
    <s v="Resolved"/>
    <n v="15975"/>
    <m/>
    <m/>
    <n v="5"/>
    <s v="Standard"/>
    <s v="tmabdelwahab"/>
    <s v="Taher.Abdelwahab@rta.ae"/>
  </r>
  <r>
    <s v="INC000001320220"/>
    <s v="User Service Request"/>
    <s v="Prakash"/>
    <s v="Ramasamy"/>
    <d v="2026-02-23T08:42:18"/>
    <s v="Information Technology"/>
    <s v="RTA"/>
    <x v="3"/>
    <s v="Software Installing Request"/>
    <s v="Mohamed Alajlani"/>
    <s v="Service Desk"/>
    <m/>
    <s v="USER TO CONFIRM"/>
    <m/>
    <s v="4-Minor/Localized"/>
    <s v="4-Low"/>
    <s v="Dubai"/>
    <s v="Incident"/>
    <s v="Self-service"/>
    <s v="Mendix"/>
    <d v="2026-02-25T11:54:14"/>
    <s v="No"/>
    <s v="Within the Service Target"/>
    <s v="Self Service"/>
    <s v="PUTTY has been installed successfully on user's machine (RTA-CTS-ITD-500)"/>
    <s v="Resolved"/>
    <s v="No"/>
    <s v="mendix"/>
    <s v="Low"/>
    <s v="Desktop"/>
    <s v="RTA Non standard application  Request"/>
    <s v="Non-listed Application/Software"/>
    <s v="Resolved"/>
    <s v="V0034741"/>
    <m/>
    <m/>
    <n v="8"/>
    <s v="Standard"/>
    <s v="techm_prramasamy"/>
    <s v="Techm_Prakash.Ramasamy@rta.ae"/>
  </r>
  <r>
    <s v="INC000001320219"/>
    <s v="User Service Request"/>
    <s v="Elaaf"/>
    <s v="Osman Sayedahmed"/>
    <d v="2026-02-23T08:54:43"/>
    <s v="Customer Happiness"/>
    <s v="RTA"/>
    <x v="0"/>
    <s v="Password reset Request"/>
    <s v="Ismael Ismael"/>
    <s v="Service Desk"/>
    <m/>
    <s v="USER TO CONFIRM"/>
    <m/>
    <s v="4-Minor/Localized"/>
    <s v="4-Low"/>
    <s v="Dubai"/>
    <s v="Desktop"/>
    <s v="Profile"/>
    <s v="Password reset(RE)"/>
    <d v="2026-02-23T08:55:03"/>
    <s v="No"/>
    <s v="Within the Service Target"/>
    <s v="Phone"/>
    <s v="password has been successfully reset"/>
    <s v="Resolved"/>
    <s v="No"/>
    <s v="techm_iaismael"/>
    <s v="Low"/>
    <s v="Desktop"/>
    <s v="Profile"/>
    <s v="Password Reset"/>
    <s v="Resolved"/>
    <s v="V0024655"/>
    <m/>
    <m/>
    <n v="0"/>
    <s v="Standard"/>
    <s v="avaya_esosmansayedah"/>
    <s v="Avaya_Elaaf.Osmansayedahmed@rta.ae"/>
  </r>
  <r>
    <s v="INC000001320216"/>
    <s v="User Service Request"/>
    <s v="Maymona"/>
    <s v="Ahmad"/>
    <d v="2026-02-23T08:48:15"/>
    <s v="Dubai Transport CEO"/>
    <s v="RTA"/>
    <x v="4"/>
    <s v="Guide user to Reset Password through Self services portal."/>
    <s v="Mohamed Alajlani"/>
    <s v="Service Desk"/>
    <m/>
    <s v="USER TO CONFIRM"/>
    <m/>
    <s v="4-Minor/Localized"/>
    <s v="4-Low"/>
    <s v="Dubai"/>
    <s v="Desktop"/>
    <s v="User Education"/>
    <s v="User Education"/>
    <d v="2026-02-23T08:49:30"/>
    <s v="No"/>
    <s v="Within the Service Target"/>
    <s v="Phone"/>
    <s v="As per the request, SMS with Reset Password self-services URL has been shared with the user."/>
    <s v="Resolved"/>
    <s v="No"/>
    <s v="techm_myalajlani"/>
    <s v="Low"/>
    <s v="Desktop"/>
    <s v="User Education"/>
    <s v="User Education"/>
    <s v="Resolved"/>
    <n v="12773"/>
    <m/>
    <m/>
    <n v="0"/>
    <s v="Standard"/>
    <s v="MAhAhmad"/>
    <s v="Maymona.Ahmad@rta.ae"/>
  </r>
  <r>
    <s v="INC000001320215"/>
    <s v="User Service Request"/>
    <s v="Prakash"/>
    <s v="Ramasamy"/>
    <d v="2026-02-23T08:39:59"/>
    <s v="Information Technology"/>
    <s v="RTA"/>
    <x v="3"/>
    <s v="Workstation"/>
    <s v="Techm Osama Abdullatif"/>
    <s v="OnSite  EUS"/>
    <m/>
    <s v="Customer Follow-Up Required"/>
    <m/>
    <s v="4-Minor/Localized"/>
    <s v="4-Low"/>
    <s v="Dubai"/>
    <s v="Incident"/>
    <s v="Self-service"/>
    <s v="Mendix"/>
    <d v="2026-02-23T10:19:11"/>
    <s v="No"/>
    <s v="Within the Service Target"/>
    <s v="Self Service"/>
    <s v="ticket INC000001318358 was raised for the same request.  hence closing this ticket."/>
    <s v="Resolved"/>
    <s v="No"/>
    <s v="mendix"/>
    <s v="Low"/>
    <s v="Desktop"/>
    <s v="Peripherals"/>
    <s v="Network Cable"/>
    <s v="Resolved"/>
    <s v="V0034741"/>
    <m/>
    <m/>
    <n v="3"/>
    <s v="Standard"/>
    <s v="techm_prramasamy"/>
    <s v="Techm_Prakash.Ramasamy@rta.ae"/>
  </r>
  <r>
    <s v="INC000001320132"/>
    <s v="User Service Request"/>
    <s v="Shaima"/>
    <s v="Hajji"/>
    <d v="2026-02-23T09:00:00"/>
    <s v="Information Technology"/>
    <s v="RTA"/>
    <x v="3"/>
    <s v="FOLLOW UP - Temporary Laptop"/>
    <s v="Techm Elsayed Mohamed"/>
    <s v="OnSite  EUS"/>
    <m/>
    <s v="USER TO CONFIRM"/>
    <m/>
    <s v="4-Minor/Localized"/>
    <s v="4-Low"/>
    <s v="Dubai"/>
    <s v="Incident"/>
    <s v="Self-service"/>
    <s v="Mendix"/>
    <d v="2026-02-25T09:00:55"/>
    <s v="No"/>
    <s v="Within the Service Target"/>
    <s v="Self Service"/>
    <s v="The laptop has extended as requested"/>
    <s v="Resolved"/>
    <s v="No"/>
    <s v="AR_ESCALATOR"/>
    <s v="Low"/>
    <s v="Desktop"/>
    <s v="Temporary Hardware"/>
    <s v="Laptop"/>
    <s v="Resolved"/>
    <n v="15740"/>
    <m/>
    <m/>
    <n v="7"/>
    <s v="Sensitive"/>
    <s v="sjhajji"/>
    <s v="Shaima.Hajji@rta.ae"/>
  </r>
  <r>
    <s v="INC000001320107"/>
    <s v="User Service Request"/>
    <s v="Suad"/>
    <s v="Almakrani"/>
    <d v="2026-02-23T09:09:58"/>
    <s v="Commercial &amp; Investment"/>
    <s v="RTA"/>
    <x v="1"/>
    <s v="network cable request"/>
    <s v="Solaiman Alhussni"/>
    <s v="OnSite  EUS"/>
    <m/>
    <s v="USER TO CONFIRM"/>
    <m/>
    <s v="4-Minor/Localized"/>
    <s v="4-Low"/>
    <s v="UMM RAMOOL NEW HQ 7C"/>
    <s v="Desktop"/>
    <s v="Peripherals"/>
    <s v="Network Cable"/>
    <d v="2026-02-25T13:09:47"/>
    <s v="No"/>
    <s v="Within the Service Target"/>
    <s v="Phone"/>
    <s v="the user is working remotely today  the Network cable has been connected to the socket and it is ready to use"/>
    <s v="Resolved"/>
    <s v="No"/>
    <s v="techm_iaismael"/>
    <s v="Low"/>
    <s v="Desktop"/>
    <s v="Peripherals"/>
    <s v="Network Cable"/>
    <s v="Resolved"/>
    <n v="10331"/>
    <m/>
    <n v="191766"/>
    <n v="5"/>
    <s v="Standard"/>
    <s v="ssalmakrani"/>
    <s v="Suad.Almakrani@rta.ae"/>
  </r>
  <r>
    <s v="INC000001320106"/>
    <s v="User Service Request"/>
    <s v="Samiha Ahmed"/>
    <s v="Al Zarouni"/>
    <d v="2026-02-23T08:36:54"/>
    <s v="Dubai Traffic &amp; Roads CEO"/>
    <s v="RTA"/>
    <x v="2"/>
    <s v="Guide user to Reset Password through Self services portal."/>
    <s v="Mohamed Alajlani"/>
    <s v="Service Desk"/>
    <m/>
    <s v="USER TO CONFIRM"/>
    <m/>
    <s v="4-Minor/Localized"/>
    <s v="4-Low"/>
    <s v="UMM RAMOOL NEW HQ 7C"/>
    <s v="Desktop"/>
    <s v="User Education"/>
    <s v="User Education"/>
    <d v="2026-02-23T08:37:20"/>
    <s v="No"/>
    <s v="Within the Service Target"/>
    <s v="Phone"/>
    <s v="As per the request, SMS with Reset Password self-services URL has been shared with the user."/>
    <s v="Resolved"/>
    <s v="No"/>
    <s v="techm_myalajlani"/>
    <s v="Low"/>
    <s v="Desktop"/>
    <s v="User Education"/>
    <s v="User Education"/>
    <s v="Resolved"/>
    <n v="3026"/>
    <m/>
    <m/>
    <n v="0"/>
    <s v="Standard"/>
    <s v="sazarouni"/>
    <s v="samiha.alzarouni@rta.ae"/>
  </r>
  <r>
    <s v="INC000001320101"/>
    <s v="User Service Request"/>
    <s v="Samiha Ahmed"/>
    <s v="Al Zarouni"/>
    <d v="2026-02-23T08:33:57"/>
    <s v="Dubai Traffic &amp; Roads CEO"/>
    <s v="RTA"/>
    <x v="2"/>
    <s v="Guide user to Unlock Account through Self services portal."/>
    <s v="Mohamed Alajlani"/>
    <s v="Service Desk"/>
    <m/>
    <s v="USER TO CONFIRM"/>
    <m/>
    <s v="4-Minor/Localized"/>
    <s v="4-Low"/>
    <s v="UMM RAMOOL NEW HQ 7C"/>
    <s v="Desktop"/>
    <s v="User Education"/>
    <s v="User Education"/>
    <d v="2026-02-23T08:34:26"/>
    <s v="No"/>
    <s v="Within the Service Target"/>
    <s v="Phone"/>
    <s v="As per the request, SMS with Unlock Account self-services URL has been shared with the user."/>
    <s v="Resolved"/>
    <s v="No"/>
    <s v="techm_myalajlani"/>
    <s v="Low"/>
    <s v="Desktop"/>
    <s v="User Education"/>
    <s v="User Education"/>
    <s v="Resolved"/>
    <n v="3026"/>
    <m/>
    <m/>
    <n v="0"/>
    <s v="Standard"/>
    <s v="sazarouni"/>
    <s v="samiha.alzarouni@rta.ae"/>
  </r>
  <r>
    <s v="INC000001320096"/>
    <s v="User Service Request"/>
    <s v="Anji"/>
    <s v="Alghafeer"/>
    <d v="2026-02-23T08:39:33"/>
    <s v="Buses"/>
    <s v="RTA"/>
    <x v="4"/>
    <s v="unlock account request"/>
    <s v="Mohamed Siragelnour"/>
    <s v="Service Desk"/>
    <m/>
    <s v="USER TO CONFIRM"/>
    <m/>
    <s v="4-Minor/Localized"/>
    <s v="4-Low"/>
    <s v="Dubai"/>
    <s v="Desktop"/>
    <s v="Profile"/>
    <s v="Account Lock Out"/>
    <d v="2026-02-23T08:39:54"/>
    <s v="No"/>
    <s v="Within the Service Target"/>
    <s v="Phone"/>
    <s v="The account &quot;BSMaintenance&quot; has been unlocked successfully."/>
    <s v="Resolved"/>
    <s v="No"/>
    <s v="techm_mbsiragelnour"/>
    <s v="Low"/>
    <s v="Desktop"/>
    <s v="Profile"/>
    <s v="Account Lock Out"/>
    <s v="Resolved"/>
    <s v="V0025357"/>
    <m/>
    <m/>
    <n v="0"/>
    <s v="Standard"/>
    <s v="srsl_ahalghafeer"/>
    <s v="Srsl_Anji.Alghafeer@rta.ae"/>
  </r>
  <r>
    <s v="INC000001320075"/>
    <s v="User Service Request"/>
    <s v="Elaaf"/>
    <s v="Osman Sayedahmed"/>
    <d v="2026-02-23T08:11:56"/>
    <s v="Customer Happiness"/>
    <s v="RTA"/>
    <x v="0"/>
    <s v="unlock account request"/>
    <s v="Techm Hussein Aljayeh"/>
    <s v="Service Desk"/>
    <m/>
    <s v="USER TO CONFIRM"/>
    <m/>
    <s v="4-Minor/Localized"/>
    <s v="4-Low"/>
    <s v="Dubai"/>
    <s v="Desktop"/>
    <s v="Profile"/>
    <s v="Account Lock Out"/>
    <d v="2026-02-23T08:12:31"/>
    <s v="No"/>
    <s v="Within the Service Target"/>
    <s v="Phone"/>
    <s v="User Account has been unlocked"/>
    <s v="Resolved"/>
    <s v="No"/>
    <s v="Techm_HHAljayeh"/>
    <s v="Low"/>
    <s v="Desktop"/>
    <s v="Profile"/>
    <s v="Account Lock Out"/>
    <s v="Resolved"/>
    <s v="V0024655"/>
    <m/>
    <m/>
    <n v="0"/>
    <s v="Standard"/>
    <s v="avaya_esosmansayedah"/>
    <s v="Avaya_Elaaf.Osmansayedahmed@rta.ae"/>
  </r>
  <r>
    <s v="INC000001320071"/>
    <s v="User Service Restoration"/>
    <s v="Maitha"/>
    <s v="Altamimi"/>
    <d v="2026-02-23T08:07:53"/>
    <s v="Finance"/>
    <s v="RTA"/>
    <x v="0"/>
    <s v="HDMI Screen Cable issue"/>
    <s v="Ali Adam"/>
    <s v="OnSite  EUS"/>
    <m/>
    <s v="USER TO CONFIRM"/>
    <m/>
    <s v="3-Moderate/Limited"/>
    <s v="3-Medium"/>
    <s v="Dubai"/>
    <s v="Desktop"/>
    <s v="Audio and Video"/>
    <s v="Issue with HDMI / VGA / Audio cable"/>
    <d v="2026-02-24T11:50:03"/>
    <s v="No"/>
    <s v="Within the Service Target"/>
    <s v="Phone"/>
    <e v="#NAME?"/>
    <s v="Resolved"/>
    <s v="No"/>
    <s v="Techm_HHAljayeh"/>
    <s v="Medium"/>
    <s v="Desktop"/>
    <s v="Peripherals"/>
    <s v="Monitor"/>
    <s v="Resolved"/>
    <n v="15128"/>
    <m/>
    <m/>
    <n v="0"/>
    <s v="Standard"/>
    <s v="msaltamimi"/>
    <s v="Maitha.Altamimi@rta.ae"/>
  </r>
  <r>
    <s v="INC000001320063"/>
    <s v="User Service Request"/>
    <s v="Youssef"/>
    <s v="Albloushi"/>
    <d v="2026-02-23T07:29:32"/>
    <s v="Drivers Licensing"/>
    <s v="RTA"/>
    <x v="7"/>
    <s v="Guide user to reset the Password through Self services portal."/>
    <s v="Techm Hussein Aljayeh"/>
    <s v="Service Desk"/>
    <m/>
    <s v="USER TO CONFIRM"/>
    <m/>
    <s v="4-Minor/Localized"/>
    <s v="4-Low"/>
    <s v="Dubai"/>
    <s v="Desktop"/>
    <s v="User Education"/>
    <s v="User Education"/>
    <d v="2026-02-23T07:30:03"/>
    <s v="No"/>
    <s v="Within the Service Target"/>
    <s v="Phone"/>
    <s v="Password Reset SOP Sent to User by SMS,User Confirm On the same Hence ticket closed"/>
    <s v="Resolved"/>
    <s v="No"/>
    <s v="Techm_HHAljayeh"/>
    <s v="Low"/>
    <s v="Desktop"/>
    <s v="User Education"/>
    <s v="User Education"/>
    <s v="Resolved"/>
    <n v="12796"/>
    <m/>
    <m/>
    <n v="0"/>
    <s v="Standard"/>
    <s v="YHAlbloushi"/>
    <s v="Youssef.HAlbloushi@rta.ae"/>
  </r>
  <r>
    <s v="INC000001320062"/>
    <s v="User Service Request"/>
    <s v="Noura"/>
    <s v="Alhamadi"/>
    <d v="2026-02-23T07:22:21"/>
    <s v="Legal Affairs"/>
    <s v="RTA"/>
    <x v="1"/>
    <s v="unlock account request"/>
    <s v="Techm Hussein Aljayeh"/>
    <s v="Service Desk"/>
    <m/>
    <s v="USER TO CONFIRM"/>
    <m/>
    <s v="4-Minor/Localized"/>
    <s v="4-Low"/>
    <s v="Dubai"/>
    <s v="Desktop"/>
    <s v="Profile"/>
    <s v="Account Lock Out"/>
    <d v="2026-02-23T07:23:42"/>
    <s v="No"/>
    <s v="Within the Service Target"/>
    <s v="Phone"/>
    <s v="User Account has been unlocked"/>
    <s v="Resolved"/>
    <s v="No"/>
    <s v="Techm_HHAljayeh"/>
    <s v="Low"/>
    <s v="Desktop"/>
    <s v="Profile"/>
    <s v="Account Lock Out"/>
    <s v="Resolved"/>
    <n v="12083"/>
    <m/>
    <m/>
    <n v="0"/>
    <s v="Standard"/>
    <s v="naalhamadi"/>
    <s v="Noura.Alhamadi@rta.ae"/>
  </r>
  <r>
    <s v="INC000001320056"/>
    <s v="User Service Request"/>
    <s v="Bakhtullah"/>
    <s v="Khan"/>
    <d v="2026-02-23T06:54:19"/>
    <s v="Rail Right Of Way"/>
    <s v="RTA"/>
    <x v="6"/>
    <s v="unlock account request"/>
    <s v="Techm Hussein Aljayeh"/>
    <s v="Service Desk"/>
    <m/>
    <s v="USER TO CONFIRM"/>
    <m/>
    <s v="4-Minor/Localized"/>
    <s v="4-Low"/>
    <s v="UMM RAMOOL NEW HQ 4C"/>
    <s v="Desktop"/>
    <s v="Profile"/>
    <s v="Account Lock Out"/>
    <d v="2026-02-23T06:55:22"/>
    <s v="No"/>
    <s v="Within the Service Target"/>
    <s v="Phone"/>
    <s v="User Account has been unlocked"/>
    <s v="Resolved"/>
    <s v="No"/>
    <s v="Techm_HHAljayeh"/>
    <s v="Low"/>
    <s v="Desktop"/>
    <s v="Profile"/>
    <s v="Account Lock Out"/>
    <s v="Resolved"/>
    <n v="4372"/>
    <m/>
    <m/>
    <n v="0"/>
    <s v="Standard"/>
    <s v="bkkhan"/>
    <s v="bakhtullah.khan@rta.ae"/>
  </r>
  <r>
    <s v="INC000001320055"/>
    <s v="User Service Request"/>
    <s v="Mohammad"/>
    <s v="Albalooshi"/>
    <d v="2026-02-23T06:23:55"/>
    <s v="Drivers Licensing"/>
    <s v="RTA"/>
    <x v="7"/>
    <s v="Guide user to reset the Password through Self services portal."/>
    <s v="Techm Hussein Aljayeh"/>
    <s v="Service Desk"/>
    <m/>
    <s v="USER TO CONFIRM"/>
    <m/>
    <s v="4-Minor/Localized"/>
    <s v="4-Low"/>
    <s v="Dubai"/>
    <s v="Desktop"/>
    <s v="User Education"/>
    <s v="User Education"/>
    <d v="2026-02-23T06:25:20"/>
    <s v="No"/>
    <s v="Within the Service Target"/>
    <s v="Phone"/>
    <s v="Password Reset SOP Sent to User by SMS,User Confirm On the same Hence ticket closed"/>
    <s v="Resolved"/>
    <s v="No"/>
    <s v="Techm_HHAljayeh"/>
    <s v="Low"/>
    <s v="Desktop"/>
    <s v="User Education"/>
    <s v="User Education"/>
    <s v="Resolved"/>
    <n v="6102"/>
    <m/>
    <m/>
    <n v="0"/>
    <s v="Standard"/>
    <s v="MJAlbalooshi"/>
    <s v="Mohammad.JAlbalooshi@rta.ae"/>
  </r>
  <r>
    <s v="INC000001320054"/>
    <s v="User Service Request"/>
    <s v="Tanzila"/>
    <s v="Shaikh"/>
    <d v="2026-02-23T06:22:32"/>
    <s v="Information Technology"/>
    <s v="RTA"/>
    <x v="3"/>
    <s v="RTA Office365 Login configuration"/>
    <s v="Techm Hussein Aljayeh"/>
    <s v="Service Desk"/>
    <m/>
    <s v="USER TO CONFIRM"/>
    <m/>
    <s v="4-Minor/Localized"/>
    <s v="4-Low"/>
    <s v="Dubai"/>
    <s v="Desktop"/>
    <s v="Mail"/>
    <s v="Outlook Reconfiguration(RE)"/>
    <d v="2026-02-23T06:24:56"/>
    <s v="No"/>
    <s v="Within the Service Target"/>
    <s v="Phone"/>
    <s v="Request has been Completed Through Remote Access,User Confirm On the same Hence ticket closed"/>
    <s v="Resolved"/>
    <s v="No"/>
    <s v="Techm_HHAljayeh"/>
    <s v="Low"/>
    <s v="Desktop"/>
    <s v="Mail"/>
    <s v="Outlook Reconfiguration"/>
    <s v="Resolved"/>
    <s v="V0033924"/>
    <m/>
    <m/>
    <n v="0"/>
    <s v="Standard"/>
    <s v="techm_tashaikh"/>
    <s v="Techm_Tanzila.Shaikh@rta.ae"/>
  </r>
  <r>
    <s v="INC000001320053"/>
    <s v="User Service Request"/>
    <s v="Azzam"/>
    <s v="Elhassan"/>
    <d v="2026-02-23T06:15:24"/>
    <s v="Buses"/>
    <s v="RTA"/>
    <x v="4"/>
    <s v="unlock account request"/>
    <s v="Techm Hussein Aljayeh"/>
    <s v="Service Desk"/>
    <m/>
    <s v="USER TO CONFIRM"/>
    <m/>
    <s v="4-Minor/Localized"/>
    <s v="4-Low"/>
    <s v="Dubai"/>
    <s v="Desktop"/>
    <s v="Profile"/>
    <s v="Account Lock Out"/>
    <d v="2026-02-23T06:24:26"/>
    <s v="No"/>
    <s v="Within the Service Target"/>
    <s v="Phone"/>
    <s v="User Account has been unlocked"/>
    <s v="Resolved"/>
    <s v="No"/>
    <s v="Techm_HHAljayeh"/>
    <s v="Low"/>
    <s v="Desktop"/>
    <s v="Profile"/>
    <s v="Account Lock Out"/>
    <s v="Resolved"/>
    <s v="V0025199"/>
    <m/>
    <m/>
    <n v="0"/>
    <s v="Standard"/>
    <s v="srsl_aoelhassan"/>
    <s v="Srsl_Azzam.Elhassan@rta.ae"/>
  </r>
  <r>
    <s v="INC000001320052"/>
    <s v="User Service Request"/>
    <s v="Bus"/>
    <s v="Maintenance"/>
    <d v="2026-02-23T06:13:29"/>
    <s v="Buses"/>
    <s v="RTA"/>
    <x v="4"/>
    <s v="unlock account request"/>
    <s v="Techm Hussein Aljayeh"/>
    <s v="Service Desk"/>
    <m/>
    <s v="USER TO CONFIRM"/>
    <m/>
    <s v="4-Minor/Localized"/>
    <s v="4-Low"/>
    <s v="Dubai"/>
    <s v="Desktop"/>
    <s v="Profile"/>
    <s v="Account Lock Out"/>
    <d v="2026-02-23T06:24:12"/>
    <s v="No"/>
    <s v="Within the Service Target"/>
    <s v="Phone"/>
    <s v="User Account has been unlocked"/>
    <s v="Resolved"/>
    <s v="No"/>
    <s v="Techm_HHAljayeh"/>
    <s v="Low"/>
    <s v="Desktop"/>
    <s v="Profile"/>
    <s v="Account Lock Out"/>
    <s v="Resolved"/>
    <m/>
    <m/>
    <m/>
    <n v="0"/>
    <s v="Standard"/>
    <s v="BSMaintenance"/>
    <s v="Busstation.Maintenance@rta.ae"/>
  </r>
  <r>
    <s v="INC000001320020"/>
    <s v="User Service Request"/>
    <s v="Surjeet"/>
    <s v="Samanta"/>
    <d v="2026-02-23T02:15:01"/>
    <s v="Information Technology"/>
    <s v="RTA"/>
    <x v="3"/>
    <s v="Nexthink: Device Crash 0X9F (Driver_Power_State_Failure)"/>
    <s v="Surjeet Samanta"/>
    <s v="SCCM-Nexthink Support"/>
    <m/>
    <s v="No Further Action Required"/>
    <m/>
    <s v="4-Minor/Localized"/>
    <s v="4-Low"/>
    <s v="Dubai"/>
    <s v="Desktop"/>
    <s v="Proactive Monitoring"/>
    <s v="Proactive Action"/>
    <d v="2026-02-24T23:14:02"/>
    <s v="No"/>
    <s v="Within the Service Target"/>
    <s v="Email"/>
    <s v="Require registry fix has been pushed to the affected device.. No further action require"/>
    <s v="Resolved"/>
    <s v="No"/>
    <s v="Techm_HHAljayeh"/>
    <s v="Low"/>
    <s v="Desktop"/>
    <s v="Proactive Monitoring"/>
    <s v="Proactive Action"/>
    <s v="Resolved"/>
    <s v="V0024624"/>
    <m/>
    <m/>
    <n v="0"/>
    <s v="Standard"/>
    <s v="techm_sjsamanta"/>
    <s v="Techm_Surjeet.Samanta@rta.ae"/>
  </r>
  <r>
    <s v="INC000001320016"/>
    <s v="User Service Request"/>
    <s v="Deep"/>
    <s v="Thampan"/>
    <d v="2026-02-23T02:09:33"/>
    <s v="Procurement"/>
    <s v="RTA"/>
    <x v="0"/>
    <s v="Nexthink: Desktops with system disk nearly full"/>
    <s v="Solaiman Alhussni"/>
    <s v="OnSite  EUS"/>
    <m/>
    <s v="USER TO CONFIRM"/>
    <m/>
    <s v="4-Minor/Localized"/>
    <s v="4-Low"/>
    <s v="Dubai"/>
    <s v="Desktop"/>
    <s v="Proactive Monitoring"/>
    <s v="Proactive Action"/>
    <d v="2026-02-24T07:44:35"/>
    <s v="No"/>
    <s v="Within the Service Target"/>
    <s v="Email"/>
    <s v="all temp folders and files have been deleted  all temp user folder have been deleted  the user has 44GB as free space now in partition C"/>
    <s v="Resolved"/>
    <s v="No"/>
    <s v="Techm_HHAljayeh"/>
    <s v="Low"/>
    <s v="Desktop"/>
    <s v="Proactive Monitoring"/>
    <s v="Proactive Action"/>
    <s v="Resolved"/>
    <s v="V0031695"/>
    <m/>
    <m/>
    <n v="0"/>
    <s v="Standard"/>
    <s v="trans_dtthampan"/>
    <s v="Trans_Deep.Thampan@rta.ae"/>
  </r>
  <r>
    <s v="INC000001320014"/>
    <s v="User Service Request"/>
    <s v="Arwa"/>
    <s v="Al Naggar"/>
    <d v="2026-02-23T02:06:23"/>
    <s v="Commercial Transport Activities"/>
    <s v="RTA"/>
    <x v="7"/>
    <s v="Nexthink: Desktops with system disk nearly full"/>
    <s v="Techm Omer Idris"/>
    <s v="OnSite  EUS"/>
    <m/>
    <s v="USER TO CONFIRM"/>
    <m/>
    <s v="4-Minor/Localized"/>
    <s v="4-Low"/>
    <s v="Dubai"/>
    <s v="Desktop"/>
    <s v="Proactive Monitoring"/>
    <s v="Proactive Action"/>
    <d v="2026-02-25T08:20:21"/>
    <s v="No"/>
    <s v="Within the Service Target"/>
    <s v="Email"/>
    <s v="C Drive is cleaned now 41 GB is free size"/>
    <s v="Resolved"/>
    <s v="No"/>
    <s v="Techm_HHAljayeh"/>
    <s v="Low"/>
    <s v="Desktop"/>
    <s v="Proactive Monitoring"/>
    <s v="Proactive Action"/>
    <s v="Resolved"/>
    <s v="V0012494"/>
    <m/>
    <m/>
    <n v="0"/>
    <s v="Standard"/>
    <s v="ultimate_amalnaggar"/>
    <s v="Ultimate_Arwa.Alnaggar@rta.ae"/>
  </r>
  <r>
    <s v="INC000001320012"/>
    <s v="User Service Request"/>
    <s v="Cleanway Jaafar"/>
    <s v="Lahchir"/>
    <d v="2026-02-23T02:04:46"/>
    <s v="Administration Services"/>
    <s v="RTA"/>
    <x v="0"/>
    <s v="Nexthink: Desktops with system disk nearly full"/>
    <s v="Solaiman Alhussni"/>
    <s v="OnSite  EUS"/>
    <m/>
    <s v="USER TO CONFIRM"/>
    <m/>
    <s v="4-Minor/Localized"/>
    <s v="4-Low"/>
    <m/>
    <s v="Desktop"/>
    <s v="Proactive Monitoring"/>
    <s v="Proactive Action"/>
    <d v="2026-02-25T08:33:40"/>
    <s v="No"/>
    <s v="Within the Service Target"/>
    <s v="Email"/>
    <s v="there was 490 GB in the HD as unlocated space , it is added to the partition C the windows has been upgraded to windows 11 successfully"/>
    <s v="Resolved"/>
    <s v="No"/>
    <s v="Techm_HHAljayeh"/>
    <s v="Low"/>
    <s v="Desktop"/>
    <s v="Proactive Monitoring"/>
    <s v="Proactive Action"/>
    <s v="Resolved"/>
    <s v="V0011067"/>
    <m/>
    <m/>
    <n v="0"/>
    <s v="Standard"/>
    <s v="cleanway_jllahchir"/>
    <s v="Cleanway_Jaafar.Lahchir@rta.ae"/>
  </r>
  <r>
    <s v="INC000001320010"/>
    <s v="User Service Request"/>
    <s v="Salaheddin"/>
    <s v="Abuqube"/>
    <d v="2026-02-23T02:02:31"/>
    <s v="Buses"/>
    <s v="RTA"/>
    <x v="4"/>
    <s v="Nexthink: Desktops with system disk nearly full"/>
    <s v="Techm Ahmad Khantomany"/>
    <s v="OnSite  EUS"/>
    <m/>
    <s v="USER TO CONFIRM"/>
    <m/>
    <s v="4-Minor/Localized"/>
    <s v="4-Low"/>
    <m/>
    <s v="Desktop"/>
    <s v="Proactive Monitoring"/>
    <s v="Proactive Action"/>
    <d v="2026-02-25T11:06:08"/>
    <s v="No"/>
    <s v="Within the Service Target"/>
    <s v="Email"/>
    <s v="19 GB freed from the user machine in the C drive."/>
    <s v="Resolved"/>
    <s v="No"/>
    <s v="Techm_HHAljayeh"/>
    <s v="Low"/>
    <s v="Desktop"/>
    <s v="Proactive Monitoring"/>
    <s v="Proactive Action"/>
    <s v="Resolved"/>
    <n v="14868"/>
    <m/>
    <m/>
    <n v="0"/>
    <s v="Standard"/>
    <s v="saabuqube"/>
    <s v="Salaheddin.Abuqube@rta.ae"/>
  </r>
  <r>
    <s v="INC000001320008"/>
    <s v="User Service Request"/>
    <s v="Taher"/>
    <s v="Taher"/>
    <d v="2026-02-23T02:00:10"/>
    <s v="Strategy &amp; Corporate Governance CEO Administration"/>
    <s v="RTA"/>
    <x v="1"/>
    <s v="Nexthink: Desktops with system disk nearly full"/>
    <s v="Mohamed Nishad Usman"/>
    <s v="OnSite  EUS"/>
    <m/>
    <s v="USER TO CONFIRM"/>
    <m/>
    <s v="4-Minor/Localized"/>
    <s v="4-Low"/>
    <s v="Dubai"/>
    <s v="Desktop"/>
    <s v="Proactive Monitoring"/>
    <s v="Proactive Action"/>
    <d v="2026-02-25T10:05:14"/>
    <s v="No"/>
    <s v="Within the Service Target"/>
    <s v="Email"/>
    <s v="Cleaned up the space in C drive and user is having space in C Drive now"/>
    <s v="Resolved"/>
    <s v="No"/>
    <s v="Techm_HHAljayeh"/>
    <s v="Low"/>
    <s v="Desktop"/>
    <s v="Proactive Monitoring"/>
    <s v="Proactive Action"/>
    <s v="Resolved"/>
    <n v="12415"/>
    <m/>
    <m/>
    <n v="0"/>
    <s v="Standard"/>
    <s v="tmtaher"/>
    <s v="Taher.Taher@rta.ae"/>
  </r>
  <r>
    <s v="INC000001319941"/>
    <s v="User Service Request"/>
    <s v="Avaya Mubeen"/>
    <s v="Khan"/>
    <d v="2026-02-22T20:16:30"/>
    <s v="Customer Happiness"/>
    <s v="RTA"/>
    <x v="0"/>
    <s v="VPN Configuration Request"/>
    <s v="Techm Omer Mohamed"/>
    <s v="Service Desk"/>
    <m/>
    <s v="Automated Resolution Reported"/>
    <m/>
    <s v="4-Minor/Localized"/>
    <s v="4-Low"/>
    <s v="Dubai"/>
    <s v="Desktop"/>
    <s v="Configuration"/>
    <s v="VPN Configuration"/>
    <d v="2026-02-22T20:18:04"/>
    <s v="No"/>
    <s v="Within the Service Target"/>
    <s v="Phone"/>
    <s v="VPN has been configured as per the request ."/>
    <s v="Closed"/>
    <s v="No"/>
    <s v="Techm_OFMohamed"/>
    <s v="Low"/>
    <s v="Desktop"/>
    <s v="Configuration"/>
    <s v="VPN Configuration"/>
    <s v="Closed"/>
    <s v="V0046"/>
    <m/>
    <m/>
    <n v="0"/>
    <s v="Standard"/>
    <s v="avaya_mukhan"/>
    <s v="Avaya_Mubeen.Khan@rta.ae"/>
  </r>
  <r>
    <s v="INC000001319940"/>
    <s v="User Service Request"/>
    <s v="Nour"/>
    <s v="Altarawneh"/>
    <d v="2026-02-22T20:15:13"/>
    <s v="DG, Chairman of the Board of Executive Directors Office"/>
    <s v="RTA"/>
    <x v="5"/>
    <s v="VPN configuration Request"/>
    <s v="Techm Omer Mohamed"/>
    <s v="Service Desk"/>
    <m/>
    <s v="Automated Resolution Reported"/>
    <m/>
    <s v="4-Minor/Localized"/>
    <s v="4-Low"/>
    <s v="Dubai"/>
    <s v="Desktop"/>
    <s v="Configuration"/>
    <s v="VPN Configuration"/>
    <d v="2026-02-22T20:17:50"/>
    <s v="No"/>
    <s v="Within the Service Target"/>
    <s v="Phone"/>
    <s v="VPN has been configured as per the request ."/>
    <s v="Closed"/>
    <s v="No"/>
    <s v="Techm_OFMohamed"/>
    <s v="Low"/>
    <s v="Desktop"/>
    <s v="Configuration"/>
    <s v="VPN Configuration"/>
    <s v="Closed"/>
    <n v="15301"/>
    <m/>
    <m/>
    <n v="0"/>
    <s v="Standard"/>
    <s v="nsaltarawneh"/>
    <s v="Nour.Altarawneh@rta.ae"/>
  </r>
  <r>
    <s v="INC000001319927"/>
    <s v="User Service Request"/>
    <s v="Hasan"/>
    <s v="Dardas"/>
    <d v="2026-02-22T17:25:27"/>
    <s v="Rail Planning &amp; Projects Development"/>
    <s v="RTA"/>
    <x v="6"/>
    <s v="VPN configuration Request"/>
    <s v="Techm Omer Mohamed"/>
    <s v="Service Desk"/>
    <m/>
    <s v="Automated Resolution Reported"/>
    <m/>
    <s v="4-Minor/Localized"/>
    <s v="4-Low"/>
    <s v="UMM RAMOOL NEW HQ 3C"/>
    <s v="Desktop"/>
    <s v="Configuration"/>
    <s v="VPN Configuration"/>
    <d v="2026-02-22T17:26:22"/>
    <s v="No"/>
    <s v="Within the Service Target"/>
    <s v="Phone"/>
    <s v="VPN has been configured and connected successfully"/>
    <s v="Closed"/>
    <s v="No"/>
    <s v="Techm_OFMohamed"/>
    <s v="Low"/>
    <s v="Desktop"/>
    <s v="Configuration"/>
    <s v="VPN Configuration"/>
    <s v="Closed"/>
    <n v="11111"/>
    <m/>
    <m/>
    <n v="0"/>
    <s v="Standard"/>
    <s v="hddardas"/>
    <s v="Hasan.Dardas@rta.ae"/>
  </r>
  <r>
    <s v="INC000001319909"/>
    <s v="User Service Request"/>
    <s v="Essa"/>
    <s v="Alnjada"/>
    <d v="2026-02-22T15:42:35"/>
    <s v="Traffic"/>
    <s v="RTA"/>
    <x v="2"/>
    <s v="unlock account request"/>
    <s v="Mohamed Siragelnour"/>
    <s v="Service Desk"/>
    <m/>
    <s v="Automated Resolution Reported"/>
    <m/>
    <s v="4-Minor/Localized"/>
    <s v="4-Low"/>
    <s v="UMM RAMOOL NEW HQ 7C"/>
    <s v="Desktop"/>
    <s v="Profile"/>
    <s v="Account Lock Out"/>
    <d v="2026-02-22T15:47:17"/>
    <s v="No"/>
    <s v="Within the Service Target"/>
    <s v="Phone"/>
    <s v="The Account has been unlocked successfully."/>
    <s v="Closed"/>
    <s v="No"/>
    <s v="techm_mbsiragelnour"/>
    <s v="Low"/>
    <s v="Desktop"/>
    <s v="Profile"/>
    <s v="Account Lock Out"/>
    <s v="Closed"/>
    <n v="5781"/>
    <m/>
    <m/>
    <n v="0"/>
    <s v="Standard"/>
    <s v="ealnjada"/>
    <s v="Essa.Alnjada@rta.ae"/>
  </r>
  <r>
    <s v="INC000001319880"/>
    <s v="User Service Request"/>
    <s v="Amal"/>
    <s v="Al Raisi"/>
    <d v="2026-02-22T14:29:11"/>
    <s v="Customer Happiness"/>
    <s v="RTA"/>
    <x v="0"/>
    <s v="unlock account request"/>
    <s v="Mohamed Siragelnour"/>
    <s v="Service Desk"/>
    <m/>
    <s v="Automated Resolution Reported"/>
    <m/>
    <s v="4-Minor/Localized"/>
    <s v="4-Low"/>
    <s v="UMM RAMOOL -CUSTOMER SERVICE CENTER BLDG"/>
    <s v="Desktop"/>
    <s v="Profile"/>
    <s v="Account Lock Out"/>
    <d v="2026-02-22T14:29:22"/>
    <s v="No"/>
    <s v="Within the Service Target"/>
    <s v="Phone"/>
    <s v="Account has been unlocked successfully."/>
    <s v="Closed"/>
    <s v="No"/>
    <s v="techm_mbsiragelnour"/>
    <s v="Low"/>
    <s v="Desktop"/>
    <s v="Profile"/>
    <s v="Account Lock Out"/>
    <s v="Closed"/>
    <n v="9916"/>
    <m/>
    <m/>
    <n v="0"/>
    <s v="Sensitive"/>
    <s v="amaalraisi"/>
    <s v="Amal.AlRaisi@RTA.ae"/>
  </r>
  <r>
    <s v="INC000001319878"/>
    <s v="User Service Request"/>
    <s v="Avaya Mohamed"/>
    <s v="Senedak"/>
    <d v="2026-02-22T14:17:04"/>
    <s v="Customer Happiness"/>
    <s v="RTA"/>
    <x v="0"/>
    <s v="unlock account request"/>
    <s v="Mohamed Siragelnour"/>
    <s v="Service Desk"/>
    <m/>
    <s v="Automated Resolution Reported"/>
    <m/>
    <s v="4-Minor/Localized"/>
    <s v="4-Low"/>
    <s v="Dubai"/>
    <s v="Desktop"/>
    <s v="Profile"/>
    <s v="Account Lock Out"/>
    <d v="2026-02-22T14:17:30"/>
    <s v="No"/>
    <s v="Within the Service Target"/>
    <s v="Phone"/>
    <s v="The account &quot;CC Information Team&quot; has been unlocked successfully."/>
    <s v="Closed"/>
    <s v="No"/>
    <s v="techm_mbsiragelnour"/>
    <s v="Low"/>
    <s v="Desktop"/>
    <s v="Profile"/>
    <s v="Account Lock Out"/>
    <s v="Closed"/>
    <s v="V002243"/>
    <m/>
    <m/>
    <n v="0"/>
    <s v="Standard"/>
    <s v="Avaya_MSSenedak"/>
    <s v="Avaya_Mohamed.Senedak@rta.ae"/>
  </r>
  <r>
    <s v="INC000001319861"/>
    <s v="User Service Request"/>
    <s v="Aishwarya"/>
    <s v="Laddigatti"/>
    <d v="2026-02-22T11:34:25"/>
    <s v="Information Technology"/>
    <s v="RTA"/>
    <x v="3"/>
    <s v="Outlook configuration"/>
    <s v="Mohamed Siragelnour"/>
    <s v="Service Desk"/>
    <m/>
    <s v="Automated Resolution Reported"/>
    <m/>
    <s v="4-Minor/Localized"/>
    <s v="4-Low"/>
    <s v="Dubai"/>
    <s v="Desktop"/>
    <s v="Mail"/>
    <s v="Outlook Reconfiguration(RE)"/>
    <d v="2026-02-22T11:35:59"/>
    <s v="No"/>
    <s v="Within the Service Target"/>
    <s v="Other"/>
    <s v="Outlook has been configured successfully."/>
    <s v="Closed"/>
    <s v="No"/>
    <s v="techm_mbsiragelnour"/>
    <s v="Low"/>
    <s v="Desktop"/>
    <s v="Mail"/>
    <s v="Outlook Reconfiguration(RE)"/>
    <s v="Closed"/>
    <s v="V0033920"/>
    <m/>
    <m/>
    <n v="0"/>
    <s v="Standard"/>
    <s v="techm_aaladdigatti"/>
    <s v="Techm_Aishwarya.Laddigatti@rta.ae"/>
  </r>
  <r>
    <s v="INC000001319844"/>
    <s v="User Service Request"/>
    <s v="Ahmad"/>
    <s v="Al Hamadi"/>
    <d v="2026-02-22T09:00:00"/>
    <s v="Security &amp; Monitoring"/>
    <s v="RTA"/>
    <x v="5"/>
    <s v="FOLLOW UP - Email Forward request"/>
    <s v="Mohamed Siragelnour"/>
    <s v="Service Desk"/>
    <m/>
    <s v="USER TO CONFIRM"/>
    <m/>
    <s v="4-Minor/Localized"/>
    <s v="4-Low"/>
    <s v="Dubai"/>
    <s v="Application"/>
    <s v="Application Services"/>
    <s v="Add / Revoke Privilege"/>
    <d v="2026-02-25T00:16:19"/>
    <s v="No"/>
    <s v="Within the Service Target"/>
    <s v="Email"/>
    <s v="Email Forwarding has been revoked as per the 30days approval is completed."/>
    <s v="Resolved"/>
    <s v="No"/>
    <s v="AR_ESCALATOR"/>
    <s v="Low"/>
    <s v="System Domain"/>
    <s v="Messaging and collaboration"/>
    <s v="Email Forwarding"/>
    <s v="Resolved"/>
    <s v="V0033324"/>
    <m/>
    <m/>
    <n v="3"/>
    <s v="Standard"/>
    <s v="transguard_amalhamad"/>
    <s v="Transguard_Ahmad.Alhamadi@rta.ae"/>
  </r>
  <r>
    <s v="INC000001319825"/>
    <s v="User Service Request"/>
    <s v="Abdulhadi"/>
    <s v="Abdulrahim"/>
    <d v="2026-02-22T05:35:21"/>
    <s v="Maintenance &amp; Services"/>
    <s v="RTA"/>
    <x v="4"/>
    <s v="Office365 Login Configuration"/>
    <s v="Techm Hussein Aljayeh"/>
    <s v="Service Desk"/>
    <m/>
    <s v="Automated Resolution Reported"/>
    <m/>
    <s v="4-Minor/Localized"/>
    <s v="4-Low"/>
    <s v="Dubai"/>
    <s v="Desktop"/>
    <s v="Mail"/>
    <s v="Outlook Reconfiguration(RE)"/>
    <d v="2026-02-22T05:39:05"/>
    <s v="No"/>
    <s v="Within the Service Target"/>
    <s v="Phone"/>
    <s v="Request has been Completed Through Remote Access,User Confirm On the same Hence ticket closed"/>
    <s v="Closed"/>
    <s v="No"/>
    <s v="Techm_HHAljayeh"/>
    <s v="Low"/>
    <s v="Desktop"/>
    <s v="Mail"/>
    <s v="Outlook Reconfiguration"/>
    <s v="Closed"/>
    <n v="11629"/>
    <m/>
    <m/>
    <n v="0"/>
    <s v="Standard"/>
    <s v="Aababdulrahim"/>
    <s v="Abdulhadi.AAbdulrahim@rta.ae"/>
  </r>
  <r>
    <s v="INC000001319824"/>
    <s v="User Service Request"/>
    <s v="Talal"/>
    <s v="Albalooshi"/>
    <d v="2026-02-22T05:34:21"/>
    <s v="Parking"/>
    <s v="RTA"/>
    <x v="2"/>
    <s v="RTA Mail configuration in Personal Smart Phone"/>
    <s v="Techm Hussein Aljayeh"/>
    <s v="Service Desk"/>
    <m/>
    <s v="Automated Resolution Reported"/>
    <m/>
    <s v="4-Minor/Localized"/>
    <s v="4-Low"/>
    <s v="Dubai"/>
    <s v="Desktop"/>
    <s v="Personal Device Support"/>
    <s v="Personal Smart Phone"/>
    <d v="2026-02-22T05:38:32"/>
    <s v="No"/>
    <s v="Within the Service Target"/>
    <s v="Phone"/>
    <s v="SOP - SMS Sent to User ,User Confirm On the same Hence ticket Closed."/>
    <s v="Closed"/>
    <s v="No"/>
    <s v="Techm_HHAljayeh"/>
    <s v="Low"/>
    <s v="Desktop"/>
    <s v="Personal Device Support"/>
    <s v="Personal Smart Phone"/>
    <s v="Closed"/>
    <n v="1964"/>
    <m/>
    <m/>
    <n v="0"/>
    <s v="Standard"/>
    <s v="thjalbalooshi"/>
    <s v="Talal.Albalooshi@rta.ae"/>
  </r>
  <r>
    <s v="INC000001319823"/>
    <s v="User Service Request"/>
    <s v="Mohammad"/>
    <s v="Mohammad"/>
    <d v="2026-02-22T05:33:13"/>
    <s v="Parkin"/>
    <s v="RTA"/>
    <x v="8"/>
    <s v="unlock account request"/>
    <s v="Techm Hussein Aljayeh"/>
    <s v="Service Desk"/>
    <m/>
    <s v="Automated Resolution Reported"/>
    <m/>
    <s v="4-Minor/Localized"/>
    <s v="4-Low"/>
    <s v="MUHAISNAH -MAIN BUILDING"/>
    <s v="Desktop"/>
    <s v="Profile"/>
    <s v="Account Lock Out"/>
    <d v="2026-02-22T05:37:53"/>
    <s v="No"/>
    <s v="Within the Service Target"/>
    <s v="Phone"/>
    <s v="User Account has been unlocked"/>
    <s v="Closed"/>
    <s v="No"/>
    <s v="Techm_HHAljayeh"/>
    <s v="Low"/>
    <s v="Desktop"/>
    <s v="Profile"/>
    <s v="Account Lock Out"/>
    <s v="Closed"/>
    <n v="871"/>
    <m/>
    <m/>
    <n v="0"/>
    <s v="Standard"/>
    <s v="MOAalbalooshi"/>
    <s v="Mohammed.Albalooshi@rta.ae"/>
  </r>
  <r>
    <s v="INC000001319822"/>
    <s v="User Service Request"/>
    <s v="Anas"/>
    <s v="Alouda"/>
    <d v="2026-02-22T05:32:51"/>
    <s v="Right Of Way"/>
    <s v="RTA"/>
    <x v="2"/>
    <s v="unlock account request"/>
    <s v="Techm Hussein Aljayeh"/>
    <s v="Service Desk"/>
    <m/>
    <s v="Automated Resolution Reported"/>
    <m/>
    <s v="4-Minor/Localized"/>
    <s v="4-Low"/>
    <s v="Dubai"/>
    <s v="Desktop"/>
    <s v="Profile"/>
    <s v="Account Lock Out"/>
    <d v="2026-02-22T05:37:42"/>
    <s v="No"/>
    <s v="Within the Service Target"/>
    <s v="Phone"/>
    <s v="User Account has been unlocked"/>
    <s v="Closed"/>
    <s v="No"/>
    <s v="Techm_HHAljayeh"/>
    <s v="Low"/>
    <s v="Desktop"/>
    <s v="Profile"/>
    <s v="Account Lock Out"/>
    <s v="Closed"/>
    <n v="15693"/>
    <m/>
    <m/>
    <n v="0"/>
    <s v="Standard"/>
    <s v="ayalouda"/>
    <s v="Anas.Alouda@rta.ae"/>
  </r>
  <r>
    <s v="INC000001319821"/>
    <s v="User Service Request"/>
    <s v="Hana Thani"/>
    <s v="Al Halyan"/>
    <d v="2026-02-22T05:32:26"/>
    <s v="Strategy &amp; Corporate Governance CEO Administration"/>
    <s v="RTA"/>
    <x v="1"/>
    <s v="unlock account request"/>
    <s v="Techm Hussein Aljayeh"/>
    <s v="Service Desk"/>
    <m/>
    <s v="Automated Resolution Reported"/>
    <m/>
    <s v="4-Minor/Localized"/>
    <s v="4-Low"/>
    <s v="UMM RAMOOL NEW HQ 8C"/>
    <s v="Desktop"/>
    <s v="Profile"/>
    <s v="Account Lock Out"/>
    <d v="2026-02-22T05:37:28"/>
    <s v="No"/>
    <s v="Within the Service Target"/>
    <s v="Phone"/>
    <s v="User Account has been unlocked"/>
    <s v="Closed"/>
    <s v="No"/>
    <s v="Techm_HHAljayeh"/>
    <s v="Low"/>
    <s v="Desktop"/>
    <s v="Profile"/>
    <s v="Account Lock Out"/>
    <s v="Closed"/>
    <n v="3737"/>
    <m/>
    <m/>
    <n v="0"/>
    <s v="Sensitive"/>
    <s v="htalhalyan"/>
    <s v="hana.alhalyan@rta.ae"/>
  </r>
  <r>
    <s v="INC000001319819"/>
    <s v="User Service Request"/>
    <s v="Jithin"/>
    <s v="Valappil"/>
    <d v="2026-02-22T05:32:06"/>
    <s v="Maintenance &amp; Services"/>
    <s v="RTA"/>
    <x v="4"/>
    <s v="unlock account request"/>
    <s v="Techm Hussein Aljayeh"/>
    <s v="Service Desk"/>
    <m/>
    <s v="Automated Resolution Reported"/>
    <m/>
    <s v="4-Minor/Localized"/>
    <s v="4-Low"/>
    <s v="Dubai"/>
    <s v="Desktop"/>
    <s v="Profile"/>
    <s v="Account Lock Out"/>
    <d v="2026-02-22T05:37:13"/>
    <s v="No"/>
    <s v="Within the Service Target"/>
    <s v="Phone"/>
    <s v="User Account has been unlocked"/>
    <s v="Closed"/>
    <s v="No"/>
    <s v="Techm_HHAljayeh"/>
    <s v="Low"/>
    <s v="Desktop"/>
    <s v="Profile"/>
    <s v="Account Lock Out"/>
    <s v="Closed"/>
    <n v="11272"/>
    <m/>
    <m/>
    <n v="0"/>
    <s v="Standard"/>
    <s v="Jcvalappil"/>
    <s v="Jithin.Valappil@rta.ae"/>
  </r>
  <r>
    <s v="INC000001319816"/>
    <s v="User Service Request"/>
    <s v="Abdullgani"/>
    <s v="Murad"/>
    <d v="2026-02-22T05:31:45"/>
    <s v="Parking"/>
    <s v="RTA"/>
    <x v="2"/>
    <s v="unlock account request"/>
    <s v="Techm Hussein Aljayeh"/>
    <s v="Service Desk"/>
    <m/>
    <s v="Automated Resolution Reported"/>
    <m/>
    <s v="4-Minor/Localized"/>
    <s v="4-Low"/>
    <s v="UMM RAMOOL -OLD STORE"/>
    <s v="Desktop"/>
    <s v="Profile"/>
    <s v="Account Lock Out"/>
    <d v="2026-02-22T05:36:56"/>
    <s v="No"/>
    <s v="Within the Service Target"/>
    <s v="Phone"/>
    <s v="User Account has been unlocked"/>
    <s v="Closed"/>
    <s v="No"/>
    <s v="Techm_HHAljayeh"/>
    <s v="Low"/>
    <s v="Desktop"/>
    <s v="Profile"/>
    <s v="Account Lock Out"/>
    <s v="Closed"/>
    <n v="886"/>
    <m/>
    <m/>
    <n v="0"/>
    <s v="Standard"/>
    <s v="aamurad"/>
    <s v="Abdullgani.Murad@rta.ae"/>
  </r>
  <r>
    <s v="INC000001319812"/>
    <s v="User Service Restoration"/>
    <s v="Noureldin"/>
    <s v="Mohamed"/>
    <d v="2026-02-22T05:28:12"/>
    <s v="Buses"/>
    <s v="RTA"/>
    <x v="4"/>
    <s v="Single Risk Event: machine RTA-PTA-BUS-173 infected with DNS Change, action Details pending"/>
    <s v="Techm Osama Abdullatif"/>
    <s v="OnSite  EUS"/>
    <m/>
    <s v="USER TO CONFIRM"/>
    <m/>
    <s v="1-Extensive/Widespread"/>
    <s v="1-Critical"/>
    <m/>
    <s v="Desktop"/>
    <s v="Virus Issue"/>
    <s v="Virus issue"/>
    <d v="2026-02-24T08:08:21"/>
    <s v="No"/>
    <s v="Within the Service Target"/>
    <s v="Email"/>
    <e v="#NAME?"/>
    <s v="Resolved"/>
    <s v="No"/>
    <s v="Techm_HHAljayeh"/>
    <s v="Critical"/>
    <s v="Desktop"/>
    <s v="Virus Issue"/>
    <s v="Virus issue"/>
    <s v="Resolved"/>
    <s v="V0025410"/>
    <m/>
    <m/>
    <n v="0"/>
    <s v="Standard"/>
    <s v="srsl_nalmohamed"/>
    <s v="Srsl_Noureldin.Mohamed@rta.ae"/>
  </r>
  <r>
    <s v="INC000001319752"/>
    <s v="User Service Request"/>
    <s v="Shaik"/>
    <s v="Vali"/>
    <d v="2026-02-21T16:14:55"/>
    <s v="Right Of Way"/>
    <s v="RTA"/>
    <x v="2"/>
    <s v="VPN configuration Request"/>
    <s v="Zain Alabedein Skheih"/>
    <s v="Service Desk"/>
    <m/>
    <s v="USER TO CONFIRM"/>
    <m/>
    <s v="4-Minor/Localized"/>
    <s v="4-Low"/>
    <s v="UMM RAMOOL - G+2 BUILDING"/>
    <s v="Desktop"/>
    <s v="Configuration"/>
    <s v="VPN Configuration"/>
    <d v="2026-02-23T10:19:13"/>
    <s v="No"/>
    <s v="Within the Service Target"/>
    <s v="Email"/>
    <s v="we accessed remotely and configured the VPN for the user. We guided the user and it had been successfully connected to VPN"/>
    <s v="Resolved"/>
    <s v="No"/>
    <s v="Techm_OFMohamed"/>
    <s v="Low"/>
    <s v="Desktop"/>
    <s v="Configuration"/>
    <s v="VPN Configuration"/>
    <s v="Resolved"/>
    <n v="5033"/>
    <m/>
    <m/>
    <n v="1"/>
    <s v="Standard"/>
    <s v="savali"/>
    <s v="Shaik.vali@rta.ae"/>
  </r>
  <r>
    <s v="INC000001319745"/>
    <s v="User Service Request"/>
    <s v="Tanzila"/>
    <s v="Shaikh"/>
    <d v="2026-02-21T15:09:56"/>
    <s v="Information Technology"/>
    <s v="RTA"/>
    <x v="3"/>
    <s v="Outlook configuration"/>
    <s v="Mohamed Alajlani"/>
    <s v="Service Desk"/>
    <m/>
    <s v="Automated Resolution Reported"/>
    <m/>
    <s v="4-Minor/Localized"/>
    <s v="4-Low"/>
    <s v="Dubai"/>
    <s v="Desktop"/>
    <s v="Mail"/>
    <s v="Outlook Reconfiguration(RE)"/>
    <d v="2026-02-21T15:10:16"/>
    <s v="No"/>
    <s v="Within the Service Target"/>
    <s v="Phone"/>
    <s v="The Outlook has been configured as requested."/>
    <s v="Closed"/>
    <s v="No"/>
    <s v="techm_myalajlani"/>
    <s v="Low"/>
    <s v="Desktop"/>
    <s v="Mail"/>
    <s v="Outlook Reconfiguration(RE)"/>
    <s v="Closed"/>
    <s v="V0033924"/>
    <m/>
    <m/>
    <n v="0"/>
    <s v="Standard"/>
    <s v="techm_tashaikh"/>
    <s v="Techm_Tanzila.Shaikh@rta.ae"/>
  </r>
  <r>
    <s v="INC000001319725"/>
    <s v="User Service Request"/>
    <s v="Ali"/>
    <s v="Ashkanani"/>
    <d v="2026-02-21T12:53:12"/>
    <s v="Drivers Licensing"/>
    <s v="RTA"/>
    <x v="7"/>
    <s v="Request for configure print screen"/>
    <s v="Mohamed Alajlani"/>
    <s v="Service Desk"/>
    <m/>
    <s v="Automated Resolution Reported"/>
    <m/>
    <s v="4-Minor/Localized"/>
    <s v="4-Low"/>
    <s v="Dubai"/>
    <s v="Desktop"/>
    <s v="Configuration"/>
    <s v="Profile Configuration"/>
    <d v="2026-02-21T12:54:13"/>
    <s v="No"/>
    <s v="Within the Service Target"/>
    <s v="Phone"/>
    <s v="The Print Screen feature has been configured successfully after modifying the default apps in Settings."/>
    <s v="Closed"/>
    <s v="No"/>
    <s v="techm_myalajlani"/>
    <s v="Low"/>
    <s v="Desktop"/>
    <s v="Configuration"/>
    <s v="Profile Configuration"/>
    <s v="Closed"/>
    <n v="11214"/>
    <m/>
    <m/>
    <n v="0"/>
    <s v="Standard"/>
    <s v="Aaashkanani"/>
    <s v="Ali.Ashkanani@rta.ae"/>
  </r>
  <r>
    <s v="INC000001319714"/>
    <s v="User Service Request"/>
    <s v="Ali"/>
    <s v="Moosa Ali"/>
    <d v="2026-02-21T11:37:31"/>
    <s v="Parking"/>
    <s v="RTA"/>
    <x v="2"/>
    <s v="Guide user to Reset Password through Self services portal."/>
    <s v="Mohamed Alajlani"/>
    <s v="Service Desk"/>
    <m/>
    <s v="Automated Resolution Reported"/>
    <m/>
    <s v="4-Minor/Localized"/>
    <s v="4-Low"/>
    <s v="UMM RAMOOL - G+2 BUILDING"/>
    <s v="Desktop"/>
    <s v="User Education"/>
    <s v="User Education"/>
    <d v="2026-02-21T11:37:55"/>
    <s v="No"/>
    <s v="Within the Service Target"/>
    <s v="Phone"/>
    <s v="As per the request, SMS with Reset Password self-services URL has been shared with the user."/>
    <s v="Closed"/>
    <s v="No"/>
    <s v="techm_myalajlani"/>
    <s v="Low"/>
    <s v="Desktop"/>
    <s v="User Education"/>
    <s v="User Education"/>
    <s v="Closed"/>
    <n v="1722"/>
    <m/>
    <m/>
    <n v="0"/>
    <s v="Standard"/>
    <s v="amoali"/>
    <s v="Ali.Moosa@rta.ae"/>
  </r>
  <r>
    <s v="INC000001319710"/>
    <s v="User Service Request"/>
    <s v="Shiiju"/>
    <s v="Abdul Basheer"/>
    <d v="2026-02-21T11:28:15"/>
    <s v="Buses"/>
    <s v="RTA"/>
    <x v="4"/>
    <s v="Guide user to Reset Password through Self services portal."/>
    <s v="Mohamed Alajlani"/>
    <s v="Service Desk"/>
    <m/>
    <s v="Automated Resolution Reported"/>
    <m/>
    <s v="4-Minor/Localized"/>
    <s v="4-Low"/>
    <s v="Dubai"/>
    <s v="Desktop"/>
    <s v="User Education"/>
    <s v="User Education"/>
    <d v="2026-02-21T11:36:40"/>
    <s v="No"/>
    <s v="Within the Service Target"/>
    <s v="Phone"/>
    <s v="As per the request, SMS with Reset Password self-services URL has been shared with the user."/>
    <s v="Closed"/>
    <s v="No"/>
    <s v="techm_myalajlani"/>
    <s v="Low"/>
    <s v="Desktop"/>
    <s v="User Education"/>
    <s v="User Education"/>
    <s v="Closed"/>
    <s v="V0034623"/>
    <m/>
    <m/>
    <n v="0"/>
    <s v="Standard"/>
    <s v="ultimate_stabdulbash"/>
    <s v="Ultimate_Shiiju.Abdulbasheer@rta.ae"/>
  </r>
  <r>
    <s v="INC000001319682"/>
    <s v="User Service Request"/>
    <s v="Usama"/>
    <s v="Ahmed"/>
    <d v="2026-02-21T09:21:32"/>
    <s v="Information Technology"/>
    <s v="RTA"/>
    <x v="3"/>
    <s v="VPN Configuration Request"/>
    <s v="Mohamed Alajlani"/>
    <s v="Service Desk"/>
    <m/>
    <s v="Automated Resolution Reported"/>
    <m/>
    <s v="4-Minor/Localized"/>
    <s v="4-Low"/>
    <s v="Dubai"/>
    <s v="Desktop"/>
    <s v="Configuration"/>
    <s v="VPN Configuration"/>
    <d v="2026-02-21T09:23:24"/>
    <s v="No"/>
    <s v="Within the Service Target"/>
    <s v="Phone"/>
    <s v="The VPN has been configured successfully"/>
    <s v="Closed"/>
    <s v="No"/>
    <s v="techm_myalajlani"/>
    <s v="Low"/>
    <s v="Desktop"/>
    <s v="Configuration"/>
    <s v="VPN Configuration"/>
    <s v="Closed"/>
    <s v="V0031997"/>
    <m/>
    <m/>
    <n v="0"/>
    <s v="Standard"/>
    <s v="techvista_uaahmed"/>
    <s v="Techvista_Usama.Ahmed@rta.ae"/>
  </r>
  <r>
    <s v="INC000001319661"/>
    <s v="User Service Request"/>
    <s v="Nabil"/>
    <s v="Al Matroush"/>
    <d v="2026-02-21T06:50:45"/>
    <s v="Buses"/>
    <s v="RTA"/>
    <x v="4"/>
    <s v="Guide user to unlock through Self services portal."/>
    <s v="Techm Abdalbagee Hamed"/>
    <s v="Service Desk"/>
    <m/>
    <s v="Automated Resolution Reported"/>
    <m/>
    <s v="4-Minor/Localized"/>
    <s v="4-Low"/>
    <s v="Dubai"/>
    <s v="Desktop"/>
    <s v="User Education"/>
    <s v="User Education"/>
    <d v="2026-02-21T06:50:52"/>
    <s v="No"/>
    <s v="Within the Service Target"/>
    <s v="Phone"/>
    <s v="As per the request, SMS with Unlock self-services URL has been shared with the user."/>
    <s v="Closed"/>
    <s v="No"/>
    <s v="Techm_AMHamed"/>
    <s v="Low"/>
    <s v="Desktop"/>
    <s v="User Education"/>
    <s v="User Education"/>
    <s v="Closed"/>
    <n v="3607"/>
    <m/>
    <m/>
    <n v="0"/>
    <s v="Standard"/>
    <s v="nmalmatroush"/>
    <s v="nabil.almatroush@rta.ae"/>
  </r>
  <r>
    <s v="INC000001319660"/>
    <s v="User Service Request"/>
    <s v="Nabil"/>
    <s v="Al Matroush"/>
    <d v="2026-02-21T06:50:25"/>
    <s v="Buses"/>
    <s v="RTA"/>
    <x v="4"/>
    <s v="Guide user to unlock through Self services portal."/>
    <s v="Techm Abdalbagee Hamed"/>
    <s v="Service Desk"/>
    <m/>
    <s v="Automated Resolution Reported"/>
    <m/>
    <s v="4-Minor/Localized"/>
    <s v="4-Low"/>
    <s v="Dubai"/>
    <s v="Desktop"/>
    <s v="User Education"/>
    <s v="User Education"/>
    <d v="2026-02-21T06:50:34"/>
    <s v="No"/>
    <s v="Within the Service Target"/>
    <s v="Phone"/>
    <s v="As per the request, SMS with Unlock self-services URL has been shared with the user."/>
    <s v="Closed"/>
    <s v="No"/>
    <s v="Techm_AMHamed"/>
    <s v="Low"/>
    <s v="Desktop"/>
    <s v="User Education"/>
    <s v="User Education"/>
    <s v="Closed"/>
    <n v="3607"/>
    <m/>
    <m/>
    <n v="0"/>
    <s v="Standard"/>
    <s v="nmalmatroush"/>
    <s v="nabil.almatroush@rta.ae"/>
  </r>
  <r>
    <s v="INC000001319658"/>
    <s v="User Service Request"/>
    <s v="Mohamed"/>
    <s v="Abdelrahman"/>
    <d v="2026-02-21T06:43:50"/>
    <s v="Buses"/>
    <s v="RTA"/>
    <x v="4"/>
    <s v="Request to activate office 365 license"/>
    <s v="Techm Abdalbagee Hamed"/>
    <s v="Service Desk"/>
    <m/>
    <s v="Automated Resolution Reported"/>
    <m/>
    <s v="4-Minor/Localized"/>
    <s v="4-Low"/>
    <s v="Dubai"/>
    <s v="Desktop"/>
    <s v="RTA Standard Application installation Request"/>
    <s v="MS Office Installation Request"/>
    <d v="2026-02-21T06:44:00"/>
    <s v="No"/>
    <s v="Within the Service Target"/>
    <s v="Phone"/>
    <s v="in excel app: - Go to file. - Office account. - Sign in. - Enter username@rta.ae - Enter password. - click option to sign in to all MS apps."/>
    <s v="Closed"/>
    <s v="No"/>
    <s v="Techm_AMHamed"/>
    <s v="Low"/>
    <s v="Desktop"/>
    <s v="RTA Standard Application installation Request"/>
    <s v="MS Edge"/>
    <s v="Closed"/>
    <s v="V0025192"/>
    <m/>
    <m/>
    <n v="0"/>
    <s v="Standard"/>
    <s v="srsl_maabdelrahman"/>
    <s v="Srsl_Mohamed.Abdelrahman@rta.ae"/>
  </r>
  <r>
    <s v="INC000001319654"/>
    <s v="User Service Request"/>
    <s v="Anji"/>
    <s v="Alghafeer"/>
    <d v="2026-02-21T06:16:05"/>
    <s v="Buses"/>
    <s v="RTA"/>
    <x v="4"/>
    <s v="unlock account request"/>
    <s v="Techm Abdalbagee Hamed"/>
    <s v="Service Desk"/>
    <m/>
    <s v="Automated Resolution Reported"/>
    <m/>
    <s v="4-Minor/Localized"/>
    <s v="4-Low"/>
    <s v="Dubai"/>
    <s v="Desktop"/>
    <s v="Profile"/>
    <s v="Account Lock Out"/>
    <d v="2026-02-21T06:16:14"/>
    <s v="No"/>
    <s v="Within the Service Target"/>
    <s v="Phone"/>
    <s v="Generic Id BSMaintenance has been unlocked."/>
    <s v="Closed"/>
    <s v="No"/>
    <s v="Techm_AMHamed"/>
    <s v="Low"/>
    <s v="Desktop"/>
    <s v="Profile"/>
    <s v="Account Lock Out"/>
    <s v="Closed"/>
    <s v="V0025357"/>
    <m/>
    <m/>
    <n v="0"/>
    <s v="Standard"/>
    <s v="srsl_ahalghafeer"/>
    <s v="Srsl_Anji.Alghafeer@rta.ae"/>
  </r>
  <r>
    <s v="INC000001319641"/>
    <s v="User Service Request"/>
    <s v="Mohammad"/>
    <s v="Mohammad"/>
    <d v="2026-02-21T04:39:31"/>
    <s v="Parkin"/>
    <s v="RTA"/>
    <x v="8"/>
    <s v="Guide user to unlock through Self services portal."/>
    <s v="Techm Abdalbagee Hamed"/>
    <s v="Service Desk"/>
    <m/>
    <s v="Automated Resolution Reported"/>
    <m/>
    <s v="4-Minor/Localized"/>
    <s v="4-Low"/>
    <s v="MUHAISNAH -MAIN BUILDING"/>
    <s v="Desktop"/>
    <s v="User Education"/>
    <s v="User Education"/>
    <d v="2026-02-21T04:39:38"/>
    <s v="No"/>
    <s v="Within the Service Target"/>
    <s v="Phone"/>
    <s v="As per the request, SMS with Unlock self-services URL has been shared with the user."/>
    <s v="Closed"/>
    <s v="No"/>
    <s v="Techm_AMHamed"/>
    <s v="Low"/>
    <s v="Desktop"/>
    <s v="User Education"/>
    <s v="User Education"/>
    <s v="Closed"/>
    <n v="871"/>
    <m/>
    <m/>
    <n v="0"/>
    <s v="Standard"/>
    <s v="MOAalbalooshi"/>
    <s v="Mohammed.Albalooshi@rta.ae"/>
  </r>
  <r>
    <s v="INC000001319640"/>
    <s v="User Service Request"/>
    <s v="Mohammad"/>
    <s v="Mohammad"/>
    <d v="2026-02-21T04:39:00"/>
    <s v="Parkin"/>
    <s v="RTA"/>
    <x v="8"/>
    <s v="Guide user to Reset Password through Self services portal."/>
    <s v="Techm Abdalbagee Hamed"/>
    <s v="Service Desk"/>
    <m/>
    <s v="Automated Resolution Reported"/>
    <m/>
    <s v="4-Minor/Localized"/>
    <s v="4-Low"/>
    <s v="MUHAISNAH -MAIN BUILDING"/>
    <s v="Desktop"/>
    <s v="User Education"/>
    <s v="User Education"/>
    <d v="2026-02-21T04:39:12"/>
    <s v="No"/>
    <s v="Within the Service Target"/>
    <s v="Phone"/>
    <s v="As per the request, SMS with Reset Password self-services URL has been shared with the user."/>
    <s v="Closed"/>
    <s v="No"/>
    <s v="Techm_AMHamed"/>
    <s v="Low"/>
    <s v="Desktop"/>
    <s v="User Education"/>
    <s v="User Education"/>
    <s v="Closed"/>
    <n v="871"/>
    <m/>
    <m/>
    <n v="0"/>
    <s v="Standard"/>
    <s v="MOAalbalooshi"/>
    <s v="Mohammed.Albalooshi@rta.ae"/>
  </r>
  <r>
    <s v="INC000001319609"/>
    <s v="User Service Request"/>
    <s v="Nazar"/>
    <s v="Ibrahim"/>
    <d v="2026-02-20T23:09:25"/>
    <s v="Enterprise Command &amp; Control"/>
    <s v="RTA"/>
    <x v="1"/>
    <s v="unlock account request"/>
    <s v="Techm Wahbaelrahman Hassan"/>
    <s v="Service Desk"/>
    <m/>
    <s v="Automated Resolution Reported"/>
    <m/>
    <s v="4-Minor/Localized"/>
    <s v="4-Low"/>
    <s v="Dubai"/>
    <s v="Desktop"/>
    <s v="Profile"/>
    <s v="Account Lock Out"/>
    <d v="2026-02-20T23:10:28"/>
    <s v="No"/>
    <s v="Within the Service Target"/>
    <s v="Phone"/>
    <s v="User account ec3_itservicedesk has been Unlocked"/>
    <s v="Closed"/>
    <s v="No"/>
    <s v="Techm_WAHassan"/>
    <s v="Low"/>
    <s v="Desktop"/>
    <s v="Profile"/>
    <s v="Account Lock Out"/>
    <s v="Closed"/>
    <s v="V0030814"/>
    <m/>
    <m/>
    <n v="0"/>
    <s v="Standard"/>
    <s v="cns_niibrahim"/>
    <s v="Cns_Nazar.Ibrahim@rta.ae"/>
  </r>
  <r>
    <s v="INC000001319597"/>
    <s v="User Service Restoration"/>
    <s v="Kabeer"/>
    <s v="Veerriparambil"/>
    <d v="2026-02-20T21:48:58"/>
    <s v="Buses"/>
    <s v="RTA"/>
    <x v="4"/>
    <s v="PC Slowness Issue"/>
    <s v="Techm Wahbaelrahman Hassan"/>
    <s v="Service Desk"/>
    <m/>
    <s v="Automated Resolution Reported"/>
    <m/>
    <s v="3-Moderate/Limited"/>
    <s v="3-Medium"/>
    <s v="JEBEL ALI -DUBAI INDUSTRIAL CITY"/>
    <s v="Desktop"/>
    <s v="OS Issue"/>
    <s v="PC Slowness Issue"/>
    <d v="2026-02-20T21:53:50"/>
    <s v="No"/>
    <s v="Within the Service Target"/>
    <s v="Phone"/>
    <s v="- Run disk cleanup utility / cleared all temporary files and temporary internet files and cookies. - Check event viewer logs. - PC Restarted - Deleted Tepm files  - %tepm% - Run SFC /Scannow  no issue has found"/>
    <s v="Closed"/>
    <s v="No"/>
    <s v="Techm_WAHassan"/>
    <s v="Medium"/>
    <s v="Desktop"/>
    <s v="OS Issue"/>
    <s v="PC Slowness Issue"/>
    <s v="Closed"/>
    <n v="1892"/>
    <m/>
    <m/>
    <n v="0"/>
    <s v="Standard"/>
    <s v="kkveerriparambil"/>
    <s v="Kabeer.Veerriparambil@rta.ae"/>
  </r>
  <r>
    <s v="INC000001319587"/>
    <s v="User Service Request"/>
    <s v="Mariam"/>
    <s v="Mohamed"/>
    <d v="2026-02-20T19:14:27"/>
    <s v="Licensing Activities Monitoring"/>
    <s v="RTA"/>
    <x v="7"/>
    <s v="CSC Alert - Scan Failure Detected - 20022026-04"/>
    <s v="Ali Adam"/>
    <s v="OnSite  EUS"/>
    <m/>
    <s v="USER TO CONFIRM"/>
    <m/>
    <s v="4-Minor/Localized"/>
    <s v="4-Low"/>
    <s v="Dubai"/>
    <s v="Desktop"/>
    <s v="Proactive Monitoring"/>
    <s v="Proactive Action"/>
    <d v="2026-02-23T17:19:17"/>
    <s v="No"/>
    <s v="Within the Service Target"/>
    <s v="Email"/>
    <s v="- C Partition has been freed, and Full scan has been started."/>
    <s v="Resolved"/>
    <s v="No"/>
    <s v="Techm_WAHassan"/>
    <s v="Low"/>
    <s v="Desktop"/>
    <s v="Proactive Monitoring"/>
    <s v="Proactive Action"/>
    <s v="Resolved"/>
    <s v="V0025947"/>
    <m/>
    <m/>
    <n v="1"/>
    <s v="Standard"/>
    <s v="okool_mamohamed"/>
    <s v="Okool_Mariam.Mohamed@rta.ae"/>
  </r>
  <r>
    <s v="INC000001319579"/>
    <s v="User Service Request"/>
    <s v="Yara"/>
    <s v="Tarabay"/>
    <d v="2026-02-20T18:16:52"/>
    <s v="Information Technology"/>
    <s v="RTA"/>
    <x v="3"/>
    <s v="VPN  configuration Request"/>
    <s v="Mohamed Alajlani"/>
    <s v="Service Desk"/>
    <m/>
    <s v="USER TO CONFIRM"/>
    <m/>
    <s v="4-Minor/Localized"/>
    <s v="4-Low"/>
    <s v="Dubai"/>
    <s v="Desktop"/>
    <s v="Configuration"/>
    <s v="VPN Configuration"/>
    <d v="2026-02-24T12:29:45"/>
    <s v="No"/>
    <s v="Within the Service Target"/>
    <s v="Email"/>
    <s v="The VPN has been configured successfully."/>
    <s v="Resolved"/>
    <s v="No"/>
    <s v="Techm_WAHassan"/>
    <s v="Low"/>
    <s v="Desktop"/>
    <s v="Configuration"/>
    <s v="VPN Configuration"/>
    <s v="Resolved"/>
    <s v="V0033785"/>
    <m/>
    <m/>
    <n v="1"/>
    <s v="Standard"/>
    <s v="kaa_yrtarabay"/>
    <s v="Kaa_Yara.Tarabay@rta.ae"/>
  </r>
  <r>
    <s v="INC000001319577"/>
    <s v="User Service Request"/>
    <s v="Ead Rashid"/>
    <s v="Al Mutlk"/>
    <d v="2026-02-20T17:42:37"/>
    <s v="Buses"/>
    <s v="RTA"/>
    <x v="4"/>
    <s v="User education"/>
    <s v="Techm Wahbaelrahman Hassan"/>
    <s v="Service Desk"/>
    <m/>
    <s v="Automated Resolution Reported"/>
    <m/>
    <s v="4-Minor/Localized"/>
    <s v="4-Low"/>
    <s v="DEIRA -BUS STATION"/>
    <s v="Desktop"/>
    <s v="User Education"/>
    <s v="User Education"/>
    <d v="2026-02-20T17:43:52"/>
    <s v="No"/>
    <s v="Within the Service Target"/>
    <s v="Phone"/>
    <s v="Guided user with accessing Outlook app from his PC Successfully"/>
    <s v="Closed"/>
    <s v="No"/>
    <s v="Techm_WAHassan"/>
    <s v="Low"/>
    <s v="Desktop"/>
    <s v="User Education"/>
    <s v="User Education"/>
    <s v="Closed"/>
    <n v="4868"/>
    <m/>
    <m/>
    <n v="0"/>
    <s v="Standard"/>
    <s v="eralmutlk"/>
    <s v="ead.almutlk@rta.ae"/>
  </r>
  <r>
    <s v="INC000001319571"/>
    <s v="User Service Request"/>
    <s v="Okool Waqas Khan"/>
    <s v="Khan"/>
    <d v="2026-02-20T17:00:49"/>
    <s v="Right Of Way"/>
    <s v="RTA"/>
    <x v="2"/>
    <s v="CSC Alert - Scan Failure Detected - 20022026-03"/>
    <s v="Techm Osama Abdullatif"/>
    <s v="OnSite  EUS"/>
    <m/>
    <s v="USER TO CONFIRM"/>
    <m/>
    <s v="4-Minor/Localized"/>
    <s v="4-Low"/>
    <s v="Dubai"/>
    <s v="Desktop"/>
    <s v="Proactive Monitoring"/>
    <s v="Proactive Action"/>
    <d v="2026-02-23T08:01:46"/>
    <s v="No"/>
    <s v="Within the Service Target"/>
    <s v="Email"/>
    <e v="#NAME?"/>
    <s v="Resolved"/>
    <s v="No"/>
    <s v="Techm_WAHassan"/>
    <s v="Low"/>
    <s v="Desktop"/>
    <s v="Proactive Monitoring"/>
    <s v="Proactive Action"/>
    <s v="Resolved"/>
    <s v="V0010337"/>
    <m/>
    <m/>
    <n v="1"/>
    <s v="Standard"/>
    <s v="Okool_WMKhan"/>
    <s v="Okool_Waqaskhan.Khan@rta.ae"/>
  </r>
  <r>
    <s v="INC000001319570"/>
    <s v="User Service Request"/>
    <s v="Youssef"/>
    <s v="Atia"/>
    <d v="2026-02-20T16:57:54"/>
    <s v="Security &amp; Monitoring"/>
    <s v="RTA"/>
    <x v="5"/>
    <s v="CSC Alert : VPN user accessed from outside the approved country by user 'bsitet_ygatia'-20022026-02"/>
    <s v="Techm Wahbaelrahman Hassan"/>
    <s v="Service Desk"/>
    <m/>
    <s v="Automated Resolution Reported"/>
    <m/>
    <s v="4-Minor/Localized"/>
    <s v="4-Low"/>
    <s v="Dubai"/>
    <s v="Desktop"/>
    <s v="Proactive Monitoring"/>
    <s v="Proactive Action"/>
    <d v="2026-02-20T17:14:00"/>
    <s v="No"/>
    <s v="Within the Service Target"/>
    <s v="Email"/>
    <s v="According to the email received from the CSC team, no further action is required; the  ticket has been closed"/>
    <s v="Closed"/>
    <s v="No"/>
    <s v="Techm_WAHassan"/>
    <s v="Low"/>
    <s v="Desktop"/>
    <s v="Proactive Monitoring"/>
    <s v="Proactive Action"/>
    <s v="Closed"/>
    <s v="V0029747"/>
    <m/>
    <m/>
    <n v="0"/>
    <s v="Standard"/>
    <s v="bsitet_ygatia"/>
    <s v="Bsitet_Youssef.Atia@rta.ae"/>
  </r>
  <r>
    <s v="INC000001319563"/>
    <s v="User Service Restoration"/>
    <s v="Gubran Abdulalhakim"/>
    <s v="Hahoud"/>
    <d v="2026-02-20T16:11:43"/>
    <s v="Customer Happiness"/>
    <s v="RTA"/>
    <x v="0"/>
    <s v="PC Files Inaccessible Issue"/>
    <s v="Mohamed Mustaq Ali"/>
    <s v="OnSite  EUS"/>
    <m/>
    <s v="USER TO CONFIRM"/>
    <m/>
    <s v="3-Moderate/Limited"/>
    <s v="3-Medium"/>
    <s v="UMM RAMOOL - NEW HQ"/>
    <s v="Desktop"/>
    <s v="OS Issue"/>
    <s v="PC Slowness Issue"/>
    <d v="2026-02-23T10:44:41"/>
    <s v="No"/>
    <s v="Within the Service Target"/>
    <s v="Email"/>
    <s v="After replace the new pc the shortcut of in new desktop not found but all files inside the D drive, deleted the old shortcut and created the new shortcut, now user can access the files from desktop through shortcut."/>
    <s v="Resolved"/>
    <s v="No"/>
    <s v="Techm_WAHassan"/>
    <s v="Medium"/>
    <s v="Desktop"/>
    <s v="Profile"/>
    <s v="Copy / Transfer Data"/>
    <s v="Resolved"/>
    <n v="3297"/>
    <m/>
    <m/>
    <n v="1"/>
    <s v="Standard"/>
    <s v="ghahoud"/>
    <s v="Gubran.Hammod@rta.ae"/>
  </r>
  <r>
    <s v="INC000001319419"/>
    <s v="User Service Restoration"/>
    <s v="Omar"/>
    <s v="Zughayer"/>
    <d v="2026-02-20T13:46:27"/>
    <s v="Finance"/>
    <s v="RTA"/>
    <x v="0"/>
    <s v="Log in issue"/>
    <s v="Nihad Mozayek"/>
    <s v="OnSite  EUS"/>
    <m/>
    <s v="Automated Resolution Reported"/>
    <m/>
    <s v="1-Extensive/Widespread"/>
    <s v="1-Critical"/>
    <s v="UMM RAMOOL -BLOCK A"/>
    <s v="Desktop"/>
    <s v="Login Issue"/>
    <s v="Domain Trust Authentication Issue"/>
    <d v="2026-02-20T16:03:48"/>
    <s v="No"/>
    <s v="Within the Service Target"/>
    <s v="Phone"/>
    <s v="Resolved by disjoining the laptop from the domain and joining again, the user now can login without any issues"/>
    <s v="Closed"/>
    <s v="No"/>
    <s v="techm_mbsiragelnour"/>
    <s v="Critical"/>
    <s v="Desktop"/>
    <s v="Login Issue"/>
    <s v="Domain Trust Authentication Issue"/>
    <s v="Closed"/>
    <n v="6110"/>
    <m/>
    <m/>
    <n v="1"/>
    <s v="Standard"/>
    <s v="oazughayer"/>
    <s v="omar.zughayer@rta.ae"/>
  </r>
  <r>
    <s v="INC000001319402"/>
    <s v="User Service Restoration"/>
    <s v="Fatma"/>
    <s v="Fekri"/>
    <d v="2026-02-20T12:21:19"/>
    <s v="Human Resources &amp; Development"/>
    <s v="RTA"/>
    <x v="0"/>
    <s v="Automation Issue"/>
    <s v="Zain Alabedein Skheih"/>
    <s v="Service Desk"/>
    <m/>
    <s v="Automated Resolution Reported"/>
    <m/>
    <s v="3-Moderate/Limited"/>
    <s v="3-Medium"/>
    <s v="Dubai"/>
    <s v="Desktop"/>
    <s v="RTA Standard application Incidents"/>
    <s v="MS Edge"/>
    <d v="2026-02-20T12:27:51"/>
    <s v="No"/>
    <s v="Within the Service Target"/>
    <s v="Phone"/>
    <s v="We cleared browser data and cashes, configured the oracle authenticator then the issue solved."/>
    <s v="Closed"/>
    <s v="No"/>
    <s v="techm_ziskheih"/>
    <s v="Medium"/>
    <s v="Desktop"/>
    <s v="RTA Standard application Incidents"/>
    <s v="MS Edge"/>
    <s v="Closed"/>
    <n v="12556"/>
    <m/>
    <m/>
    <n v="0"/>
    <s v="Standard"/>
    <s v="FAFekri"/>
    <s v="Fatma.Fekri@rta.ae"/>
  </r>
  <r>
    <s v="INC000001319396"/>
    <s v="User Service Restoration"/>
    <s v="Hessa"/>
    <s v="Ahmad"/>
    <d v="2026-02-20T12:09:03"/>
    <s v="Intelligent Traffic System"/>
    <s v="RTA"/>
    <x v="2"/>
    <s v="Outlook Issue"/>
    <s v="Aryam Juma Mohammad Albasata Albasata"/>
    <s v="Service Desk"/>
    <m/>
    <s v="Automated Resolution Reported"/>
    <m/>
    <s v="3-Moderate/Limited"/>
    <s v="3-Medium"/>
    <s v="Dubai  -"/>
    <s v="Desktop"/>
    <s v="Mail Client Issue"/>
    <s v="Outlook Not Responding(RE)"/>
    <d v="2026-02-20T12:10:26"/>
    <s v="No"/>
    <s v="Within the Service Target"/>
    <s v="Phone"/>
    <s v="clear creditiality and close reopen outlook add user and password again"/>
    <s v="Closed"/>
    <s v="No"/>
    <s v="techm_ajalbasata"/>
    <s v="Medium"/>
    <s v="Desktop"/>
    <s v="Mail Client Issue"/>
    <s v="Outlook Not Responding"/>
    <s v="Closed"/>
    <n v="13248"/>
    <m/>
    <m/>
    <n v="0"/>
    <s v="Standard"/>
    <s v="HIBAhmad"/>
    <s v="Hessa.Ahmad@rta.ae"/>
  </r>
  <r>
    <s v="INC000001319393"/>
    <s v="User Service Request"/>
    <s v="Amal"/>
    <s v="Suliman"/>
    <d v="2026-02-20T12:03:14"/>
    <s v="Development &amp; Corporate Performance"/>
    <s v="RTA"/>
    <x v="1"/>
    <s v="Network Folder Change Access"/>
    <s v="Maitha Alhammadi"/>
    <s v="Service Desk"/>
    <m/>
    <s v="USER TO CONFIRM"/>
    <m/>
    <s v="4-Minor/Localized"/>
    <s v="4-Low"/>
    <s v="UMM RAMOOL NEW HQ 5C -LICENSING CEO OFFICE  and  LICENSING Q"/>
    <s v="Incident"/>
    <s v="Self-service"/>
    <s v="Mendix"/>
    <d v="2026-02-24T10:39:49"/>
    <s v="No"/>
    <s v="Within the Service Target"/>
    <s v="Self Service"/>
    <s v="As per concerned team update, Shared folder access has been granted to the user.  Folder Path: \\rta.global\fileserver001\Share1$\Strategy and Corporate Performance\Internal\Corporate Performance Section\E 2025\RAA Folder Owner: mhalzehmi Folder Access:  User Name_x0009_Type Of Access_x0009_Duration Of Access_x0009_Expiry Date okandi_x0009_Read And Write_x0009_Temporary_x0009_30?/6?/2026 12:00 ?   Please note that the subject ticket will be closed."/>
    <s v="Resolved"/>
    <s v="No"/>
    <s v="mendix"/>
    <s v="Low"/>
    <s v="Desktop"/>
    <s v="Profile"/>
    <s v="Network Folder Access"/>
    <s v="Resolved"/>
    <n v="2850"/>
    <m/>
    <m/>
    <n v="7"/>
    <s v="Standard"/>
    <s v="aasuliman"/>
    <s v="Amal.Suliman@rta.ae"/>
  </r>
  <r>
    <s v="INC000001319388"/>
    <s v="User Service Request"/>
    <s v="Amal"/>
    <s v="Suliman"/>
    <d v="2026-02-20T11:57:26"/>
    <s v="Development &amp; Corporate Performance"/>
    <s v="RTA"/>
    <x v="1"/>
    <s v="Network Folder Change Access"/>
    <s v="Techm Ghaya Hamad"/>
    <s v="Service Desk"/>
    <m/>
    <s v="USER TO CONFIRM"/>
    <m/>
    <s v="4-Minor/Localized"/>
    <s v="4-Low"/>
    <s v="UMM RAMOOL NEW HQ 5C -LICENSING CEO OFFICE  and  LICENSING Q"/>
    <s v="Incident"/>
    <s v="Self-service"/>
    <s v="Mendix"/>
    <d v="2026-02-24T12:07:06"/>
    <s v="No"/>
    <s v="Within the Service Target"/>
    <s v="Self Service"/>
    <s v="Informed user that access has been provided to mthalji"/>
    <s v="Resolved"/>
    <s v="No"/>
    <s v="mendix"/>
    <s v="Low"/>
    <s v="Desktop"/>
    <s v="Profile"/>
    <s v="Re -Map Share Folder"/>
    <s v="Resolved"/>
    <n v="2850"/>
    <m/>
    <m/>
    <n v="4"/>
    <s v="Standard"/>
    <s v="aasuliman"/>
    <s v="Amal.Suliman@rta.ae"/>
  </r>
  <r>
    <s v="INC000001319383"/>
    <s v="User Service Request"/>
    <s v="Amal"/>
    <s v="Suliman"/>
    <d v="2026-02-20T11:53:32"/>
    <s v="Development &amp; Corporate Performance"/>
    <s v="RTA"/>
    <x v="1"/>
    <s v="Network Folder Change Access"/>
    <s v="Maitha Alhammadi"/>
    <s v="Service Desk"/>
    <m/>
    <s v="USER TO CONFIRM"/>
    <m/>
    <s v="4-Minor/Localized"/>
    <s v="4-Low"/>
    <s v="UMM RAMOOL NEW HQ 5C -LICENSING CEO OFFICE  and  LICENSING Q"/>
    <s v="Incident"/>
    <s v="Self-service"/>
    <s v="Mendix"/>
    <d v="2026-02-24T10:36:51"/>
    <s v="No"/>
    <s v="Within the Service Target"/>
    <s v="Self Service"/>
    <s v="As per concerned team update, Share folder access provided temporary as pert the request.   Path : \\rta.global\fileserver001\Share1$\Strategy and Corporate Performance\Internal\Corporate Performance Section\E 2025\PTA User: malmutawa Approver:Ayesha Buti Mubarak Hareb Almutawa  Please note that the subject ticket will be closed."/>
    <s v="Resolved"/>
    <s v="No"/>
    <s v="mendix"/>
    <s v="Low"/>
    <s v="Desktop"/>
    <s v="Profile"/>
    <s v="Network Folder Access"/>
    <s v="Resolved"/>
    <n v="2850"/>
    <m/>
    <m/>
    <n v="7"/>
    <s v="Standard"/>
    <s v="aasuliman"/>
    <s v="Amal.Suliman@rta.ae"/>
  </r>
  <r>
    <s v="INC000001319382"/>
    <s v="User Service Request"/>
    <s v="Avaya Tarek Salama"/>
    <s v="Mohamed Khedr"/>
    <d v="2026-02-20T11:52:59"/>
    <s v="Customer Happiness"/>
    <s v="RTA"/>
    <x v="0"/>
    <s v="Keyboard"/>
    <s v="Techm Osama Abdullatif"/>
    <s v="OnSite  EUS"/>
    <m/>
    <s v="USER TO CONFIRM"/>
    <m/>
    <s v="4-Minor/Localized"/>
    <s v="4-Low"/>
    <s v="Dubai"/>
    <s v="Incident"/>
    <s v="Self-service"/>
    <s v="Mendix"/>
    <d v="2026-02-25T08:48:04"/>
    <s v="No"/>
    <s v="Within the Service Target"/>
    <s v="Self Service"/>
    <e v="#NAME?"/>
    <s v="Resolved"/>
    <s v="No"/>
    <s v="mendix"/>
    <s v="Low"/>
    <s v="Desktop"/>
    <s v="PC Hardware Issue"/>
    <s v="Keyboard Not Working"/>
    <s v="Resolved"/>
    <s v="V00969"/>
    <m/>
    <m/>
    <n v="6"/>
    <s v="Standard"/>
    <s v="Avaya_TMMohamedkhedr"/>
    <s v="Avaya_Tareksalama.Mohamedkhedr@rta.ae"/>
  </r>
  <r>
    <s v="INC000001319371"/>
    <s v="User Service Request"/>
    <s v="Fatma"/>
    <s v="Al Falasi"/>
    <d v="2026-02-20T11:44:58"/>
    <s v="Information Technology"/>
    <s v="RTA"/>
    <x v="3"/>
    <s v="VPN Configuration Request"/>
    <s v="Zain Alabedein Skheih"/>
    <s v="Service Desk"/>
    <m/>
    <s v="Automated Resolution Reported"/>
    <m/>
    <s v="4-Minor/Localized"/>
    <s v="4-Low"/>
    <s v="UMM RAMOOL"/>
    <s v="Desktop"/>
    <s v="Configuration"/>
    <s v="VPN Configuration"/>
    <d v="2026-02-20T11:45:36"/>
    <s v="No"/>
    <s v="Within the Service Target"/>
    <s v="Phone"/>
    <s v="we accessed remotely and configured the VPN on the user device"/>
    <s v="Closed"/>
    <s v="No"/>
    <s v="techm_ziskheih"/>
    <s v="Low"/>
    <s v="Desktop"/>
    <s v="Configuration"/>
    <s v="VPN Configuration"/>
    <s v="Closed"/>
    <n v="12173"/>
    <m/>
    <m/>
    <n v="0"/>
    <s v="Standard"/>
    <s v="fjalfalasi"/>
    <s v="Fatma.Alfalasi@rta.ae"/>
  </r>
  <r>
    <s v="INC000001319364"/>
    <s v="User Service Request"/>
    <s v="Mohamed"/>
    <s v="Attia"/>
    <d v="2026-02-20T11:40:00"/>
    <s v="Customer Happiness"/>
    <s v="RTA"/>
    <x v="0"/>
    <s v="Hardware Upgrade"/>
    <s v="Techm Wahbaelrahman Hassan"/>
    <s v="Service Desk"/>
    <m/>
    <s v="USER TO CONFIRM"/>
    <m/>
    <s v="4-Minor/Localized"/>
    <s v="4-Low"/>
    <m/>
    <s v="Incident"/>
    <s v="Self-service"/>
    <s v="Mendix"/>
    <d v="2026-02-24T12:47:27"/>
    <s v="No"/>
    <s v="Within the Service Target"/>
    <s v="Self Service"/>
    <s v="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
    <s v="Resolved"/>
    <s v="No"/>
    <s v="mendix"/>
    <s v="Low"/>
    <s v="Desktop"/>
    <s v="Hardware Request"/>
    <s v="Laptop"/>
    <s v="Resolved"/>
    <s v="V0011783"/>
    <m/>
    <m/>
    <n v="5"/>
    <s v="Standard"/>
    <s v="avaya_maattia"/>
    <s v="Avaya_Mohamed.Attia@rta.ae"/>
  </r>
  <r>
    <s v="INC000001319360"/>
    <s v="User Service Request"/>
    <s v="Tamara"/>
    <s v="Albaz"/>
    <d v="2026-02-20T11:40:51"/>
    <s v="Roads"/>
    <s v="RTA"/>
    <x v="2"/>
    <s v="Reset VPN account Request"/>
    <s v="Techm Ghaya Hamad"/>
    <s v="Service Desk"/>
    <m/>
    <s v="Automated Resolution Reported"/>
    <m/>
    <s v="4-Minor/Localized"/>
    <s v="4-Low"/>
    <m/>
    <s v="Network Domain"/>
    <s v="Wide Area Network (WAN)"/>
    <s v="VPN Extension"/>
    <d v="2026-02-20T11:47:48"/>
    <s v="No"/>
    <s v="Within the Service Target"/>
    <s v="Phone"/>
    <s v="Guided user to scan QR Configured VPN successfully through LogMeIn"/>
    <s v="Closed"/>
    <s v="No"/>
    <s v="Techm_GAHamad"/>
    <s v="Low"/>
    <s v="Desktop"/>
    <s v="Configuration"/>
    <s v="VPN Configuration"/>
    <s v="Closed"/>
    <n v="15648"/>
    <m/>
    <m/>
    <n v="0"/>
    <s v="Standard"/>
    <s v="tbalbaz"/>
    <s v="Tamara.Albaz@rta.ae"/>
  </r>
  <r>
    <s v="INC000001319354"/>
    <s v="User Service Request"/>
    <s v="Sayed"/>
    <s v="Hamadi"/>
    <d v="2026-02-20T11:37:17"/>
    <s v="Enterprise Command &amp; Control"/>
    <s v="RTA"/>
    <x v="1"/>
    <s v="User Education"/>
    <s v="Techm Ghaya Hamad"/>
    <s v="Service Desk"/>
    <m/>
    <s v="Automated Resolution Reported"/>
    <m/>
    <s v="4-Minor/Localized"/>
    <s v="4-Low"/>
    <s v="Dubai"/>
    <s v="Desktop"/>
    <s v="User Education"/>
    <s v="User Education"/>
    <d v="2026-02-20T11:51:34"/>
    <s v="No"/>
    <s v="Within the Service Target"/>
    <s v="Phone"/>
    <s v="Unlocked account has been done from selfService"/>
    <s v="Closed"/>
    <s v="No"/>
    <s v="Techm_GAHamad"/>
    <s v="Low"/>
    <s v="Desktop"/>
    <s v="User Education"/>
    <s v="User Education"/>
    <s v="Closed"/>
    <n v="13289"/>
    <m/>
    <m/>
    <n v="0"/>
    <s v="Standard"/>
    <s v="SIHamadi"/>
    <s v="Sayed.Hamadi@rta.ae"/>
  </r>
  <r>
    <s v="INC000001319349"/>
    <s v="User Service Request"/>
    <s v="Majid"/>
    <s v="Alhawai"/>
    <d v="2026-02-20T11:32:53"/>
    <s v="Roads"/>
    <s v="RTA"/>
    <x v="2"/>
    <s v="VPN configuration Request"/>
    <s v="Techm Ghaya Hamad"/>
    <s v="Service Desk"/>
    <m/>
    <s v="USER TO CONFIRM"/>
    <m/>
    <s v="4-Minor/Localized"/>
    <s v="4-Low"/>
    <m/>
    <s v="Desktop"/>
    <s v="Configuration"/>
    <s v="VPN Configuration"/>
    <d v="2026-02-23T11:05:57"/>
    <s v="No"/>
    <s v="Within the Service Target"/>
    <s v="Phone"/>
    <s v="Configured VPN successfully through LogMeIn"/>
    <s v="Resolved"/>
    <s v="No"/>
    <s v="Techm_GAHamad"/>
    <s v="Low"/>
    <s v="Desktop"/>
    <s v="Configuration"/>
    <s v="VPN Configuration"/>
    <s v="Resolved"/>
    <n v="15874"/>
    <m/>
    <m/>
    <n v="0"/>
    <s v="Standard"/>
    <s v="maalhawai"/>
    <s v="Majid.Alhawai@rta.ae"/>
  </r>
  <r>
    <s v="INC000001319342"/>
    <s v="User Service Request"/>
    <s v="Manal Mohammed"/>
    <s v="Al Rayes"/>
    <d v="2026-02-20T11:25:21"/>
    <s v="Corporate Technology Support Services CEO"/>
    <s v="RTA"/>
    <x v="3"/>
    <s v="Outlook configuration Request"/>
    <s v="Techm Ghaya Hamad"/>
    <s v="Service Desk"/>
    <m/>
    <s v="Automated Resolution Reported"/>
    <m/>
    <s v="4-Minor/Localized"/>
    <s v="4-Low"/>
    <m/>
    <s v="Desktop"/>
    <s v="Mail"/>
    <s v="Outlook Reconfiguration(RE)"/>
    <d v="2026-02-20T11:29:37"/>
    <s v="No"/>
    <s v="Within the Service Target"/>
    <s v="Phone"/>
    <s v="In the signature table was added by mistake &amp; it been removed"/>
    <s v="Closed"/>
    <s v="No"/>
    <s v="Techm_GAHamad"/>
    <s v="Low"/>
    <s v="Desktop"/>
    <s v="Mail"/>
    <s v="Outlook Reconfiguration(RE)"/>
    <s v="Closed"/>
    <n v="3128"/>
    <m/>
    <m/>
    <n v="0"/>
    <s v="Sensitive"/>
    <s v="mmrayes"/>
    <s v="manal.alrayes@rta.ae"/>
  </r>
  <r>
    <s v="INC000001319333"/>
    <s v="User Service Restoration"/>
    <s v="Wajd"/>
    <s v="Elkhalil"/>
    <d v="2026-02-20T11:06:30"/>
    <s v="Procurement"/>
    <s v="RTA"/>
    <x v="0"/>
    <s v="there is a PDF file can't open"/>
    <s v="Techm Ghaya Hamad"/>
    <s v="Service Desk"/>
    <m/>
    <s v="Automated Resolution Reported"/>
    <m/>
    <s v="3-Moderate/Limited"/>
    <s v="3-Medium"/>
    <s v="Dubai"/>
    <s v="Incident"/>
    <s v="Self-service"/>
    <s v="Mendix"/>
    <d v="2026-02-20T12:23:12"/>
    <s v="No"/>
    <s v="Within the Service Target"/>
    <s v="Self Service"/>
    <s v="Issue has been solved redarding PDf"/>
    <s v="Closed"/>
    <s v="No"/>
    <s v="mendix"/>
    <s v="Medium"/>
    <s v="Desktop"/>
    <s v="RTA Non standard application  Incidents"/>
    <s v="Adobe Acrobat Professional"/>
    <s v="Closed"/>
    <n v="15868"/>
    <m/>
    <m/>
    <n v="2"/>
    <s v="Standard"/>
    <s v="wrelkhalil"/>
    <s v="Wajd.Elkhalil@rta.ae"/>
  </r>
  <r>
    <s v="INC000001319319"/>
    <s v="User Service Request"/>
    <s v="Jasim"/>
    <s v="Alaleeli"/>
    <d v="2026-02-20T10:49:46"/>
    <s v="Commercial &amp; Investment"/>
    <s v="RTA"/>
    <x v="1"/>
    <s v="unlock account request"/>
    <s v="Techm Hussein Aljayeh"/>
    <s v="Service Desk"/>
    <m/>
    <s v="Automated Resolution Reported"/>
    <m/>
    <s v="4-Minor/Localized"/>
    <s v="4-Low"/>
    <s v="Dubai"/>
    <s v="Desktop"/>
    <s v="Profile"/>
    <s v="Account Lock Out"/>
    <d v="2026-02-20T10:51:31"/>
    <s v="No"/>
    <s v="Within the Service Target"/>
    <s v="Phone"/>
    <s v="User Account has been unlocked"/>
    <s v="Closed"/>
    <s v="No"/>
    <s v="Techm_HHAljayeh"/>
    <s v="Low"/>
    <s v="Desktop"/>
    <s v="Profile"/>
    <s v="Account Lock Out"/>
    <s v="Closed"/>
    <n v="12898"/>
    <m/>
    <m/>
    <n v="0"/>
    <s v="Standard"/>
    <s v="JMAlaleeli"/>
    <s v="Jasim.Alaleeli@rta.ae"/>
  </r>
  <r>
    <s v="INC000001319301"/>
    <s v="User Service Request"/>
    <s v="Hind"/>
    <s v="Elkhidir"/>
    <d v="2026-02-20T10:49:37"/>
    <s v="Licensing Systems"/>
    <s v="RTA"/>
    <x v="7"/>
    <s v="user education"/>
    <s v="Ismael Ismael"/>
    <s v="Service Desk"/>
    <m/>
    <s v="Automated Resolution Reported"/>
    <m/>
    <s v="4-Minor/Localized"/>
    <s v="4-Low"/>
    <s v="Dubai"/>
    <s v="Desktop"/>
    <s v="User Education"/>
    <s v="User Education"/>
    <d v="2026-02-20T10:49:46"/>
    <s v="No"/>
    <s v="Within the Service Target"/>
    <s v="Phone"/>
    <s v="user was educated on how to configure Oracle authenticator"/>
    <s v="Closed"/>
    <s v="No"/>
    <s v="techm_iaismael"/>
    <s v="Low"/>
    <s v="Desktop"/>
    <s v="User Education"/>
    <s v="User Education"/>
    <s v="Closed"/>
    <s v="V0034676"/>
    <m/>
    <m/>
    <n v="0"/>
    <s v="Standard"/>
    <s v="okool_hmelkhidir"/>
    <s v="Okool_Hind.Elkhidir@rta.ae"/>
  </r>
  <r>
    <s v="INC000001319277"/>
    <s v="User Service Request"/>
    <s v="Ebrahim"/>
    <s v="Hussain"/>
    <d v="2026-02-20T09:55:46"/>
    <s v="Security &amp; Monitoring"/>
    <s v="RTA"/>
    <x v="5"/>
    <s v="Guide user to reset the Password through Self services portal."/>
    <s v="Techm Hussein Aljayeh"/>
    <s v="Service Desk"/>
    <m/>
    <s v="Automated Resolution Reported"/>
    <m/>
    <s v="4-Minor/Localized"/>
    <s v="4-Low"/>
    <s v="NEW HQ 2C"/>
    <s v="Desktop"/>
    <s v="User Education"/>
    <s v="User Education"/>
    <d v="2026-02-20T10:41:38"/>
    <s v="No"/>
    <s v="Within the Service Target"/>
    <s v="Phone"/>
    <s v="Password Reset SOP Sent to User by SMS,User Confirm On the same Hence ticket closed"/>
    <s v="Closed"/>
    <s v="No"/>
    <s v="Techm_HHAljayeh"/>
    <s v="Low"/>
    <s v="Desktop"/>
    <s v="User Education"/>
    <s v="User Education"/>
    <s v="Closed"/>
    <n v="9892"/>
    <m/>
    <m/>
    <n v="0"/>
    <s v="Sensitive"/>
    <s v="eahussain"/>
    <s v="Ebrahim.Hussain@RTA.ae"/>
  </r>
  <r>
    <s v="INC000001319275"/>
    <s v="User Service Request"/>
    <s v="Mohammed"/>
    <s v="Pulikkunnummel"/>
    <d v="2026-02-20T09:51:50"/>
    <s v="Buses"/>
    <s v="RTA"/>
    <x v="4"/>
    <s v="Password reset Request"/>
    <s v="Ismael Ismael"/>
    <s v="Service Desk"/>
    <m/>
    <s v="Automated Resolution Reported"/>
    <m/>
    <s v="4-Minor/Localized"/>
    <s v="4-Low"/>
    <s v="AL KHAWNEEJ BUS DEPOT"/>
    <s v="Desktop"/>
    <s v="Profile"/>
    <s v="Password reset(RE)"/>
    <d v="2026-02-20T09:52:38"/>
    <s v="No"/>
    <s v="Within the Service Target"/>
    <s v="Phone"/>
    <s v="password was successfully reset"/>
    <s v="Closed"/>
    <s v="No"/>
    <s v="techm_iaismael"/>
    <s v="Low"/>
    <s v="Desktop"/>
    <s v="Profile"/>
    <s v="Password Reset"/>
    <s v="Closed"/>
    <n v="581"/>
    <m/>
    <m/>
    <n v="0"/>
    <s v="Standard"/>
    <s v="mapulikkunnummel"/>
    <s v="Mohammed.Pulikkunnummel@RTA.ae"/>
  </r>
  <r>
    <s v="INC000001319270"/>
    <s v="User Service Restoration"/>
    <s v="Mohammed"/>
    <s v="Pulikkunnummel"/>
    <d v="2026-02-20T09:50:42"/>
    <s v="Buses"/>
    <s v="RTA"/>
    <x v="4"/>
    <s v="password reset issue"/>
    <s v="Ismael Ismael"/>
    <s v="Service Desk"/>
    <m/>
    <s v="USER TO CONFIRM"/>
    <m/>
    <s v="3-Moderate/Limited"/>
    <s v="3-Medium"/>
    <s v="AL KHAWNEEJ BUS DEPOT"/>
    <s v="Application"/>
    <s v="Application Services"/>
    <s v="Administrative Tasks"/>
    <d v="2026-02-24T11:06:11"/>
    <s v="No"/>
    <s v="Within the Service Target"/>
    <s v="Phone"/>
    <s v="Received confirmation from user over phone that the issue got resolved"/>
    <s v="Resolved"/>
    <s v="No"/>
    <s v="techm_iaismael"/>
    <s v="Medium"/>
    <s v="Application"/>
    <s v="Application Services"/>
    <s v="Administrative Tasks"/>
    <s v="Resolved"/>
    <n v="581"/>
    <m/>
    <m/>
    <n v="2"/>
    <s v="Standard"/>
    <s v="mapulikkunnummel"/>
    <s v="Mohammed.Pulikkunnummel@RTA.ae"/>
  </r>
  <r>
    <s v="INC000001319256"/>
    <s v="User Service Restoration"/>
    <s v="Tamara"/>
    <s v="Albaz"/>
    <d v="2026-02-20T09:38:53"/>
    <s v="Roads"/>
    <s v="RTA"/>
    <x v="2"/>
    <s v="VPN Issue"/>
    <s v="Aryam Juma Mohammad Albasata Albasata"/>
    <s v="Service Desk"/>
    <m/>
    <s v="USER TO CONFIRM"/>
    <m/>
    <s v="3-Moderate/Limited"/>
    <s v="3-Medium"/>
    <s v="Dubai"/>
    <s v="Desktop"/>
    <s v="Configuration"/>
    <s v="VPN Troubleshooting"/>
    <d v="2026-02-24T09:03:45"/>
    <s v="No"/>
    <s v="Within the Service Target"/>
    <s v="Phone"/>
    <s v="User  VPN Account has been unlocked , Please try Reconnect"/>
    <s v="Resolved"/>
    <s v="No"/>
    <s v="techm_ajalbasata"/>
    <s v="Medium"/>
    <s v="Desktop"/>
    <s v="Configuration"/>
    <s v="VPN Troubleshooting"/>
    <s v="Resolved"/>
    <n v="15648"/>
    <m/>
    <m/>
    <n v="2"/>
    <s v="Standard"/>
    <s v="tbalbaz"/>
    <s v="Tamara.Albaz@rta.ae"/>
  </r>
  <r>
    <s v="INC000001319246"/>
    <s v="User Service Request"/>
    <s v="Maryam"/>
    <s v="Albalooshi"/>
    <d v="2026-02-20T10:05:38"/>
    <s v="Finance"/>
    <s v="RTA"/>
    <x v="0"/>
    <s v="Guide user to Unlock Account through Self services portal."/>
    <s v="Mohamed Alajlani"/>
    <s v="Service Desk"/>
    <m/>
    <s v="Automated Resolution Reported"/>
    <m/>
    <s v="4-Minor/Localized"/>
    <s v="4-Low"/>
    <s v="Dubai"/>
    <s v="Desktop"/>
    <s v="User Education"/>
    <s v="User Education"/>
    <d v="2026-02-20T10:08:43"/>
    <s v="No"/>
    <s v="Within the Service Target"/>
    <s v="Phone"/>
    <s v="The account has been unlocked successfully."/>
    <s v="Closed"/>
    <s v="No"/>
    <s v="techm_myalajlani"/>
    <s v="Low"/>
    <s v="Desktop"/>
    <s v="User Education"/>
    <s v="User Education"/>
    <s v="Closed"/>
    <n v="14548"/>
    <m/>
    <m/>
    <n v="0"/>
    <s v="Standard"/>
    <s v="MSAlbalooshi"/>
    <s v="Maryam.SAlbalooshi@rta.ae"/>
  </r>
  <r>
    <s v="INC000001319240"/>
    <s v="User Service Request"/>
    <s v="Sahar"/>
    <s v="Hamed"/>
    <d v="2026-02-20T09:25:25"/>
    <s v="Enterprise Command &amp; Control"/>
    <s v="RTA"/>
    <x v="1"/>
    <s v="unlock account request"/>
    <s v="Techm Hussein Aljayeh"/>
    <s v="Service Desk"/>
    <m/>
    <s v="Automated Resolution Reported"/>
    <m/>
    <s v="4-Minor/Localized"/>
    <s v="4-Low"/>
    <m/>
    <s v="Desktop"/>
    <s v="Profile"/>
    <s v="Account Lock Out"/>
    <d v="2026-02-20T10:51:16"/>
    <s v="No"/>
    <s v="Within the Service Target"/>
    <s v="Phone"/>
    <s v="User Account has been unlocked"/>
    <s v="Closed"/>
    <s v="No"/>
    <s v="Techm_HHAljayeh"/>
    <s v="Low"/>
    <s v="Desktop"/>
    <s v="Profile"/>
    <s v="Account Lock Out"/>
    <s v="Closed"/>
    <n v="15008"/>
    <m/>
    <m/>
    <n v="0"/>
    <s v="Standard"/>
    <s v="sshamed"/>
    <s v="Sahar.Hamed@rta.ae"/>
  </r>
  <r>
    <s v="INC000001319237"/>
    <s v="User Service Request"/>
    <s v="Farida"/>
    <s v="Al Zarooni"/>
    <d v="2026-02-20T09:20:06"/>
    <s v="Roads"/>
    <s v="RTA"/>
    <x v="2"/>
    <s v="VPN Re-Configuration Request"/>
    <s v="Techm Hussein Aljayeh"/>
    <s v="Service Desk"/>
    <m/>
    <s v="Automated Resolution Reported"/>
    <m/>
    <s v="4-Minor/Localized"/>
    <s v="4-Low"/>
    <s v="Others"/>
    <s v="Desktop"/>
    <s v="Configuration"/>
    <s v="VPN Configuration"/>
    <d v="2026-02-20T10:50:57"/>
    <s v="No"/>
    <s v="Within the Service Target"/>
    <s v="Phone"/>
    <s v="Request has been Completed Through Remote Access,User Confirm On the same Hence ticket closed"/>
    <s v="Closed"/>
    <s v="No"/>
    <s v="Techm_HHAljayeh"/>
    <s v="Low"/>
    <s v="Desktop"/>
    <s v="Configuration"/>
    <s v="VPN Configuration"/>
    <s v="Closed"/>
    <n v="4160"/>
    <m/>
    <m/>
    <n v="0"/>
    <s v="Standard"/>
    <s v="fmalzarooni"/>
    <s v="farida.alzarooni@rta.ae"/>
  </r>
  <r>
    <s v="INC000001319233"/>
    <s v="User Service Request"/>
    <s v="Shaikha"/>
    <s v="Aljasmi"/>
    <d v="2026-02-20T09:21:04"/>
    <s v="Marketing &amp; Corporate Communication"/>
    <s v="RTA"/>
    <x v="0"/>
    <s v="Guide user to Unlock Account through Self services portal."/>
    <s v="Mohamed Alajlani"/>
    <s v="Service Desk"/>
    <m/>
    <s v="Automated Resolution Reported"/>
    <m/>
    <s v="4-Minor/Localized"/>
    <s v="4-Low"/>
    <s v="Dubai"/>
    <s v="Desktop"/>
    <s v="User Education"/>
    <s v="User Education"/>
    <d v="2026-02-20T09:21:35"/>
    <s v="No"/>
    <s v="Within the Service Target"/>
    <s v="Phone"/>
    <s v="The account has been unlocked successfully."/>
    <s v="Closed"/>
    <s v="No"/>
    <s v="techm_myalajlani"/>
    <s v="Low"/>
    <s v="Desktop"/>
    <s v="User Education"/>
    <s v="User Education"/>
    <s v="Closed"/>
    <n v="15822"/>
    <m/>
    <m/>
    <n v="0"/>
    <s v="Standard"/>
    <s v="saaljasmi"/>
    <s v="Shaikha.Aljasmi@rta.ae"/>
  </r>
  <r>
    <s v="INC000001319228"/>
    <s v="User Service Request"/>
    <s v="Vijay"/>
    <s v="Arunan"/>
    <d v="2026-02-20T09:16:21"/>
    <s v="Licensing Systems"/>
    <s v="RTA"/>
    <x v="7"/>
    <s v="VPN Configuration Request"/>
    <s v="Mohamed Siragelnour"/>
    <s v="Service Desk"/>
    <m/>
    <s v="Automated Resolution Reported"/>
    <m/>
    <s v="4-Minor/Localized"/>
    <s v="4-Low"/>
    <s v="Dubai"/>
    <s v="Desktop"/>
    <s v="Configuration"/>
    <s v="VPN Configuration"/>
    <d v="2026-02-20T10:07:46"/>
    <s v="No"/>
    <s v="Within the Service Target"/>
    <s v="Phone"/>
    <s v="VPN has been configured successfully."/>
    <s v="Closed"/>
    <s v="No"/>
    <s v="techm_mbsiragelnour"/>
    <s v="Low"/>
    <s v="Desktop"/>
    <s v="Configuration"/>
    <s v="VPN Configuration"/>
    <s v="Closed"/>
    <n v="15789"/>
    <m/>
    <m/>
    <n v="2"/>
    <s v="Standard"/>
    <s v="vmarunan"/>
    <s v="Vijay.Arunan@rta.ae"/>
  </r>
  <r>
    <s v="INC000001319226"/>
    <s v="User Service Request"/>
    <s v="Farida"/>
    <s v="Al Zarooni"/>
    <d v="2026-02-20T09:08:29"/>
    <s v="Roads"/>
    <s v="RTA"/>
    <x v="2"/>
    <s v="Unlock VPN (fmalzarooni)"/>
    <s v="Techm Hussein Aljayeh"/>
    <s v="Service Desk"/>
    <m/>
    <s v="Automated Resolution Reported"/>
    <m/>
    <s v="4-Minor/Localized"/>
    <s v="4-Low"/>
    <s v="Others"/>
    <s v="Desktop"/>
    <s v="Profile"/>
    <s v="Account Lock Out"/>
    <d v="2026-02-20T10:50:24"/>
    <s v="No"/>
    <s v="Within the Service Target"/>
    <s v="Phone"/>
    <s v="Unlock VPN (fmalzarooni) Request has been Completed ,User Confirm On the same Hence ticket Closed."/>
    <s v="Closed"/>
    <s v="No"/>
    <s v="Techm_HHAljayeh"/>
    <s v="Low"/>
    <s v="Desktop"/>
    <s v="Profile"/>
    <s v="Account Lock Out"/>
    <s v="Closed"/>
    <n v="4160"/>
    <m/>
    <m/>
    <n v="0"/>
    <s v="Standard"/>
    <s v="fmalzarooni"/>
    <s v="farida.alzarooni@rta.ae"/>
  </r>
  <r>
    <s v="INC000001319219"/>
    <s v="User Service Request"/>
    <s v="Noura"/>
    <s v="Alhamadi"/>
    <d v="2026-02-20T09:01:59"/>
    <s v="Legal Affairs"/>
    <s v="RTA"/>
    <x v="1"/>
    <s v="Guide user to reset the Password through Self services portal."/>
    <s v="Techm Hussein Aljayeh"/>
    <s v="Service Desk"/>
    <m/>
    <s v="Automated Resolution Reported"/>
    <m/>
    <s v="4-Minor/Localized"/>
    <s v="4-Low"/>
    <s v="Dubai"/>
    <s v="Desktop"/>
    <s v="User Education"/>
    <s v="User Education"/>
    <d v="2026-02-20T10:40:29"/>
    <s v="No"/>
    <s v="Within the Service Target"/>
    <s v="Phone"/>
    <s v="Password Reset SOP Sent to User by SMS,User Confirm On the same Hence ticket closed"/>
    <s v="Closed"/>
    <s v="No"/>
    <s v="Techm_HHAljayeh"/>
    <s v="Low"/>
    <s v="Desktop"/>
    <s v="User Education"/>
    <s v="User Education"/>
    <s v="Closed"/>
    <n v="12083"/>
    <m/>
    <m/>
    <n v="0"/>
    <s v="Standard"/>
    <s v="naalhamadi"/>
    <s v="Noura.Alhamadi@rta.ae"/>
  </r>
  <r>
    <s v="INC000001319214"/>
    <s v="User Service Request"/>
    <s v="Ibrahim"/>
    <s v="Mubarak"/>
    <d v="2026-02-20T09:01:04"/>
    <s v="Leadership Affairs"/>
    <s v="RTA"/>
    <x v="5"/>
    <s v="VPN configuration request"/>
    <s v="Ismael Ismael"/>
    <s v="Service Desk"/>
    <m/>
    <s v="Automated Resolution Reported"/>
    <m/>
    <s v="4-Minor/Localized"/>
    <s v="4-Low"/>
    <s v="Dubai"/>
    <s v="Desktop"/>
    <s v="Configuration"/>
    <s v="VPN Configuration"/>
    <d v="2026-02-20T09:05:44"/>
    <s v="No"/>
    <s v="Within the Service Target"/>
    <s v="Phone"/>
    <s v="VPN has been successfully configured"/>
    <s v="Closed"/>
    <s v="No"/>
    <s v="techm_iaismael"/>
    <s v="Low"/>
    <s v="Desktop"/>
    <s v="Configuration"/>
    <s v="VPN Configuration"/>
    <s v="Closed"/>
    <n v="15703"/>
    <m/>
    <m/>
    <n v="0"/>
    <s v="Standard"/>
    <s v="ismubarak"/>
    <s v="Ibrahim.Mubarak@rta.ae"/>
  </r>
  <r>
    <s v="INC000001319210"/>
    <s v="User Service Request"/>
    <s v="Maitha"/>
    <s v="Altamimi"/>
    <d v="2026-02-20T08:54:37"/>
    <s v="Finance"/>
    <s v="RTA"/>
    <x v="0"/>
    <s v="unlock account request"/>
    <s v="Techm Hussein Aljayeh"/>
    <s v="Service Desk"/>
    <m/>
    <s v="Automated Resolution Reported"/>
    <m/>
    <s v="4-Minor/Localized"/>
    <s v="4-Low"/>
    <s v="Dubai"/>
    <s v="Desktop"/>
    <s v="Profile"/>
    <s v="Account Lock Out"/>
    <d v="2026-02-20T10:39:57"/>
    <s v="No"/>
    <s v="Within the Service Target"/>
    <s v="Phone"/>
    <s v="User Account has been unlocked"/>
    <s v="Closed"/>
    <s v="No"/>
    <s v="Techm_HHAljayeh"/>
    <s v="Low"/>
    <s v="Desktop"/>
    <s v="Profile"/>
    <s v="Account Lock Out"/>
    <s v="Closed"/>
    <n v="15128"/>
    <m/>
    <m/>
    <n v="0"/>
    <s v="Standard"/>
    <s v="msaltamimi"/>
    <s v="Maitha.Altamimi@rta.ae"/>
  </r>
  <r>
    <s v="INC000001319204"/>
    <s v="User Service Request"/>
    <s v="Maram"/>
    <s v="Almuathen"/>
    <d v="2026-02-20T08:50:09"/>
    <s v="Strategic Planning"/>
    <s v="RTA"/>
    <x v="1"/>
    <s v="Oracle Mobile Authenticator Reconfiguration on Personal Smart Phone"/>
    <s v="Techm Hussein Aljayeh"/>
    <s v="Service Desk"/>
    <m/>
    <s v="Automated Resolution Reported"/>
    <m/>
    <s v="4-Minor/Localized"/>
    <s v="4-Low"/>
    <s v="UMM RAMOOL  HQ 2A"/>
    <s v="Desktop"/>
    <s v="Personal Device Support"/>
    <s v="Personal Smart Phone"/>
    <d v="2026-02-20T10:39:22"/>
    <s v="No"/>
    <s v="Within the Service Target"/>
    <s v="Phone"/>
    <s v="Oracle Mobile Authenticator Request has been Completed Through Phone,User Confirm On the same Hence ticket Closed."/>
    <s v="Closed"/>
    <s v="No"/>
    <s v="Techm_HHAljayeh"/>
    <s v="Low"/>
    <s v="Desktop"/>
    <s v="Configuration"/>
    <s v="RTA Email in Personal Smart Device"/>
    <s v="Closed"/>
    <n v="13737"/>
    <m/>
    <m/>
    <n v="0"/>
    <s v="Standard"/>
    <s v="MSAlmuathen"/>
    <s v="Maram.Almuathen@rta.ae"/>
  </r>
  <r>
    <s v="INC000001319203"/>
    <s v="User Service Request"/>
    <s v="Aminco Shankar"/>
    <s v="Bogati"/>
    <d v="2026-02-20T08:52:52"/>
    <s v="Administration Services"/>
    <s v="RTA"/>
    <x v="0"/>
    <s v="Password reset Request"/>
    <s v="Mohamed Alajlani"/>
    <s v="Service Desk"/>
    <m/>
    <s v="Automated Resolution Reported"/>
    <m/>
    <s v="4-Minor/Localized"/>
    <s v="4-Low"/>
    <m/>
    <s v="Desktop"/>
    <s v="Profile"/>
    <s v="Password reset(RE)"/>
    <d v="2026-02-20T08:54:09"/>
    <s v="No"/>
    <s v="Within the Service Target"/>
    <s v="Phone"/>
    <s v="The password has been reset successfully and shared privately."/>
    <s v="Closed"/>
    <s v="No"/>
    <s v="techm_myalajlani"/>
    <s v="Low"/>
    <s v="Desktop"/>
    <s v="Profile"/>
    <s v="Password Reset"/>
    <s v="Closed"/>
    <s v="V006271"/>
    <m/>
    <m/>
    <n v="0"/>
    <s v="Standard"/>
    <s v="Aminco_SBBogati"/>
    <s v="Aminco_SBBogati@rta.ae"/>
  </r>
  <r>
    <s v="INC000001319198"/>
    <s v="User Service Request"/>
    <s v="Mohsin"/>
    <s v="Aftab"/>
    <d v="2026-02-20T08:41:17"/>
    <s v="Information Technology"/>
    <s v="RTA"/>
    <x v="3"/>
    <s v="VPN Configuration Request"/>
    <s v="Mohamed Alajlani"/>
    <s v="Service Desk"/>
    <m/>
    <s v="Automated Resolution Reported"/>
    <m/>
    <s v="4-Minor/Localized"/>
    <s v="4-Low"/>
    <s v="Dubai"/>
    <s v="Desktop"/>
    <s v="Configuration"/>
    <s v="VPN Configuration"/>
    <d v="2026-02-20T08:41:37"/>
    <s v="No"/>
    <s v="Within the Service Target"/>
    <s v="Phone"/>
    <s v="The VPN connection has been reconfigured successfully."/>
    <s v="Closed"/>
    <s v="No"/>
    <s v="techm_myalajlani"/>
    <s v="Low"/>
    <s v="Desktop"/>
    <s v="Configuration"/>
    <s v="VPN Configuration"/>
    <s v="Closed"/>
    <s v="V0034233"/>
    <m/>
    <m/>
    <n v="0"/>
    <s v="Standard"/>
    <s v="qpros_maaftab"/>
    <s v="Qpros_Mohsin.Aftab@rta.ae"/>
  </r>
  <r>
    <s v="INC000001319191"/>
    <s v="User Service Request"/>
    <s v="Maram"/>
    <s v="Almuathen"/>
    <d v="2026-02-20T08:35:23"/>
    <s v="Strategic Planning"/>
    <s v="RTA"/>
    <x v="1"/>
    <s v="Reset VPN QR code  (msalmuathen)"/>
    <s v="Techm Hussein Aljayeh"/>
    <s v="Service Desk"/>
    <m/>
    <s v="Automated Resolution Reported"/>
    <m/>
    <s v="4-Minor/Localized"/>
    <s v="4-Low"/>
    <s v="UMM RAMOOL  HQ 2A"/>
    <s v="Desktop"/>
    <s v="Configuration"/>
    <s v="VPN Configuration"/>
    <d v="2026-02-20T10:38:21"/>
    <s v="No"/>
    <s v="Within the Service Target"/>
    <s v="Phone"/>
    <s v="Reset VPN QR code Request has been Completed ,User Confirm On the same Hence ticket Closed."/>
    <s v="Closed"/>
    <s v="No"/>
    <s v="Techm_HHAljayeh"/>
    <s v="Low"/>
    <s v="Desktop"/>
    <s v="Configuration"/>
    <s v="VPN Configuration"/>
    <s v="Closed"/>
    <n v="13737"/>
    <m/>
    <m/>
    <n v="0"/>
    <s v="Standard"/>
    <s v="MSAlmuathen"/>
    <s v="Maram.Almuathen@rta.ae"/>
  </r>
  <r>
    <s v="INC000001319186"/>
    <s v="User Service Request"/>
    <s v="Fatma"/>
    <s v="Alblooshi"/>
    <d v="2026-02-20T08:29:51"/>
    <s v="Buses"/>
    <s v="RTA"/>
    <x v="4"/>
    <s v="unlock account request"/>
    <s v="Techm Hussein Aljayeh"/>
    <s v="Service Desk"/>
    <m/>
    <s v="Automated Resolution Reported"/>
    <m/>
    <s v="4-Minor/Localized"/>
    <s v="4-Low"/>
    <s v="Dubai"/>
    <s v="Desktop"/>
    <s v="Profile"/>
    <s v="Account Lock Out"/>
    <d v="2026-02-20T10:37:03"/>
    <s v="No"/>
    <s v="Within the Service Target"/>
    <s v="Phone"/>
    <s v="User Account has been unlocked"/>
    <s v="Closed"/>
    <s v="No"/>
    <s v="Techm_HHAljayeh"/>
    <s v="Low"/>
    <s v="Desktop"/>
    <s v="Profile"/>
    <s v="Account Lock Out"/>
    <s v="Closed"/>
    <n v="15115"/>
    <m/>
    <m/>
    <n v="0"/>
    <s v="Standard"/>
    <s v="ffalblooshi"/>
    <s v="Fatma.FAlblooshi@rta.ae"/>
  </r>
  <r>
    <s v="INC000001319180"/>
    <s v="User Service Request"/>
    <s v="Sathyakumar"/>
    <s v="Kandasamy"/>
    <d v="2026-02-20T08:25:18"/>
    <s v="Transportation Systems"/>
    <s v="RTA"/>
    <x v="4"/>
    <s v="unlock account request"/>
    <s v="Techm Hussein Aljayeh"/>
    <s v="Service Desk"/>
    <m/>
    <s v="Automated Resolution Reported"/>
    <m/>
    <s v="4-Minor/Localized"/>
    <s v="4-Low"/>
    <s v="Dubai"/>
    <s v="Desktop"/>
    <s v="Profile"/>
    <s v="Account Lock Out"/>
    <d v="2026-02-20T10:36:48"/>
    <s v="No"/>
    <s v="Within the Service Target"/>
    <s v="Phone"/>
    <s v="User Account has been unlocked"/>
    <s v="Closed"/>
    <s v="No"/>
    <s v="Techm_HHAljayeh"/>
    <s v="Low"/>
    <s v="Desktop"/>
    <s v="Profile"/>
    <s v="Account Lock Out"/>
    <s v="Closed"/>
    <s v="V0028040"/>
    <m/>
    <m/>
    <n v="0"/>
    <s v="Standard"/>
    <s v="ebm_skkandasamy"/>
    <s v="Ebm_Sathyakumar.Kandasamy@rta.ae"/>
  </r>
  <r>
    <s v="INC000001319174"/>
    <s v="User Service Request"/>
    <s v="Ismail"/>
    <s v="Khan"/>
    <d v="2026-02-20T08:17:25"/>
    <s v="Rail Planning &amp; Projects Development"/>
    <s v="RTA"/>
    <x v="6"/>
    <s v="unlock account request"/>
    <s v="Techm Hussein Aljayeh"/>
    <s v="Service Desk"/>
    <m/>
    <s v="Automated Resolution Reported"/>
    <m/>
    <s v="4-Minor/Localized"/>
    <s v="4-Low"/>
    <s v="Dubai"/>
    <s v="Desktop"/>
    <s v="Profile"/>
    <s v="Account Lock Out"/>
    <d v="2026-02-20T10:36:31"/>
    <s v="No"/>
    <s v="Within the Service Target"/>
    <s v="Phone"/>
    <s v="User Account has been unlocked"/>
    <s v="Closed"/>
    <s v="No"/>
    <s v="Techm_HHAljayeh"/>
    <s v="Low"/>
    <s v="Desktop"/>
    <s v="Profile"/>
    <s v="Account Lock Out"/>
    <s v="Closed"/>
    <n v="15279"/>
    <m/>
    <m/>
    <n v="0"/>
    <s v="Standard"/>
    <s v="ikhankhan"/>
    <s v="Ismail.Khan@rta.ae"/>
  </r>
  <r>
    <s v="INC000001319169"/>
    <s v="User Service Request"/>
    <s v="Mohammad"/>
    <s v="Bastaki"/>
    <d v="2026-02-20T08:12:21"/>
    <s v="Commercial &amp; Investment"/>
    <s v="RTA"/>
    <x v="1"/>
    <s v="unlock account request"/>
    <s v="Mohamed Alajlani"/>
    <s v="Service Desk"/>
    <m/>
    <s v="Automated Resolution Reported"/>
    <m/>
    <s v="4-Minor/Localized"/>
    <s v="4-Low"/>
    <s v="UMM RAMOOL NEW HQ 1A - METRO ARBITRATION TEAM"/>
    <s v="Desktop"/>
    <s v="Profile"/>
    <s v="Account Lock Out"/>
    <d v="2026-02-20T08:12:39"/>
    <s v="Yes"/>
    <s v="Within the Service Target"/>
    <s v="Phone"/>
    <s v="The account has been unlocked successfully."/>
    <s v="Closed"/>
    <s v="Yes"/>
    <s v="techm_myalajlani"/>
    <s v="Low"/>
    <s v="Desktop"/>
    <s v="Profile"/>
    <s v="Account Lock Out"/>
    <s v="Closed"/>
    <n v="10030"/>
    <m/>
    <m/>
    <n v="0"/>
    <s v="Sensitive"/>
    <s v="moabastaki"/>
    <s v="Mohammad.Bastaki@RTA.ae"/>
  </r>
  <r>
    <s v="INC000001319168"/>
    <s v="User Service Restoration"/>
    <s v="Talal"/>
    <s v="Sabil Abdulla"/>
    <d v="2026-02-20T09:00:50"/>
    <s v="Parking"/>
    <s v="RTA"/>
    <x v="2"/>
    <s v="Intranet Issue Pop-Up username and password frequently"/>
    <s v="Techm Hussein Aljayeh"/>
    <s v="Service Desk"/>
    <m/>
    <s v="Automated Resolution Reported"/>
    <m/>
    <s v="3-Moderate/Limited"/>
    <s v="3-Medium"/>
    <s v="UMM RAMOOL - G+2 BUILDING"/>
    <s v="Desktop"/>
    <s v="Internet/Intranet Issues"/>
    <s v="Intranet issues(RE)"/>
    <d v="2026-02-20T10:52:54"/>
    <s v="No"/>
    <s v="Within the Service Target"/>
    <s v="Phone"/>
    <s v="Issue Resolved Through Remote Access,User Confirm On the same Hence ticket closed  -Cleare cach  -reset browser  -remove temp -remove old password in credentail manager  -gpupdate /force -ipconfig /flushdns"/>
    <s v="Closed"/>
    <s v="No"/>
    <s v="Techm_HHAljayeh"/>
    <s v="Medium"/>
    <s v="Desktop"/>
    <s v="Internet / Intranet Issues"/>
    <s v="Intranet Issues"/>
    <s v="Closed"/>
    <n v="696"/>
    <m/>
    <m/>
    <n v="0"/>
    <s v="Standard"/>
    <s v="tsabdulla"/>
    <s v="Talal.Abdulla@rta.ae"/>
  </r>
  <r>
    <s v="INC000001319154"/>
    <s v="User Service Request"/>
    <s v="Sameer"/>
    <s v="Gulshan Rai Sehgal"/>
    <d v="2026-02-20T07:20:06"/>
    <s v="Commercial &amp; Investment"/>
    <s v="RTA"/>
    <x v="1"/>
    <s v="Guide the user to login to Automation system with Oracle Authenticator"/>
    <s v="Techm Abdalbagee Hamed"/>
    <s v="Service Desk"/>
    <m/>
    <s v="Automated Resolution Reported"/>
    <m/>
    <s v="4-Minor/Localized"/>
    <s v="4-Low"/>
    <s v="Dubai"/>
    <s v="Desktop"/>
    <s v="User Education"/>
    <s v="User Education"/>
    <d v="2026-02-20T07:20:31"/>
    <s v="No"/>
    <s v="Within the Service Target"/>
    <s v="Phone"/>
    <s v="Guide the user to login to Automation system with Oracle Authenticator."/>
    <s v="Closed"/>
    <s v="No"/>
    <s v="Techm_AMHamed"/>
    <s v="Low"/>
    <s v="Desktop"/>
    <s v="User Education"/>
    <s v="User Education"/>
    <s v="Closed"/>
    <s v="V0033216"/>
    <m/>
    <m/>
    <n v="0"/>
    <s v="Standard"/>
    <s v="tms_ssgulshanraisehg"/>
    <s v="Tms_Sameer.Gulshanraisehgal@rta.ae"/>
  </r>
  <r>
    <s v="INC000001319153"/>
    <s v="User Service Request"/>
    <s v="Ziyad"/>
    <s v="Mourched"/>
    <d v="2026-02-20T07:11:30"/>
    <s v="Buses"/>
    <s v="RTA"/>
    <x v="4"/>
    <s v="Guide the user to login to Automation system with MS edge browser."/>
    <s v="Techm Abdalbagee Hamed"/>
    <s v="Service Desk"/>
    <m/>
    <s v="Automated Resolution Reported"/>
    <m/>
    <s v="4-Minor/Localized"/>
    <s v="4-Low"/>
    <s v="SABKHA -BUS STATION"/>
    <s v="Desktop"/>
    <s v="User Education"/>
    <s v="User Education"/>
    <d v="2026-02-20T07:11:42"/>
    <s v="No"/>
    <s v="Within the Service Target"/>
    <s v="Phone"/>
    <s v="Guide the user to login to Automation system with MS edge browser."/>
    <s v="Closed"/>
    <s v="No"/>
    <s v="Techm_AMHamed"/>
    <s v="Low"/>
    <s v="Desktop"/>
    <s v="User Education"/>
    <s v="User Education"/>
    <s v="Closed"/>
    <n v="3610"/>
    <m/>
    <m/>
    <n v="0"/>
    <s v="Standard"/>
    <s v="zcmourched"/>
    <s v="Ziyad.Mourched@rta.ae"/>
  </r>
  <r>
    <s v="INC000001319152"/>
    <s v="User Service Request"/>
    <s v="Hani"/>
    <s v="Abouzeid"/>
    <d v="2026-02-20T07:09:47"/>
    <s v="Vehicles Licensing"/>
    <s v="RTA"/>
    <x v="7"/>
    <s v="VPN Configuration  Request"/>
    <s v="Techm Abdalbagee Hamed"/>
    <s v="Service Desk"/>
    <m/>
    <s v="Automated Resolution Reported"/>
    <m/>
    <s v="4-Minor/Localized"/>
    <s v="4-Low"/>
    <s v="Dubai"/>
    <s v="Desktop"/>
    <s v="Configuration"/>
    <s v="VPN Configuration"/>
    <d v="2026-02-20T07:10:17"/>
    <s v="No"/>
    <s v="Within the Service Target"/>
    <s v="Phone"/>
    <s v="VPN has been connected and working fine"/>
    <s v="Closed"/>
    <s v="No"/>
    <s v="Techm_AMHamed"/>
    <s v="Low"/>
    <s v="Desktop"/>
    <s v="Configuration"/>
    <s v="VPN Configuration"/>
    <s v="Closed"/>
    <n v="15780"/>
    <m/>
    <m/>
    <n v="0"/>
    <s v="Standard"/>
    <s v="hmabouzeid"/>
    <s v="Hani.Abouzeid@rta.ae"/>
  </r>
  <r>
    <s v="INC000001319145"/>
    <s v="User Service Request"/>
    <s v="Sameer"/>
    <s v="Gulshan Rai Sehgal"/>
    <d v="2026-02-20T06:40:14"/>
    <s v="Commercial &amp; Investment"/>
    <s v="RTA"/>
    <x v="1"/>
    <s v="Guide the user to login to Automation system with Oracle Authenticator"/>
    <s v="Techm Abdalbagee Hamed"/>
    <s v="Service Desk"/>
    <m/>
    <s v="Automated Resolution Reported"/>
    <m/>
    <s v="4-Minor/Localized"/>
    <s v="4-Low"/>
    <s v="Dubai"/>
    <s v="Desktop"/>
    <s v="User Education"/>
    <s v="User Education"/>
    <d v="2026-02-20T06:40:27"/>
    <s v="No"/>
    <s v="Within the Service Target"/>
    <s v="Phone"/>
    <s v="Guide the user to login to Automation system with Oracle Authenticator."/>
    <s v="Closed"/>
    <s v="No"/>
    <s v="Techm_AMHamed"/>
    <s v="Low"/>
    <s v="Desktop"/>
    <s v="User Education"/>
    <s v="User Education"/>
    <s v="Closed"/>
    <s v="V0033216"/>
    <m/>
    <m/>
    <n v="0"/>
    <s v="Standard"/>
    <s v="tms_ssgulshanraisehg"/>
    <s v="Tms_Sameer.Gulshanraisehgal@rta.ae"/>
  </r>
  <r>
    <s v="INC000001319123"/>
    <s v="User Service Request"/>
    <s v="Surjeet"/>
    <s v="Samanta"/>
    <d v="2026-02-20T04:20:07"/>
    <s v="Information Technology"/>
    <s v="RTA"/>
    <x v="3"/>
    <s v="Device error 0X133"/>
    <s v="Surjeet Samanta"/>
    <s v="SCCM-Nexthink Support"/>
    <m/>
    <s v="Automated Resolution Reported"/>
    <m/>
    <s v="4-Minor/Localized"/>
    <s v="4-Low"/>
    <s v="Dubai"/>
    <s v="Desktop"/>
    <s v="Proactive Monitoring"/>
    <s v="Proactive Action"/>
    <d v="2026-02-20T09:31:40"/>
    <s v="No"/>
    <s v="Within the Service Target"/>
    <s v="Email"/>
    <s v="Required registry fix has been pushed to the affected devices.. No further action require"/>
    <s v="Closed"/>
    <s v="No"/>
    <s v="Techm_AMHamed"/>
    <s v="Low"/>
    <s v="Desktop"/>
    <s v="Proactive Monitoring"/>
    <s v="Proactive Action"/>
    <s v="Closed"/>
    <s v="V0024624"/>
    <m/>
    <m/>
    <n v="1"/>
    <s v="Standard"/>
    <s v="techm_sjsamanta"/>
    <s v="Techm_Surjeet.Samanta@rta.ae"/>
  </r>
  <r>
    <s v="INC000001319114"/>
    <s v="User Service Request"/>
    <s v="Layla"/>
    <s v="Ali"/>
    <d v="2026-02-20T03:31:14"/>
    <s v="Vehicles Licensing"/>
    <s v="RTA"/>
    <x v="7"/>
    <s v="VPN configuration Request"/>
    <s v="Techm Abdalbagee Hamed"/>
    <s v="Service Desk"/>
    <m/>
    <s v="Automated Resolution Reported"/>
    <m/>
    <s v="4-Minor/Localized"/>
    <s v="4-Low"/>
    <s v="Dubai"/>
    <s v="Desktop"/>
    <s v="Configuration"/>
    <s v="VPN Configuration"/>
    <d v="2026-02-20T03:31:44"/>
    <s v="No"/>
    <s v="Within the Service Target"/>
    <s v="Phone"/>
    <s v="VPN account have been configured and connected."/>
    <s v="Closed"/>
    <s v="No"/>
    <s v="Techm_AMHamed"/>
    <s v="Low"/>
    <s v="Desktop"/>
    <s v="Configuration"/>
    <s v="VPN Configuration"/>
    <s v="Closed"/>
    <n v="13678"/>
    <m/>
    <m/>
    <n v="0"/>
    <s v="Standard"/>
    <s v="LIAli"/>
    <s v="Layla.Ali@rta.ae"/>
  </r>
  <r>
    <s v="INC000001319113"/>
    <s v="User Service Request"/>
    <s v="Hassan"/>
    <s v="Marzoughi"/>
    <d v="2026-02-20T03:16:30"/>
    <s v="Passengers Transport Activities Monitoring"/>
    <s v="RTA"/>
    <x v="4"/>
    <s v="Guide user to unlock through Self services portal."/>
    <s v="Techm Abdalbagee Hamed"/>
    <s v="Service Desk"/>
    <m/>
    <s v="Automated Resolution Reported"/>
    <m/>
    <s v="4-Minor/Localized"/>
    <s v="4-Low"/>
    <s v="Dubai"/>
    <s v="Desktop"/>
    <s v="User Education"/>
    <s v="User Education"/>
    <d v="2026-02-20T03:16:51"/>
    <s v="No"/>
    <s v="Within the Service Target"/>
    <s v="Phone"/>
    <s v="As per the request, SMS with Unlock self-services URL has been shared with the user."/>
    <s v="Closed"/>
    <s v="No"/>
    <s v="Techm_AMHamed"/>
    <s v="Low"/>
    <s v="Desktop"/>
    <s v="User Education"/>
    <s v="User Education"/>
    <s v="Closed"/>
    <n v="15368"/>
    <m/>
    <m/>
    <n v="0"/>
    <s v="Standard"/>
    <s v="hemarzoughi"/>
    <s v="Hassan.Marzoughi@rta.ae"/>
  </r>
  <r>
    <s v="INC000001319097"/>
    <s v="User Service Request"/>
    <s v="Manal Mohammed"/>
    <s v="Al Rayes"/>
    <d v="2026-02-20T02:28:13"/>
    <s v="Corporate Technology Support Services CEO"/>
    <s v="RTA"/>
    <x v="3"/>
    <s v="Network Folder Change Access"/>
    <s v="Techm Abdalbagee Hamed"/>
    <s v="Service Desk"/>
    <m/>
    <s v="Automated Resolution Reported"/>
    <m/>
    <s v="4-Minor/Localized"/>
    <s v="4-Low"/>
    <s v="UMM RAMOOL NEW HQ 9A"/>
    <s v="Incident"/>
    <s v="Self-service"/>
    <s v="Mendix"/>
    <d v="2026-02-20T11:24:10"/>
    <s v="No"/>
    <s v="Within the Service Target"/>
    <s v="Self Service"/>
    <s v="Share folder has been remapped  \\rta.global\fileserver001\Share5$\CTSS\TSG\"/>
    <s v="Closed"/>
    <s v="No"/>
    <s v="mendix"/>
    <s v="Low"/>
    <s v="Desktop"/>
    <s v="Profile"/>
    <s v="Re -Map Share Folder"/>
    <s v="Closed"/>
    <n v="3128"/>
    <m/>
    <m/>
    <n v="4"/>
    <s v="Sensitive"/>
    <s v="mmrayes"/>
    <s v="manal.alrayes@rta.ae"/>
  </r>
  <r>
    <s v="INC000001319094"/>
    <s v="User Service Request"/>
    <s v="Sarafudheen"/>
    <s v="Mukari"/>
    <d v="2026-02-20T02:25:11"/>
    <s v="Maintenance &amp; Services"/>
    <s v="RTA"/>
    <x v="4"/>
    <s v="Guide user to unlock through Self services portal."/>
    <s v="Techm Abdalbagee Hamed"/>
    <s v="Service Desk"/>
    <m/>
    <s v="Automated Resolution Reported"/>
    <m/>
    <s v="4-Minor/Localized"/>
    <s v="4-Low"/>
    <s v="AL AWEER DEPOT"/>
    <s v="Desktop"/>
    <s v="User Education"/>
    <s v="User Education"/>
    <d v="2026-02-20T02:25:25"/>
    <s v="No"/>
    <s v="Within the Service Target"/>
    <s v="Phone"/>
    <s v="As per the request, SMS with Unlock self-services URL has been shared with the user."/>
    <s v="Closed"/>
    <s v="No"/>
    <s v="Techm_AMHamed"/>
    <s v="Low"/>
    <s v="Desktop"/>
    <s v="User Education"/>
    <s v="User Education"/>
    <s v="Closed"/>
    <n v="5257"/>
    <m/>
    <m/>
    <n v="0"/>
    <s v="Standard"/>
    <s v="smmukari"/>
    <s v="Sarafudheen.Mukari@rta.ae"/>
  </r>
  <r>
    <s v="INC000001319076"/>
    <s v="User Service Request"/>
    <s v="Reem"/>
    <s v="Alsuwaidi"/>
    <d v="2026-02-20T00:20:25"/>
    <s v="Finance"/>
    <s v="RTA"/>
    <x v="0"/>
    <s v="Request to update AV."/>
    <s v="Techm Abdalbagee Hamed"/>
    <s v="Service Desk"/>
    <m/>
    <s v="Automated Resolution Reported"/>
    <m/>
    <s v="4-Minor/Localized"/>
    <s v="4-Low"/>
    <s v="Dubai"/>
    <s v="Desktop"/>
    <s v="AV Update ( Antivirus)"/>
    <s v="AV Definition Update"/>
    <d v="2026-02-20T00:20:58"/>
    <s v="No"/>
    <s v="Within the Service Target"/>
    <s v="Phone"/>
    <s v="AV Symantec has been updated using live update option."/>
    <s v="Closed"/>
    <s v="No"/>
    <s v="Techm_AMHamed"/>
    <s v="Low"/>
    <s v="Desktop"/>
    <s v="AV Update ( Antivirus)"/>
    <s v="AV Definition Update"/>
    <s v="Closed"/>
    <n v="13877"/>
    <m/>
    <m/>
    <n v="0"/>
    <s v="Standard"/>
    <s v="RIALsuwaidi"/>
    <s v="Reem.AAlsuwaidi@rta.ae"/>
  </r>
  <r>
    <s v="INC000001319065"/>
    <s v="User Service Request"/>
    <s v="Amna"/>
    <s v="Alboom"/>
    <d v="2026-02-19T22:37:36"/>
    <s v="Enterprise Command &amp; Control"/>
    <s v="RTA"/>
    <x v="1"/>
    <s v="VPN configuration  Request"/>
    <s v="Techm Wahbaelrahman Hassan"/>
    <s v="Service Desk"/>
    <m/>
    <s v="Automated Resolution Reported"/>
    <m/>
    <s v="4-Minor/Localized"/>
    <s v="4-Low"/>
    <s v="Dubai"/>
    <s v="Desktop"/>
    <s v="Configuration"/>
    <s v="VPN Configuration"/>
    <d v="2026-02-19T22:40:01"/>
    <s v="No"/>
    <s v="Within the Service Target"/>
    <s v="Phone"/>
    <s v="VPN has been configured on user machine successfully"/>
    <s v="Closed"/>
    <s v="No"/>
    <s v="Techm_WAHassan"/>
    <s v="Low"/>
    <s v="Desktop"/>
    <s v="Configuration"/>
    <s v="VPN Configuration"/>
    <s v="Closed"/>
    <n v="15977"/>
    <m/>
    <m/>
    <n v="0"/>
    <s v="Standard"/>
    <s v="aaalboom"/>
    <s v="Amna.Alboom@rta.ae"/>
  </r>
  <r>
    <s v="INC000001319050"/>
    <s v="User Service Restoration"/>
    <s v="Amna"/>
    <s v="Ibrahim"/>
    <d v="2026-02-19T21:15:20"/>
    <s v="Customer Happiness"/>
    <s v="RTA"/>
    <x v="0"/>
    <s v="Single Risk Event: machine RTA-CAS-CSC-650 infected with Hosts File Change, action Details pending"/>
    <s v="Techm Osama Abdullatif"/>
    <s v="OnSite  EUS"/>
    <m/>
    <s v="USER TO CONFIRM"/>
    <m/>
    <s v="1-Extensive/Widespread"/>
    <s v="1-Critical"/>
    <s v="Dubai"/>
    <s v="Desktop"/>
    <s v="Virus Issue"/>
    <s v="Virus issue"/>
    <d v="2026-02-23T08:45:50"/>
    <s v="No"/>
    <s v="Within the Service Target"/>
    <s v="Email"/>
    <e v="#NAME?"/>
    <s v="Resolved"/>
    <s v="No"/>
    <s v="Techm_WAHassan"/>
    <s v="Critical"/>
    <s v="Desktop"/>
    <s v="Virus Issue"/>
    <s v="Virus issue"/>
    <s v="Resolved"/>
    <n v="15695"/>
    <m/>
    <m/>
    <n v="4"/>
    <s v="Standard"/>
    <s v="asaiibrahim"/>
    <s v="Amna.Ibrahim@rta.ae"/>
  </r>
  <r>
    <s v="INC000001319042"/>
    <s v="User Service Request"/>
    <s v="Roshan"/>
    <s v="Prasad"/>
    <d v="2026-02-19T20:06:47"/>
    <s v="Licensing Systems"/>
    <s v="RTA"/>
    <x v="7"/>
    <s v="(Vectra) CSC Alert - Outbound Communication towards Suspicious Domain-19022026-03"/>
    <s v="Techm Wahbaelrahman Hassan"/>
    <s v="Service Desk"/>
    <m/>
    <s v="Automated Resolution Reported"/>
    <m/>
    <s v="4-Minor/Localized"/>
    <s v="4-Low"/>
    <s v="Dubai"/>
    <s v="Desktop"/>
    <s v="Proactive Monitoring"/>
    <s v="Proactive Action"/>
    <d v="2026-02-19T20:09:09"/>
    <s v="No"/>
    <s v="Within the Service Target"/>
    <s v="Email"/>
    <s v="Based on user response. We will continue to monitor the system and report if any such alerts are received again. Hence ticket closed"/>
    <s v="Closed"/>
    <s v="No"/>
    <s v="Techm_WAHassan"/>
    <s v="Low"/>
    <s v="Desktop"/>
    <s v="Proactive Monitoring"/>
    <s v="Proactive Action"/>
    <s v="Closed"/>
    <n v="15828"/>
    <m/>
    <m/>
    <n v="0"/>
    <s v="Standard"/>
    <s v="rdprasad"/>
    <s v="Roshan.Prasad@rta.ae"/>
  </r>
  <r>
    <s v="INC000001319040"/>
    <s v="User Service Request"/>
    <s v="United Mengxia"/>
    <s v="Wang"/>
    <d v="2026-02-19T20:02:12"/>
    <s v="Automatic Collection Systems"/>
    <s v="RTA"/>
    <x v="3"/>
    <s v="CSC Alert- VPN_Authentication failed multiple times for user 'UNITED_MWWANG'-19022026-05"/>
    <s v="Techm Wahbaelrahman Hassan"/>
    <s v="Service Desk"/>
    <m/>
    <s v="Automated Resolution Reported"/>
    <m/>
    <s v="4-Minor/Localized"/>
    <s v="4-Low"/>
    <s v="Dubai"/>
    <s v="Desktop"/>
    <s v="Proactive Monitoring"/>
    <s v="Proactive Action"/>
    <d v="2026-02-20T21:39:29"/>
    <s v="No"/>
    <s v="Within the Service Target"/>
    <s v="Email"/>
    <s v="According to the received confirmation from the relevant team, and the user response ticket has been closed"/>
    <s v="Closed"/>
    <s v="No"/>
    <s v="Techm_WAHassan"/>
    <s v="Low"/>
    <s v="Desktop"/>
    <s v="Proactive Monitoring"/>
    <s v="Proactive Action"/>
    <s v="Closed"/>
    <s v="V006613"/>
    <m/>
    <m/>
    <n v="0"/>
    <s v="Standard"/>
    <s v="United_MWWang"/>
    <s v="United_Mengxia.Wang@rta.ae"/>
  </r>
  <r>
    <s v="INC000001319037"/>
    <s v="User Service Request"/>
    <s v="Hussain"/>
    <s v="Jamshidi"/>
    <d v="2026-02-19T19:36:17"/>
    <s v="Parkin"/>
    <s v="RTA"/>
    <x v="8"/>
    <s v="CSC Alert- VPN_Authentication failed multiple times for user 'hejamshidi'-19022026-04"/>
    <s v="Techm Wahbaelrahman Hassan"/>
    <s v="Service Desk"/>
    <m/>
    <s v="USER TO CONFIRM"/>
    <m/>
    <s v="4-Minor/Localized"/>
    <s v="4-Low"/>
    <s v="Dubai"/>
    <s v="Desktop"/>
    <s v="Proactive Monitoring"/>
    <s v="Proactive Action"/>
    <d v="2026-02-25T09:27:36"/>
    <s v="No"/>
    <s v="Within the Service Target"/>
    <s v="Email"/>
    <s v="According to the user respond and confirmation received over email from the relevant team the ticket is closed"/>
    <s v="Resolved"/>
    <s v="No"/>
    <s v="Techm_WAHassan"/>
    <s v="Low"/>
    <s v="Desktop"/>
    <s v="Proactive Monitoring"/>
    <s v="Proactive Action"/>
    <s v="Resolved"/>
    <n v="11812"/>
    <m/>
    <m/>
    <n v="0"/>
    <s v="Standard"/>
    <s v="HEJamshidi"/>
    <s v="Hussain.Jamshidi@rta.ae"/>
  </r>
  <r>
    <s v="INC000001319034"/>
    <s v="User Service Request"/>
    <s v="Amr"/>
    <s v="Moussa"/>
    <d v="2026-02-19T19:22:27"/>
    <s v="Customer Happiness"/>
    <s v="RTA"/>
    <x v="0"/>
    <s v="Password reset Request"/>
    <s v="Techm Wahbaelrahman Hassan"/>
    <s v="Service Desk"/>
    <m/>
    <s v="Automated Resolution Reported"/>
    <m/>
    <s v="4-Minor/Localized"/>
    <s v="4-Low"/>
    <s v="Dubai"/>
    <s v="Desktop"/>
    <s v="Profile"/>
    <s v="Password reset(RE)"/>
    <d v="2026-02-19T19:23:53"/>
    <s v="No"/>
    <s v="Within the Service Target"/>
    <s v="Phone"/>
    <e v="#NAME?"/>
    <s v="Closed"/>
    <s v="No"/>
    <s v="Techm_WAHassan"/>
    <s v="Low"/>
    <s v="Desktop"/>
    <s v="Profile"/>
    <s v="Password Reset"/>
    <s v="Closed"/>
    <s v="V0033776"/>
    <m/>
    <m/>
    <n v="0"/>
    <s v="Standard"/>
    <s v="tmebs_aamoussa"/>
    <s v="Tmebs_Amr.Moussa@rta.ae"/>
  </r>
  <r>
    <s v="INC000001319032"/>
    <s v="User Service Restoration"/>
    <s v="Ead Rashid"/>
    <s v="Al Mutlk"/>
    <d v="2026-02-19T19:16:57"/>
    <s v="Buses"/>
    <s v="RTA"/>
    <x v="4"/>
    <s v="MS Excel Issue"/>
    <s v="Techm Wahbaelrahman Hassan"/>
    <s v="Service Desk"/>
    <m/>
    <s v="Automated Resolution Reported"/>
    <m/>
    <s v="3-Moderate/Limited"/>
    <s v="3-Medium"/>
    <s v="DEIRA -BUS STATION"/>
    <s v="Desktop"/>
    <s v="RTA Non standard application  Incidents"/>
    <s v="MS office professional"/>
    <d v="2026-02-19T19:21:56"/>
    <s v="No"/>
    <s v="Within the Service Target"/>
    <s v="Phone"/>
    <s v="- Repaired MS Office Online  - User has confirmed the solution; hence, ticket closed"/>
    <s v="Closed"/>
    <s v="No"/>
    <s v="Techm_WAHassan"/>
    <s v="Medium"/>
    <s v="Desktop"/>
    <s v="RTA Non standard application  Incidents"/>
    <s v="MS Office Professional"/>
    <s v="Closed"/>
    <n v="4868"/>
    <m/>
    <m/>
    <n v="0"/>
    <s v="Standard"/>
    <s v="eralmutlk"/>
    <s v="ead.almutlk@rta.ae"/>
  </r>
  <r>
    <s v="INC000001319022"/>
    <s v="User Service Request"/>
    <s v="Syed"/>
    <s v="Mohiuddin Afroz"/>
    <d v="2026-02-19T17:48:05"/>
    <s v="Traffic"/>
    <s v="RTA"/>
    <x v="2"/>
    <s v="User education"/>
    <s v="Techm Wahbaelrahman Hassan"/>
    <s v="Service Desk"/>
    <m/>
    <s v="Automated Resolution Reported"/>
    <m/>
    <s v="4-Minor/Localized"/>
    <s v="4-Low"/>
    <s v="RAS AL KHAIMAH SALIK"/>
    <s v="Desktop"/>
    <s v="User Education"/>
    <s v="User Education"/>
    <d v="2026-02-19T17:49:40"/>
    <s v="No"/>
    <s v="Within the Service Target"/>
    <s v="Phone"/>
    <s v="Assisted user with unlocking his account using self-service link successfully"/>
    <s v="Closed"/>
    <s v="No"/>
    <s v="Techm_WAHassan"/>
    <s v="Low"/>
    <s v="Desktop"/>
    <s v="User Education"/>
    <s v="User Education"/>
    <s v="Closed"/>
    <n v="3686"/>
    <m/>
    <m/>
    <n v="0"/>
    <s v="Standard"/>
    <s v="SMAfroz"/>
    <s v="Syed.Afroz@rta.ae"/>
  </r>
  <r>
    <s v="INC000001319018"/>
    <s v="User Service Request"/>
    <s v="Fatma"/>
    <s v="Almaqbali"/>
    <d v="2026-02-19T17:20:41"/>
    <s v="Intelligent Traffic System"/>
    <s v="RTA"/>
    <x v="2"/>
    <s v="CSC Alert : Scan Failure Detected -06022026-06"/>
    <s v="Techm Mazin Kinaish"/>
    <s v="OnSite  EUS"/>
    <m/>
    <s v="USER TO CONFIRM"/>
    <m/>
    <s v="4-Minor/Localized"/>
    <s v="4-Low"/>
    <s v="Dubai"/>
    <s v="Desktop"/>
    <s v="Proactive Monitoring"/>
    <s v="Proactive Action"/>
    <d v="2026-02-23T09:06:25"/>
    <s v="No"/>
    <s v="Within the Service Target"/>
    <s v="Email"/>
    <s v="Delete unwanted software's from control panel / empty recycle bin / disable windows search indexing   disable browser plug in / run registry cleaner   Remove old user's profiles from C drive   Shrink space from D drive and added to C drive   restart the machine"/>
    <s v="Resolved"/>
    <s v="No"/>
    <s v="Techm_WAHassan"/>
    <s v="Low"/>
    <s v="Desktop"/>
    <s v="Proactive Monitoring"/>
    <s v="Proactive Action"/>
    <s v="Resolved"/>
    <n v="12642"/>
    <m/>
    <m/>
    <n v="1"/>
    <s v="Standard"/>
    <s v="FRAlmaqbali"/>
    <s v="Fatma.Almaqbali@rta.ae"/>
  </r>
  <r>
    <s v="INC000001319016"/>
    <s v="User Service Request"/>
    <s v="Techvista Adnan"/>
    <s v="Ahmed"/>
    <d v="2026-02-19T17:11:19"/>
    <s v="Intelligent Traffic System"/>
    <s v="RTA"/>
    <x v="2"/>
    <s v="CSC Alert:VPN user (&quot;TECHVISTA_AAAHMED&quot;) access from outside the approved country-19022026-03"/>
    <s v="Techm Wahbaelrahman Hassan"/>
    <s v="Service Desk"/>
    <m/>
    <s v="USER TO CONFIRM"/>
    <m/>
    <s v="4-Minor/Localized"/>
    <s v="4-Low"/>
    <s v="Dubai"/>
    <s v="Desktop"/>
    <s v="Proactive Monitoring"/>
    <s v="Proactive Action"/>
    <d v="2026-02-25T13:26:56"/>
    <s v="No"/>
    <s v="Within the Service Target"/>
    <s v="Email"/>
    <s v="to be Closed as Duplicate with INC000001317730"/>
    <s v="Resolved"/>
    <s v="No"/>
    <s v="Techm_WAHassan"/>
    <s v="Low"/>
    <s v="Desktop"/>
    <s v="Proactive Monitoring"/>
    <s v="Proactive Action"/>
    <s v="Resolved"/>
    <s v="V003332"/>
    <m/>
    <m/>
    <n v="0"/>
    <s v="Standard"/>
    <s v="Techvista_AAAhmed"/>
    <s v="Techvista_Adnan.Ahmed@rta.ae"/>
  </r>
  <r>
    <s v="INC000001319014"/>
    <s v="User Service Restoration"/>
    <s v="Shamsa"/>
    <s v="Faraj"/>
    <d v="2026-02-19T17:09:57"/>
    <s v="Human Resources &amp; Development"/>
    <s v="RTA"/>
    <x v="0"/>
    <s v="Single Risk Event: machine RTA-CAS-HRD-130 infected with ACM.Rgsvr-CPE!g1, action Details pending"/>
    <s v="Ali Adam"/>
    <s v="OnSite  EUS"/>
    <m/>
    <s v="USER TO CONFIRM"/>
    <m/>
    <s v="1-Extensive/Widespread"/>
    <s v="1-Critical"/>
    <s v="Dubai"/>
    <s v="Desktop"/>
    <s v="Virus Issue"/>
    <s v="Virus issue"/>
    <d v="2026-02-23T12:32:58"/>
    <s v="No"/>
    <s v="Within the Service Target"/>
    <s v="Email"/>
    <s v="- Full scan completed and 0 file infected."/>
    <s v="Resolved"/>
    <s v="No"/>
    <s v="Techm_WAHassan"/>
    <s v="Critical"/>
    <s v="Desktop"/>
    <s v="Virus Issue"/>
    <s v="Virus issue"/>
    <s v="Resolved"/>
    <n v="14560"/>
    <m/>
    <m/>
    <n v="1"/>
    <s v="Standard"/>
    <s v="SMFaraj"/>
    <s v="Shamsa.Faraj@rta.ae"/>
  </r>
  <r>
    <s v="INC000001318997"/>
    <s v="User Service Request"/>
    <s v="Web Jet"/>
    <s v="Alert"/>
    <d v="2026-02-19T16:00:30"/>
    <s v="Information Technology"/>
    <s v="RTA"/>
    <x v="3"/>
    <s v="[HPWJA] Gray Ink Cartridge Supply Threshold HP Designjet T7200 HP Only, HP Only\Localy Con"/>
    <s v="Techm Omer Idris"/>
    <s v="OnSite  EUS"/>
    <m/>
    <s v="USER TO CONFIRM"/>
    <m/>
    <s v="4-Minor/Localized"/>
    <s v="4-Low"/>
    <s v="UMM RAMOOL NEW HQ 1A"/>
    <s v="Printer"/>
    <s v="Toner"/>
    <s v="Toner Request- Proactive Webjet"/>
    <d v="2026-02-25T11:22:05"/>
    <s v="No"/>
    <s v="Within the Service Target"/>
    <s v="Email"/>
    <s v="Gray Ink Cartridge has been replaced"/>
    <s v="Resolved"/>
    <s v="No"/>
    <s v="wja"/>
    <s v="Low"/>
    <s v="Printer"/>
    <s v="Toner"/>
    <s v="Toner Request- Proactive Webjet"/>
    <s v="Resolved"/>
    <m/>
    <m/>
    <n v="191742"/>
    <n v="6"/>
    <s v="Standard"/>
    <s v="wja"/>
    <s v="wja@rta.global"/>
  </r>
  <r>
    <s v="INC000001318996"/>
    <s v="User Service Request"/>
    <s v="Web Jet"/>
    <s v="Alert"/>
    <d v="2026-02-19T16:00:30"/>
    <s v="Information Technology"/>
    <s v="RTA"/>
    <x v="3"/>
    <s v="[HPWJA] Cyan Cartridge Supply Threshold HP Color LaserJet M553 HP Only, HP Only\Models\M55"/>
    <s v="Mohamed Nishad Usman"/>
    <s v="OnSite  EUS"/>
    <m/>
    <s v="Customer Follow-Up Required"/>
    <m/>
    <s v="4-Minor/Localized"/>
    <s v="4-Low"/>
    <s v="UMM RAMOOL NEW HQ 1A"/>
    <s v="Printer"/>
    <s v="Toner"/>
    <s v="Toner Request- Proactive Webjet"/>
    <d v="2026-02-23T08:42:33"/>
    <s v="No"/>
    <s v="Within the Service Target"/>
    <s v="Email"/>
    <s v="Duplicate Ticket INC000001318998"/>
    <s v="Resolved"/>
    <s v="No"/>
    <s v="wja"/>
    <s v="Low"/>
    <s v="Printer"/>
    <s v="Toner"/>
    <s v="Toner Request- Proactive Webjet"/>
    <s v="Resolved"/>
    <m/>
    <m/>
    <m/>
    <n v="4"/>
    <s v="Standard"/>
    <s v="wja"/>
    <s v="wja@rta.global"/>
  </r>
  <r>
    <s v="INC000001318972"/>
    <s v="User Service Request"/>
    <s v="Amal"/>
    <s v="Suliman"/>
    <d v="2026-02-19T14:59:35"/>
    <s v="Development &amp; Corporate Performance"/>
    <s v="RTA"/>
    <x v="1"/>
    <s v="User Education"/>
    <s v="Techm Ghaya Hamad"/>
    <s v="Service Desk"/>
    <m/>
    <s v="Automated Resolution Reported"/>
    <m/>
    <s v="4-Minor/Localized"/>
    <s v="4-Low"/>
    <s v="UMM RAMOOL NEW HQ 5C -LICENSING CEO OFFICE  and  LICENSING Q"/>
    <s v="Desktop"/>
    <s v="User Education"/>
    <s v="User Education"/>
    <d v="2026-02-19T15:00:40"/>
    <s v="No"/>
    <s v="Within the Service Target"/>
    <s v="Phone"/>
    <s v="Reset password has been done from SelfService"/>
    <s v="Closed"/>
    <s v="No"/>
    <s v="Techm_GAHamad"/>
    <s v="Low"/>
    <s v="Desktop"/>
    <s v="User Education"/>
    <s v="User Education"/>
    <s v="Closed"/>
    <n v="2850"/>
    <m/>
    <m/>
    <n v="0"/>
    <s v="Standard"/>
    <s v="aasuliman"/>
    <s v="Amal.Suliman@rta.ae"/>
  </r>
  <r>
    <s v="INC000001318970"/>
    <s v="User Service Request"/>
    <s v="Syed"/>
    <s v="Ali"/>
    <d v="2026-02-19T14:57:31"/>
    <s v="Information Technology"/>
    <s v="RTA"/>
    <x v="3"/>
    <s v="Update Power Bi Desktop Request"/>
    <s v="Techm Ghaya Hamad"/>
    <s v="Service Desk"/>
    <m/>
    <s v="Automated Resolution Reported"/>
    <m/>
    <s v="4-Minor/Localized"/>
    <s v="4-Low"/>
    <m/>
    <s v="Desktop"/>
    <s v="RTA Non standard application  Request"/>
    <s v="Non-listed Application/Software"/>
    <d v="2026-02-19T15:01:16"/>
    <s v="No"/>
    <s v="Within the Service Target"/>
    <s v="Phone"/>
    <s v="Power Bi Desktop has been updated"/>
    <s v="Closed"/>
    <s v="No"/>
    <s v="Techm_GAHamad"/>
    <s v="Low"/>
    <s v="Desktop"/>
    <s v="RTA Non standard application  Request"/>
    <s v="Non-listed Application/Software"/>
    <s v="Closed"/>
    <n v="10670"/>
    <m/>
    <m/>
    <n v="0"/>
    <s v="Standard"/>
    <s v="saali"/>
    <s v="Syed.AAli@rta.ae"/>
  </r>
  <r>
    <s v="INC000001318967"/>
    <s v="User Service Request"/>
    <s v="Alia"/>
    <s v="Almarzooqi"/>
    <d v="2026-02-19T14:49:42"/>
    <s v="Finance"/>
    <s v="RTA"/>
    <x v="0"/>
    <s v="VPN Request"/>
    <s v="Aryam Juma Mohammad Albasata Albasata"/>
    <s v="Service Desk"/>
    <m/>
    <s v="Automated Resolution Reported"/>
    <m/>
    <s v="4-Minor/Localized"/>
    <s v="4-Low"/>
    <s v="Dubai"/>
    <s v="Desktop"/>
    <s v="Configuration"/>
    <s v="VPN Configuration"/>
    <d v="2026-02-19T14:51:58"/>
    <s v="No"/>
    <s v="Within the Service Target"/>
    <s v="Phone"/>
    <s v="configured vpn for the user successfully"/>
    <s v="Closed"/>
    <s v="No"/>
    <s v="techm_ajalbasata"/>
    <s v="Low"/>
    <s v="Desktop"/>
    <s v="Configuration"/>
    <s v="VPN Configuration"/>
    <s v="Closed"/>
    <n v="15951"/>
    <m/>
    <m/>
    <n v="0"/>
    <s v="Standard"/>
    <s v="aabalmarzooqi"/>
    <s v="Alia.Almarzooqi@rta.ae"/>
  </r>
  <r>
    <s v="INC000001318941"/>
    <s v="User Service Request"/>
    <s v="Andrea"/>
    <s v="Ladisla"/>
    <d v="2026-02-19T14:13:57"/>
    <s v="Rail Planning &amp; Projects Development"/>
    <s v="RTA"/>
    <x v="6"/>
    <s v="Software Installing Request"/>
    <s v="Techm Ghaya Hamad"/>
    <s v="Service Desk"/>
    <m/>
    <s v="USER TO CONFIRM"/>
    <m/>
    <s v="4-Minor/Localized"/>
    <s v="4-Low"/>
    <s v="Dubai"/>
    <s v="Incident"/>
    <s v="Self-service"/>
    <s v="Mendix"/>
    <d v="2026-02-23T11:25:41"/>
    <s v="No"/>
    <s v="Within the Service Target"/>
    <s v="Self Service"/>
    <s v="Email from SMD -Unfortunately, OneDrive is not approved service within RTA as of now"/>
    <s v="Resolved"/>
    <s v="No"/>
    <s v="mendix"/>
    <s v="Low"/>
    <s v="Desktop"/>
    <s v="RTA Non standard application  Request"/>
    <s v="Non-listed Application/Software"/>
    <s v="Resolved"/>
    <n v="15947"/>
    <m/>
    <m/>
    <n v="6"/>
    <s v="Standard"/>
    <s v="apladisla"/>
    <s v="Andrea.Ladisla@rta.ae"/>
  </r>
  <r>
    <s v="INC000001318935"/>
    <s v="User Service Request"/>
    <s v="Ali"/>
    <s v="Bahrani"/>
    <d v="2026-02-19T14:00:15"/>
    <s v="Parking"/>
    <s v="RTA"/>
    <x v="2"/>
    <s v="User Education"/>
    <s v="Techm Ghaya Hamad"/>
    <s v="Service Desk"/>
    <m/>
    <s v="Automated Resolution Reported"/>
    <m/>
    <s v="4-Minor/Localized"/>
    <s v="4-Low"/>
    <m/>
    <s v="Desktop"/>
    <s v="User Education"/>
    <s v="User Education"/>
    <d v="2026-02-19T15:00:23"/>
    <s v="No"/>
    <s v="Within the Service Target"/>
    <s v="Phone"/>
    <s v="Reset password has been done from SelfService"/>
    <s v="Closed"/>
    <s v="No"/>
    <s v="Techm_GAHamad"/>
    <s v="Low"/>
    <s v="Desktop"/>
    <s v="User Education"/>
    <s v="User Education"/>
    <s v="Closed"/>
    <n v="6353"/>
    <m/>
    <m/>
    <n v="0"/>
    <s v="Standard"/>
    <s v="AAAlBahrani"/>
    <s v="Ali.Albahrani@rta.ae"/>
  </r>
  <r>
    <s v="INC000001318918"/>
    <s v="User Service Restoration"/>
    <s v="Hossam"/>
    <s v="Soliman"/>
    <d v="2026-02-19T13:31:32"/>
    <s v="Rail Right Of Way"/>
    <s v="RTA"/>
    <x v="6"/>
    <s v="Unlock account Issue"/>
    <s v="Techm Ghaya Hamad"/>
    <s v="Service Desk"/>
    <m/>
    <s v="Automated Resolution Reported"/>
    <m/>
    <s v="3-Moderate/Limited"/>
    <s v="3-Medium"/>
    <m/>
    <s v="Desktop"/>
    <s v="Profile"/>
    <s v="Account Lock Out"/>
    <d v="2026-02-19T13:33:54"/>
    <s v="No"/>
    <s v="Within the Service Target"/>
    <s v="Phone"/>
    <s v="Unlock account has been done.  Account is getting locked from email service"/>
    <s v="Closed"/>
    <s v="No"/>
    <s v="Techm_GAHamad"/>
    <s v="Medium"/>
    <s v="Desktop"/>
    <s v="Profile"/>
    <s v="Account Lock Out"/>
    <s v="Closed"/>
    <n v="15831"/>
    <m/>
    <m/>
    <n v="0"/>
    <s v="Standard"/>
    <s v="hasoliman"/>
    <s v="Hossam.Soliman@rta.ae"/>
  </r>
  <r>
    <s v="INC000001318894"/>
    <s v="User Service Request"/>
    <s v="Hamda"/>
    <s v="Alketbi"/>
    <d v="2026-02-19T13:11:35"/>
    <s v="Smart Services"/>
    <s v="RTA"/>
    <x v="3"/>
    <s v="VPN Configuration Request"/>
    <s v="Zain Alabedein Skheih"/>
    <s v="Service Desk"/>
    <m/>
    <s v="Automated Resolution Reported"/>
    <m/>
    <s v="4-Minor/Localized"/>
    <s v="4-Low"/>
    <s v="Dubai"/>
    <s v="Desktop"/>
    <s v="Configuration"/>
    <s v="VPN Configuration"/>
    <d v="2026-02-19T13:12:27"/>
    <s v="No"/>
    <s v="Within the Service Target"/>
    <s v="Phone"/>
    <s v="We did the configuration successfully and it is successfully connected."/>
    <s v="Closed"/>
    <s v="No"/>
    <s v="techm_ziskheih"/>
    <s v="Low"/>
    <s v="Desktop"/>
    <s v="Configuration"/>
    <s v="VPN Configuration"/>
    <s v="Closed"/>
    <n v="15254"/>
    <m/>
    <m/>
    <n v="0"/>
    <s v="Standard"/>
    <s v="hsalketbi"/>
    <s v="Hamda.Alketbi@rta.ae"/>
  </r>
  <r>
    <s v="INC000001318850"/>
    <s v="User Service Request"/>
    <s v="Avaya Tarek Salama"/>
    <s v="Mohamed Khedr"/>
    <d v="2026-02-19T12:51:53"/>
    <s v="Customer Happiness"/>
    <s v="RTA"/>
    <x v="0"/>
    <s v="Hardware Upgrade"/>
    <s v="Mohamed Mustaq Ali"/>
    <s v="OnSite  EUS"/>
    <m/>
    <s v="USER TO CONFIRM"/>
    <m/>
    <s v="4-Minor/Localized"/>
    <s v="4-Low"/>
    <s v="Dubai"/>
    <s v="Incident"/>
    <s v="Self-service"/>
    <s v="Mendix"/>
    <d v="2026-02-25T11:34:06"/>
    <s v="No"/>
    <s v="Within the Service Target"/>
    <s v="Self Service"/>
    <s v="Cleaned the temp files, disk cleanup, and clear the cache files and restarted the device and working normal."/>
    <s v="Resolved"/>
    <s v="No"/>
    <s v="mendix"/>
    <s v="Low"/>
    <s v="Desktop"/>
    <s v="OS Issue"/>
    <s v="PC Slowness Issue"/>
    <s v="Resolved"/>
    <s v="V00969"/>
    <m/>
    <m/>
    <n v="2"/>
    <s v="Standard"/>
    <s v="Avaya_TMMohamedkhedr"/>
    <s v="Avaya_Tareksalama.Mohamedkhedr@rta.ae"/>
  </r>
  <r>
    <s v="INC000001318835"/>
    <s v="User Service Request"/>
    <s v="Fahad"/>
    <s v="Aljaziri"/>
    <d v="2026-02-19T12:46:49"/>
    <s v="Roads &amp; Facilities Maintenance"/>
    <s v="RTA"/>
    <x v="2"/>
    <s v="Guide user to reset the Password through Self services portal."/>
    <s v="Techm Hussein Aljayeh"/>
    <s v="Service Desk"/>
    <m/>
    <s v="Automated Resolution Reported"/>
    <m/>
    <s v="4-Minor/Localized"/>
    <s v="4-Low"/>
    <s v="UMM RAMOOL - G+2 BUILDING"/>
    <s v="Desktop"/>
    <s v="User Education"/>
    <s v="User Education"/>
    <d v="2026-02-19T13:08:46"/>
    <s v="No"/>
    <s v="Within the Service Target"/>
    <s v="Email"/>
    <s v="Guide user to reset the Password through Self services portal."/>
    <s v="Closed"/>
    <s v="No"/>
    <s v="Techm_HHAljayeh"/>
    <s v="Low"/>
    <s v="Desktop"/>
    <s v="User Education"/>
    <s v="User Education"/>
    <s v="Closed"/>
    <n v="6054"/>
    <m/>
    <m/>
    <n v="0"/>
    <s v="Standard"/>
    <s v="faaljaziri"/>
    <s v="Fahad.Aljaziri@rta.ae"/>
  </r>
  <r>
    <s v="INC000001318825"/>
    <s v="User Service Request"/>
    <s v="Haneen"/>
    <s v="Musleh"/>
    <d v="2026-02-19T12:35:08"/>
    <s v="Strategic Planning"/>
    <s v="RTA"/>
    <x v="1"/>
    <s v="Unlock VPN (Trans_HAMusleh)"/>
    <s v="Techm Hussein Aljayeh"/>
    <s v="Service Desk"/>
    <m/>
    <s v="Automated Resolution Reported"/>
    <m/>
    <s v="4-Minor/Localized"/>
    <s v="4-Low"/>
    <s v="Dubai"/>
    <s v="Desktop"/>
    <s v="Profile"/>
    <s v="Account Lock Out"/>
    <d v="2026-02-19T13:08:08"/>
    <s v="No"/>
    <s v="Within the Service Target"/>
    <s v="Phone"/>
    <s v="User Account has been unlocked"/>
    <s v="Closed"/>
    <s v="No"/>
    <s v="Techm_HHAljayeh"/>
    <s v="Low"/>
    <s v="Desktop"/>
    <s v="Profile"/>
    <s v="Account Lock Out"/>
    <s v="Closed"/>
    <s v="V004239"/>
    <m/>
    <m/>
    <n v="0"/>
    <s v="Standard"/>
    <s v="Trans_HAMusleh"/>
    <s v="Trans_Haneen.Musleh@rta.ae"/>
  </r>
  <r>
    <s v="INC000001318815"/>
    <s v="User Service Request"/>
    <s v="Hassan"/>
    <s v="Alzidi"/>
    <d v="2026-02-19T12:25:00"/>
    <s v="Commercial Transport Activities"/>
    <s v="RTA"/>
    <x v="7"/>
    <s v="Profile Configuration Request"/>
    <s v="Mohamed Alajlani"/>
    <s v="Service Desk"/>
    <m/>
    <s v="Automated Resolution Reported"/>
    <m/>
    <s v="4-Minor/Localized"/>
    <s v="4-Low"/>
    <s v="Dubai"/>
    <s v="Desktop"/>
    <s v="Configuration"/>
    <s v="Profile Configuration"/>
    <d v="2026-02-19T12:37:10"/>
    <s v="No"/>
    <s v="Within the Service Target"/>
    <s v="Phone"/>
    <s v="The request has been completed after copying the data from the old profile to the new one. The user was guided to raise an email restoration request to retrieve all emails from the old account to the new account."/>
    <s v="Closed"/>
    <s v="No"/>
    <s v="techm_myalajlani"/>
    <s v="Low"/>
    <s v="Desktop"/>
    <s v="Configuration"/>
    <s v="Profile Configuration"/>
    <s v="Closed"/>
    <s v="V0033799"/>
    <m/>
    <m/>
    <n v="0"/>
    <s v="Standard"/>
    <s v="tms_haalzidi"/>
    <s v="Tms_Hassan.Alzidi@rta.ae"/>
  </r>
  <r>
    <s v="INC000001318801"/>
    <s v="User Service Request"/>
    <s v="Fatma"/>
    <s v="Ahli"/>
    <d v="2026-02-19T12:54:45"/>
    <s v="Customer Happiness"/>
    <s v="RTA"/>
    <x v="0"/>
    <s v="Password reset Request - New Joiner"/>
    <s v="Mohamed Siragelnour"/>
    <s v="Service Desk"/>
    <m/>
    <s v="Automated Resolution Reported"/>
    <m/>
    <s v="4-Minor/Localized"/>
    <s v="4-Low"/>
    <s v="Dubai"/>
    <s v="Desktop"/>
    <s v="Profile"/>
    <s v="Password reset(RE)"/>
    <d v="2026-02-19T13:44:15"/>
    <s v="No"/>
    <s v="Within the Service Target"/>
    <s v="Phone"/>
    <s v="User is unable to reset password via self-service, password has been reset and shared privately"/>
    <s v="Closed"/>
    <s v="No"/>
    <s v="techm_mbsiragelnour"/>
    <s v="Low"/>
    <s v="Desktop"/>
    <s v="Profile"/>
    <s v="Password Reset"/>
    <s v="Closed"/>
    <n v="15978"/>
    <m/>
    <m/>
    <n v="0"/>
    <s v="Standard"/>
    <s v="falahli"/>
    <s v="Fatma.AlAhli@rta.ae"/>
  </r>
  <r>
    <s v="INC000001318794"/>
    <s v="User Service Restoration"/>
    <s v="Asma"/>
    <s v="Alshirawy"/>
    <d v="2026-02-19T11:58:51"/>
    <s v="Finance"/>
    <s v="RTA"/>
    <x v="0"/>
    <s v="RTA Intranet and webistes issue"/>
    <s v="Zain Alabedein Skheih"/>
    <s v="Service Desk"/>
    <m/>
    <s v="Automated Resolution Reported"/>
    <m/>
    <s v="3-Moderate/Limited"/>
    <s v="3-Medium"/>
    <s v="UMM RAMOOL NEW HQ 2B"/>
    <s v="Desktop"/>
    <s v="RTA Standard application Incidents"/>
    <s v="MS Edge"/>
    <d v="2026-02-19T12:00:25"/>
    <s v="No"/>
    <s v="Within the Service Target"/>
    <s v="Phone"/>
    <e v="#NAME?"/>
    <s v="Closed"/>
    <s v="No"/>
    <s v="techm_ziskheih"/>
    <s v="Medium"/>
    <s v="Desktop"/>
    <s v="RTA Standard application Incidents"/>
    <s v="MS Edge"/>
    <s v="Closed"/>
    <n v="12713"/>
    <m/>
    <m/>
    <n v="0"/>
    <s v="Standard"/>
    <s v="AEAlshirawy"/>
    <s v="Asma.Alshirawy@rta.ae"/>
  </r>
  <r>
    <s v="INC000001318789"/>
    <s v="User Service Request"/>
    <s v="Hiral"/>
    <s v="Bharadia"/>
    <d v="2026-02-19T11:52:54"/>
    <s v="Transportation Systems"/>
    <s v="RTA"/>
    <x v="4"/>
    <s v="VPN Access"/>
    <s v="Techm Ghaya Hamad"/>
    <s v="Service Desk"/>
    <m/>
    <s v="Automated Resolution Reported"/>
    <m/>
    <s v="4-Minor/Localized"/>
    <s v="4-Low"/>
    <s v="Dubai"/>
    <s v="Incident"/>
    <s v="Self-service"/>
    <s v="Mendix"/>
    <d v="2026-02-19T13:43:26"/>
    <s v="No"/>
    <s v="Within the Service Target"/>
    <s v="Self Service"/>
    <s v="Configured VPN successfully through LogMeIn"/>
    <s v="Closed"/>
    <s v="No"/>
    <s v="mendix"/>
    <s v="Low"/>
    <s v="Security"/>
    <s v="VPN"/>
    <s v="New VPN Access"/>
    <s v="Closed"/>
    <s v="V0032080"/>
    <m/>
    <m/>
    <n v="2"/>
    <s v="Standard"/>
    <s v="okool_hjbharadia"/>
    <s v="Okool_Hiral.Bharadia@rta.ae"/>
  </r>
  <r>
    <s v="INC000001318788"/>
    <s v="User Service Restoration"/>
    <s v="Yasmin"/>
    <s v="Almushrakh"/>
    <d v="2026-02-19T11:54:53"/>
    <s v="Human Resources &amp; Development"/>
    <s v="RTA"/>
    <x v="0"/>
    <s v="Adobe Acrobat Pro Issue"/>
    <s v="Zain Alabedein Skheih"/>
    <s v="Service Desk"/>
    <m/>
    <s v="Automated Resolution Reported"/>
    <m/>
    <s v="3-Moderate/Limited"/>
    <s v="3-Medium"/>
    <s v="Dubai"/>
    <s v="Desktop"/>
    <s v="RTA Non standard application  Incidents"/>
    <s v="Adobe Acrobat Professional"/>
    <d v="2026-02-19T11:56:47"/>
    <s v="No"/>
    <s v="Within the Service Target"/>
    <s v="Phone"/>
    <s v="we guided the user on how to reset the Adobe Acrobat Pro password and then the issue got solved."/>
    <s v="Closed"/>
    <s v="No"/>
    <s v="techm_ziskheih"/>
    <s v="Medium"/>
    <s v="Desktop"/>
    <s v="RTA Non standard application  Incidents"/>
    <s v="Adobe Acrobat Professional"/>
    <s v="Closed"/>
    <n v="12733"/>
    <m/>
    <m/>
    <n v="0"/>
    <s v="Standard"/>
    <s v="YKAlmushrakh"/>
    <s v="Yasmin.Almushrakh@rta.ae"/>
  </r>
  <r>
    <s v="INC000001318784"/>
    <s v="User Service Restoration"/>
    <s v="Amna"/>
    <s v="Mohammed"/>
    <d v="2026-02-19T11:44:35"/>
    <s v="Dubai Traffic &amp; Roads CEO"/>
    <s v="RTA"/>
    <x v="2"/>
    <s v="RTAWLAN Connecting Issue"/>
    <s v="Zain Alabedein Skheih"/>
    <s v="Service Desk"/>
    <m/>
    <s v="Automated Resolution Reported"/>
    <m/>
    <s v="3-Moderate/Limited"/>
    <s v="3-Medium"/>
    <s v="UMM RAMOOL NEW HQ 7B"/>
    <s v="Desktop"/>
    <s v="Login Issue"/>
    <s v="Wrong Credentials"/>
    <d v="2026-02-19T11:51:42"/>
    <s v="No"/>
    <s v="Within the Service Target"/>
    <s v="Phone"/>
    <e v="#NAME?"/>
    <s v="Closed"/>
    <s v="No"/>
    <s v="techm_ziskheih"/>
    <s v="Medium"/>
    <s v="Desktop"/>
    <s v="Login Issue"/>
    <s v="Wrong Credentials"/>
    <s v="Closed"/>
    <n v="11148"/>
    <m/>
    <m/>
    <n v="1"/>
    <s v="Standard"/>
    <s v="aamohammed"/>
    <s v="Amna.AMohammed@rta.ae"/>
  </r>
  <r>
    <s v="INC000001318775"/>
    <s v="User Service Request"/>
    <s v="Shabeer"/>
    <s v="Madathodi"/>
    <d v="2026-02-19T11:41:11"/>
    <s v="Administration Services"/>
    <s v="RTA"/>
    <x v="0"/>
    <s v="Reset smart employee account Request"/>
    <s v="Techm Ghaya Hamad"/>
    <s v="Service Desk"/>
    <m/>
    <s v="Automated Resolution Reported"/>
    <m/>
    <s v="4-Minor/Localized"/>
    <s v="4-Low"/>
    <m/>
    <s v="Application"/>
    <s v="Application Services"/>
    <s v="Application Modification / Enhancement Request"/>
    <d v="2026-02-19T14:15:26"/>
    <s v="No"/>
    <s v="Within the Service Target"/>
    <s v="Phone"/>
    <s v="Reset has been done so user will be able to punch from the new device"/>
    <s v="Closed"/>
    <s v="No"/>
    <s v="Techm_GAHamad"/>
    <s v="Low"/>
    <s v="Application"/>
    <s v="Application Services"/>
    <s v="Application Modification / Enhancement Request"/>
    <s v="Closed"/>
    <n v="12460"/>
    <m/>
    <m/>
    <n v="2"/>
    <s v="Standard"/>
    <s v="Samadathodi"/>
    <s v="Shabeer.Madathodi@rta.ae"/>
  </r>
  <r>
    <s v="INC000001318764"/>
    <s v="User Service Request"/>
    <s v="Yosra"/>
    <s v="Ali Saleh Ali"/>
    <d v="2026-02-19T11:32:32"/>
    <s v="Roads"/>
    <s v="RTA"/>
    <x v="2"/>
    <s v="unlock account request"/>
    <s v="Techm Hussein Aljayeh"/>
    <s v="Service Desk"/>
    <m/>
    <s v="Automated Resolution Reported"/>
    <m/>
    <s v="4-Minor/Localized"/>
    <s v="4-Low"/>
    <s v="UMM RAMOOL - NEW HQ"/>
    <s v="Desktop"/>
    <s v="Profile"/>
    <s v="Account Lock Out"/>
    <d v="2026-02-19T11:33:03"/>
    <s v="No"/>
    <s v="Within the Service Target"/>
    <s v="Phone"/>
    <s v="User Account has been unlocked"/>
    <s v="Closed"/>
    <s v="No"/>
    <s v="Techm_HHAljayeh"/>
    <s v="Low"/>
    <s v="Desktop"/>
    <s v="Profile"/>
    <s v="Account Lock Out"/>
    <s v="Closed"/>
    <n v="487"/>
    <m/>
    <m/>
    <n v="0"/>
    <s v="Standard"/>
    <s v="YAAli"/>
    <s v="Yosra.Ali@rta.ae"/>
  </r>
  <r>
    <s v="INC000001318758"/>
    <s v="User Service Request"/>
    <s v="Avaya Maimoona"/>
    <s v="Baloch"/>
    <d v="2026-02-19T11:29:23"/>
    <s v="Customer Happiness"/>
    <s v="RTA"/>
    <x v="0"/>
    <s v="user was not able to edit in word"/>
    <s v="Aryam Juma Mohammad Albasata Albasata"/>
    <s v="Service Desk"/>
    <m/>
    <s v="Automated Resolution Reported"/>
    <m/>
    <s v="4-Minor/Localized"/>
    <s v="4-Low"/>
    <s v="Dubai"/>
    <s v="Desktop"/>
    <s v="RTA Non standard application  Request"/>
    <s v="MS office professional(RE)"/>
    <d v="2026-02-19T11:29:46"/>
    <s v="No"/>
    <s v="Within the Service Target"/>
    <s v="Phone"/>
    <s v="update the licene and sign in again"/>
    <s v="Closed"/>
    <s v="No"/>
    <s v="techm_ajalbasata"/>
    <s v="Low"/>
    <s v="Desktop"/>
    <s v="RTA Non standard application  Request"/>
    <s v="MS Office 2013 Professional"/>
    <s v="Closed"/>
    <s v="V006650"/>
    <m/>
    <m/>
    <n v="0"/>
    <s v="Standard"/>
    <s v="Avaya_MMBaloch"/>
    <s v="Avaya_Maimoona.Baloch@rta.ae"/>
  </r>
  <r>
    <s v="INC000001318756"/>
    <s v="User Service Request"/>
    <s v="Hussein"/>
    <s v="Suleiman"/>
    <d v="2026-02-19T11:27:25"/>
    <s v="Administration Services"/>
    <s v="RTA"/>
    <x v="0"/>
    <s v="Hardware Replacement"/>
    <s v="Solaiman Alhussni"/>
    <s v="OnSite  EUS"/>
    <m/>
    <s v="USER TO CONFIRM"/>
    <m/>
    <s v="4-Minor/Localized"/>
    <s v="4-Low"/>
    <s v="Dubai"/>
    <s v="Incident"/>
    <s v="Self-service"/>
    <s v="Mendix"/>
    <d v="2026-02-24T10:32:21"/>
    <s v="No"/>
    <s v="Within the Service Target"/>
    <s v="Self Service"/>
    <s v="we have reviewed the details with the IT Asset team. current laptop is 3 years and 8 months old. As per the ITD policy, devices are eligible for replacement after 5 years of use. the current laptop has been fixed by changing the battery and repaired the screen edge"/>
    <s v="Resolved"/>
    <s v="No"/>
    <s v="mendix"/>
    <s v="Low"/>
    <s v="Desktop"/>
    <s v="Replacement"/>
    <s v="Laptop Replacement With Laptop"/>
    <s v="Resolved"/>
    <n v="14581"/>
    <m/>
    <m/>
    <n v="4"/>
    <s v="Standard"/>
    <s v="HASuleiman"/>
    <s v="Hussein.Suleiman@rta.ae"/>
  </r>
  <r>
    <s v="INC000001318740"/>
    <s v="User Service Restoration"/>
    <s v="Carmelito"/>
    <s v="Canete"/>
    <d v="2026-02-19T11:16:39"/>
    <s v="Maintenance &amp; Services"/>
    <s v="RTA"/>
    <x v="4"/>
    <s v="Scanner Issue"/>
    <s v="Techm Mazin Kinaish"/>
    <s v="OnSite  EUS"/>
    <m/>
    <s v="Automated Resolution Reported"/>
    <m/>
    <s v="3-Moderate/Limited"/>
    <s v="3-Medium"/>
    <s v="Dubai"/>
    <s v="Incident"/>
    <s v="Self-service"/>
    <s v="Mendix"/>
    <d v="2026-02-19T12:03:10"/>
    <s v="No"/>
    <s v="Within the Service Target"/>
    <s v="Self Service"/>
    <s v="Helping user throw phone to change lock to  (on) from back side   Restart the scanner , tested by user working fine"/>
    <s v="Closed"/>
    <s v="No"/>
    <s v="mendix"/>
    <s v="Medium"/>
    <s v="Scanner"/>
    <s v="Configuration"/>
    <s v="N/W Scanner Issues"/>
    <s v="Closed"/>
    <n v="11298"/>
    <m/>
    <m/>
    <n v="2"/>
    <s v="Standard"/>
    <s v="Clcanete"/>
    <s v="Carmelito.Canete@rta.ae"/>
  </r>
  <r>
    <s v="INC000001318734"/>
    <s v="User Service Restoration"/>
    <s v="Yasmin"/>
    <s v="Almushrakh"/>
    <d v="2026-02-19T11:09:19"/>
    <s v="Human Resources &amp; Development"/>
    <s v="RTA"/>
    <x v="0"/>
    <s v="Outlook Issue"/>
    <s v="Zain Alabedein Skheih"/>
    <s v="Service Desk"/>
    <m/>
    <s v="Automated Resolution Reported"/>
    <m/>
    <s v="3-Moderate/Limited"/>
    <s v="3-Medium"/>
    <s v="Dubai"/>
    <s v="Desktop"/>
    <s v="Mail Box Issue"/>
    <s v="Login Issue"/>
    <d v="2026-02-19T11:11:30"/>
    <s v="No"/>
    <s v="Within the Service Target"/>
    <s v="Phone"/>
    <e v="#NAME?"/>
    <s v="Closed"/>
    <s v="No"/>
    <s v="techm_ziskheih"/>
    <s v="Medium"/>
    <s v="Desktop"/>
    <s v="Mail Box Issue"/>
    <s v="Login Issue"/>
    <s v="Closed"/>
    <n v="12733"/>
    <m/>
    <m/>
    <n v="0"/>
    <s v="Standard"/>
    <s v="YKAlmushrakh"/>
    <s v="Yasmin.Almushrakh@rta.ae"/>
  </r>
  <r>
    <s v="INC000001318731"/>
    <s v="User Service Request"/>
    <s v="Nour"/>
    <s v="Ibrahim"/>
    <d v="2026-02-19T11:19:47"/>
    <s v="Right Of Way"/>
    <s v="RTA"/>
    <x v="2"/>
    <s v="Request to enable the Right Shift + Alt keyboard shortcut for changing language."/>
    <s v="Mohamed Alajlani"/>
    <s v="Service Desk"/>
    <m/>
    <s v="Automated Resolution Reported"/>
    <m/>
    <s v="4-Minor/Localized"/>
    <s v="4-Low"/>
    <s v="Dubai"/>
    <s v="Desktop"/>
    <s v="Configuration"/>
    <s v="Profile Configuration"/>
    <d v="2026-02-19T11:44:58"/>
    <s v="No"/>
    <s v="Within the Service Target"/>
    <s v="Phone"/>
    <s v="The request has been completed after modifying the registry key."/>
    <s v="Closed"/>
    <s v="No"/>
    <s v="techm_myalajlani"/>
    <s v="Low"/>
    <s v="Desktop"/>
    <s v="Configuration"/>
    <s v="Profile Configuration"/>
    <s v="Closed"/>
    <s v="V0032492"/>
    <m/>
    <m/>
    <n v="0"/>
    <s v="Standard"/>
    <s v="trans_niibrahim"/>
    <s v="Trans_Nour.Ibrahim@rta.ae"/>
  </r>
  <r>
    <s v="INC000001318729"/>
    <s v="User Service Request"/>
    <s v="Amar"/>
    <s v="Tewari"/>
    <d v="2026-02-19T11:02:38"/>
    <s v="Information Technology"/>
    <s v="RTA"/>
    <x v="3"/>
    <s v="unlock account request"/>
    <s v="Techm Hussein Aljayeh"/>
    <s v="Service Desk"/>
    <m/>
    <s v="Automated Resolution Reported"/>
    <m/>
    <s v="4-Minor/Localized"/>
    <s v="4-Low"/>
    <s v="Dubai"/>
    <s v="Desktop"/>
    <s v="Profile"/>
    <s v="Account Lock Out"/>
    <d v="2026-02-19T11:08:51"/>
    <s v="No"/>
    <s v="Within the Service Target"/>
    <s v="Phone"/>
    <s v="User Account has been unlocked"/>
    <s v="Closed"/>
    <s v="No"/>
    <s v="Techm_HHAljayeh"/>
    <s v="Low"/>
    <s v="Desktop"/>
    <s v="Profile"/>
    <s v="Account Lock Out"/>
    <s v="Closed"/>
    <n v="15898"/>
    <m/>
    <m/>
    <n v="0"/>
    <s v="Standard"/>
    <s v="antewari"/>
    <s v="Amar.Tewari@rta.ae"/>
  </r>
  <r>
    <s v="INC000001318725"/>
    <s v="User Service Request"/>
    <s v="Majida"/>
    <s v="Naqi"/>
    <d v="2026-02-19T11:04:31"/>
    <s v="Commercial Transport Activities"/>
    <s v="RTA"/>
    <x v="7"/>
    <s v="Asset collection for the resigned user."/>
    <s v="Ismael Ismael"/>
    <s v="Service Desk"/>
    <m/>
    <s v="Automated Resolution Reported"/>
    <m/>
    <s v="4-Minor/Localized"/>
    <s v="4-Low"/>
    <s v="UMM RAMOOL NEW HQ 2C - MARKETING AND CORPORATE COMMUNICATION"/>
    <s v="Desktop"/>
    <s v="Asset collection"/>
    <s v="Asset collection"/>
    <d v="2026-02-19T11:10:34"/>
    <s v="No"/>
    <s v="Within the Service Target"/>
    <s v="Email"/>
    <s v="request will be closed as it's duplicated with ticket No. INC000001314439"/>
    <s v="Closed"/>
    <s v="No"/>
    <s v="techm_iaismael"/>
    <s v="Low"/>
    <s v="Desktop"/>
    <s v="Asset Collection"/>
    <s v="Asset Collection"/>
    <s v="Closed"/>
    <n v="10855"/>
    <m/>
    <m/>
    <n v="2"/>
    <s v="Sensitive"/>
    <s v="mmnaqi"/>
    <s v="Majida.Naqi@rta.ae"/>
  </r>
  <r>
    <s v="INC000001318716"/>
    <s v="User Service Request"/>
    <s v="Maitha"/>
    <s v="Sanqoor"/>
    <d v="2026-02-19T10:58:24"/>
    <s v="Customer Happiness"/>
    <s v="RTA"/>
    <x v="0"/>
    <s v="Oracle configuration request &quot;Automation&quot;"/>
    <s v="Zain Alabedein Skheih"/>
    <s v="Service Desk"/>
    <m/>
    <s v="Automated Resolution Reported"/>
    <m/>
    <s v="4-Minor/Localized"/>
    <s v="4-Low"/>
    <s v="Dubai"/>
    <s v="Desktop"/>
    <s v="User Education"/>
    <s v="User Education"/>
    <d v="2026-02-19T10:59:14"/>
    <s v="No"/>
    <s v="Within the Service Target"/>
    <s v="Phone"/>
    <s v="We did reset for the Oracle authenticator and successfully the Automation got opened after that"/>
    <s v="Closed"/>
    <s v="No"/>
    <s v="techm_ziskheih"/>
    <s v="Low"/>
    <s v="Desktop"/>
    <s v="User Education"/>
    <s v="User Education"/>
    <s v="Closed"/>
    <n v="12169"/>
    <m/>
    <m/>
    <n v="0"/>
    <s v="Standard"/>
    <s v="mgsanqoor"/>
    <s v="Maitha.Sanqoor@rta.ae"/>
  </r>
  <r>
    <s v="INC000001318709"/>
    <s v="User Service Restoration"/>
    <s v="Jasem"/>
    <s v="Almulla"/>
    <d v="2026-02-19T10:54:27"/>
    <s v="Commercial Transport Activities"/>
    <s v="RTA"/>
    <x v="7"/>
    <s v="VPN Issue"/>
    <s v="Techm Omer Idris"/>
    <s v="OnSite  EUS"/>
    <m/>
    <s v="USER TO CONFIRM"/>
    <m/>
    <s v="3-Moderate/Limited"/>
    <s v="3-Medium"/>
    <s v="Dubai"/>
    <s v="Desktop"/>
    <s v="Configuration"/>
    <s v="VPN Troubleshooting"/>
    <d v="2026-02-23T12:21:03"/>
    <s v="No"/>
    <s v="Within the Service Target"/>
    <s v="Email"/>
    <s v="Ivanti has been uninstalled   New Ivanti has been installed and the issue solved"/>
    <s v="Resolved"/>
    <s v="No"/>
    <s v="Techm_NRMohamed"/>
    <s v="Medium"/>
    <s v="Desktop"/>
    <s v="Configuration"/>
    <s v="VPN Troubleshooting"/>
    <s v="Resolved"/>
    <n v="15206"/>
    <m/>
    <m/>
    <n v="4"/>
    <s v="Standard"/>
    <s v="jmalmulla"/>
    <s v="Jasem.Almulla@rta.ae"/>
  </r>
  <r>
    <s v="INC000001318702"/>
    <s v="User Service Request"/>
    <s v="Nour"/>
    <s v="Ibrahim"/>
    <d v="2026-02-19T10:51:12"/>
    <s v="Right Of Way"/>
    <s v="RTA"/>
    <x v="2"/>
    <s v="Request to change the default apps for PDF files and Outlook messages."/>
    <s v="Mohamed Alajlani"/>
    <s v="Service Desk"/>
    <m/>
    <s v="Automated Resolution Reported"/>
    <m/>
    <s v="4-Minor/Localized"/>
    <s v="4-Low"/>
    <s v="Dubai"/>
    <s v="Desktop"/>
    <s v="Configuration"/>
    <s v="Profile Configuration"/>
    <d v="2026-02-19T10:52:39"/>
    <s v="No"/>
    <s v="Within the Service Target"/>
    <s v="Phone"/>
    <s v="The request has been completed by setting Microsoft Outlook as the default app for .msg files and Adobe Reader as the default app for .pdf files."/>
    <s v="Closed"/>
    <s v="No"/>
    <s v="techm_myalajlani"/>
    <s v="Low"/>
    <s v="Desktop"/>
    <s v="Configuration"/>
    <s v="Profile Configuration"/>
    <s v="Closed"/>
    <s v="V0032492"/>
    <m/>
    <m/>
    <n v="0"/>
    <s v="Standard"/>
    <s v="trans_niibrahim"/>
    <s v="Trans_Nour.Ibrahim@rta.ae"/>
  </r>
  <r>
    <s v="INC000001318700"/>
    <s v="User Service Request"/>
    <s v="Seraj"/>
    <s v="Said"/>
    <d v="2026-02-19T10:50:25"/>
    <s v="Buses"/>
    <s v="RTA"/>
    <x v="4"/>
    <s v="New LAN cable request"/>
    <s v="Techm Mazin Kinaish"/>
    <s v="OnSite  EUS"/>
    <m/>
    <s v="Automated Resolution Reported"/>
    <m/>
    <s v="4-Minor/Localized"/>
    <s v="4-Low"/>
    <s v="Al Aweer Depot"/>
    <s v="Desktop"/>
    <s v="Peripherals"/>
    <s v="Network Cable"/>
    <d v="2026-02-19T11:10:11"/>
    <s v="No"/>
    <s v="Within the Service Target"/>
    <s v="Email"/>
    <s v="New cable handed to user in operation"/>
    <s v="Closed"/>
    <s v="No"/>
    <s v="Techm_NRMohamed"/>
    <s v="Low"/>
    <s v="Desktop"/>
    <s v="Peripherals"/>
    <s v="Network Cable"/>
    <s v="Closed"/>
    <n v="6584"/>
    <m/>
    <m/>
    <n v="1"/>
    <s v="Standard"/>
    <s v="sasaid"/>
    <s v="Seraj.Said@rta.ae"/>
  </r>
  <r>
    <s v="INC000001318698"/>
    <s v="User Service Restoration"/>
    <s v="Balram"/>
    <s v="Devraj"/>
    <d v="2026-02-19T10:54:07"/>
    <s v="Information Technology"/>
    <s v="RTA"/>
    <x v="3"/>
    <s v="Webex meetings access issue"/>
    <s v="Ismael Ismael"/>
    <s v="Service Desk"/>
    <m/>
    <s v="USER TO CONFIRM"/>
    <m/>
    <s v="3-Moderate/Limited"/>
    <s v="3-Medium"/>
    <s v="Dubai"/>
    <s v="Desktop"/>
    <s v="Internet/Intranet Issues"/>
    <s v="Unable to access a specific URL(RE)"/>
    <d v="2026-02-24T11:04:12"/>
    <s v="No"/>
    <s v="Within the Service Target"/>
    <s v="Phone"/>
    <s v="user will check for future meetings and if same is happening he will revert back"/>
    <s v="Resolved"/>
    <s v="No"/>
    <s v="techm_iaismael"/>
    <s v="Medium"/>
    <s v="Desktop"/>
    <s v="Internet / Intranet Issues"/>
    <s v="Unable To Access Specific URL"/>
    <s v="Resolved"/>
    <s v="V0034733"/>
    <m/>
    <m/>
    <n v="2"/>
    <s v="Standard"/>
    <s v="techm_bddevraj"/>
    <s v="Techm_Balram.Devraj@rta.ae"/>
  </r>
  <r>
    <s v="INC000001318695"/>
    <s v="User Service Request"/>
    <s v="Hussein"/>
    <s v="AlShahabi"/>
    <d v="2026-02-19T10:47:42"/>
    <s v="Planning &amp; Business Development"/>
    <s v="RTA"/>
    <x v="4"/>
    <s v="Smart Traffic configuration on Edge"/>
    <s v="Techm Hussein Aljayeh"/>
    <s v="Service Desk"/>
    <m/>
    <s v="Automated Resolution Reported"/>
    <m/>
    <s v="4-Minor/Localized"/>
    <s v="4-Low"/>
    <s v="Dubai"/>
    <s v="Desktop"/>
    <s v="RTA Standard Application installation Request"/>
    <s v="MS Edge"/>
    <d v="2026-02-19T10:58:20"/>
    <s v="No"/>
    <s v="Within the Service Target"/>
    <s v="Phone"/>
    <s v="Request has been Completed Through Remote Access,User Confirm On the same Hence ticket closed"/>
    <s v="Closed"/>
    <s v="No"/>
    <s v="Techm_HHAljayeh"/>
    <s v="Low"/>
    <s v="Desktop"/>
    <s v="RTA Standard Application installation Request"/>
    <s v="MS Edge"/>
    <s v="Closed"/>
    <n v="12597"/>
    <m/>
    <m/>
    <n v="0"/>
    <s v="Standard"/>
    <s v="HAAlshahabi"/>
    <s v="Hussein.Alshahabi@rta.ae"/>
  </r>
  <r>
    <s v="INC000001318684"/>
    <s v="User Service Request"/>
    <s v="Nour"/>
    <s v="Ibrahim"/>
    <d v="2026-02-19T10:35:57"/>
    <s v="Right Of Way"/>
    <s v="RTA"/>
    <x v="2"/>
    <s v="Guide user to Reset Password through Self services portal."/>
    <s v="Mohamed Alajlani"/>
    <s v="Service Desk"/>
    <m/>
    <s v="Automated Resolution Reported"/>
    <m/>
    <s v="4-Minor/Localized"/>
    <s v="4-Low"/>
    <s v="Dubai"/>
    <s v="Desktop"/>
    <s v="User Education"/>
    <s v="User Education"/>
    <d v="2026-02-19T10:36:45"/>
    <s v="No"/>
    <s v="Within the Service Target"/>
    <s v="Phone"/>
    <s v="As per the request, SMS with Reset Password self-services URL has been shared with the user."/>
    <s v="Closed"/>
    <s v="No"/>
    <s v="techm_myalajlani"/>
    <s v="Low"/>
    <s v="Desktop"/>
    <s v="User Education"/>
    <s v="User Education"/>
    <s v="Closed"/>
    <s v="V0032492"/>
    <m/>
    <m/>
    <n v="0"/>
    <s v="Standard"/>
    <s v="trans_niibrahim"/>
    <s v="Trans_Nour.Ibrahim@rta.ae"/>
  </r>
  <r>
    <s v="INC000001318682"/>
    <s v="User Service Request"/>
    <s v="Fatima"/>
    <s v="Al Saeedi"/>
    <d v="2026-02-19T10:52:38"/>
    <s v="Finance"/>
    <s v="RTA"/>
    <x v="0"/>
    <s v="Browser Configuration"/>
    <s v="Mohamed Siragelnour"/>
    <s v="Service Desk"/>
    <m/>
    <s v="Automated Resolution Reported"/>
    <m/>
    <s v="4-Minor/Localized"/>
    <s v="4-Low"/>
    <s v="Dubai"/>
    <s v="Desktop"/>
    <s v="RTA Standard Application installation Request"/>
    <s v="MS Edge"/>
    <d v="2026-02-19T13:45:58"/>
    <s v="No"/>
    <s v="Within the Service Target"/>
    <s v="Phone"/>
    <s v="Browser has been configured successfully."/>
    <s v="Closed"/>
    <s v="No"/>
    <s v="techm_mbsiragelnour"/>
    <s v="Low"/>
    <s v="Desktop"/>
    <s v="RTA Standard Application installation Request"/>
    <s v="MS Edge"/>
    <s v="Closed"/>
    <n v="11949"/>
    <m/>
    <m/>
    <n v="0"/>
    <s v="Standard"/>
    <s v="faalsaeedi"/>
    <s v="Fatima.Alsaeedi@rta.ae"/>
  </r>
  <r>
    <s v="INC000001318681"/>
    <s v="User Service Restoration"/>
    <s v="Hoda"/>
    <s v="Alhammadi"/>
    <d v="2026-02-19T10:30:25"/>
    <s v="Development &amp; Corporate Performance"/>
    <s v="RTA"/>
    <x v="1"/>
    <s v="pdf not opening"/>
    <s v="Aryam Juma Mohammad Albasata Albasata"/>
    <s v="Service Desk"/>
    <m/>
    <s v="Automated Resolution Reported"/>
    <m/>
    <s v="3-Moderate/Limited"/>
    <s v="3-Medium"/>
    <s v="Dubai"/>
    <s v="Desktop"/>
    <s v="RTA Non standard application  Incidents"/>
    <s v="Adobe Acrobat Professional"/>
    <d v="2026-02-19T11:12:28"/>
    <s v="No"/>
    <s v="Within the Service Target"/>
    <s v="Phone"/>
    <s v="taskmanager - app history - adobe end task - cmd gpupdate /force"/>
    <s v="Closed"/>
    <s v="No"/>
    <s v="techm_ajalbasata"/>
    <s v="Medium"/>
    <s v="Desktop"/>
    <s v="RTA Non standard application  Incidents"/>
    <s v="Adobe Acrobat Professional"/>
    <s v="Closed"/>
    <n v="15272"/>
    <m/>
    <m/>
    <n v="0"/>
    <s v="Sensitive"/>
    <s v="hmohalhammadi"/>
    <s v="Hoda.MAlhammadi@rta.ae"/>
  </r>
  <r>
    <s v="INC000001318679"/>
    <s v="User Service Request"/>
    <s v="Hamad"/>
    <s v="Dheyab"/>
    <d v="2026-02-19T10:26:30"/>
    <s v="Corporate Technology Support Services CEO"/>
    <s v="RTA"/>
    <x v="3"/>
    <s v="Guided user to unlock account via Self Service"/>
    <s v="Mohamed Siragelnour"/>
    <s v="Service Desk"/>
    <m/>
    <s v="Automated Resolution Reported"/>
    <m/>
    <s v="4-Minor/Localized"/>
    <s v="4-Low"/>
    <s v="Dubai"/>
    <s v="Desktop"/>
    <s v="User Education"/>
    <s v="User Education"/>
    <d v="2026-02-19T13:45:03"/>
    <s v="No"/>
    <s v="Within the Service Target"/>
    <s v="Phone"/>
    <s v="Guided user to unlock account via Self Service"/>
    <s v="Closed"/>
    <s v="No"/>
    <s v="techm_mbsiragelnour"/>
    <s v="Low"/>
    <s v="Desktop"/>
    <s v="User Education"/>
    <s v="User Education"/>
    <s v="Closed"/>
    <n v="15713"/>
    <m/>
    <m/>
    <n v="0"/>
    <s v="Standard"/>
    <s v="hadheyab"/>
    <s v="Hamad.Dheyab@rta.ae"/>
  </r>
  <r>
    <s v="INC000001318670"/>
    <s v="User Service Request"/>
    <s v="Ahmet"/>
    <s v="Dogru"/>
    <d v="2026-02-19T10:13:59"/>
    <s v="Strategic Planning"/>
    <s v="RTA"/>
    <x v="1"/>
    <s v="Laptop"/>
    <s v="Mohamed Al Taweel"/>
    <s v="OnSite  EUS"/>
    <m/>
    <s v="Automated Resolution Reported"/>
    <m/>
    <s v="4-Minor/Localized"/>
    <s v="4-Low"/>
    <s v="Dubai"/>
    <s v="Incident"/>
    <s v="Self-service"/>
    <s v="Mendix"/>
    <d v="2026-02-19T12:25:59"/>
    <s v="No"/>
    <s v="Within the Service Target"/>
    <s v="Self Service"/>
    <s v="Resolved by reset the network setting, restart the system. And now it's connected to RTAWLAN"/>
    <s v="Closed"/>
    <s v="No"/>
    <s v="mendix"/>
    <s v="Low"/>
    <s v="Desktop"/>
    <s v="Network Connectivity issues"/>
    <s v="Wireless Network Issues"/>
    <s v="Closed"/>
    <n v="15143"/>
    <m/>
    <m/>
    <n v="2"/>
    <s v="Standard"/>
    <s v="abdogru"/>
    <s v="Ahmet.Dogru@rta.ae"/>
  </r>
  <r>
    <s v="INC000001318669"/>
    <s v="User Service Request"/>
    <s v="mohammed"/>
    <s v="shaker"/>
    <d v="2026-02-19T10:13:23"/>
    <s v="Buses"/>
    <s v="RTA"/>
    <x v="4"/>
    <s v="Generic ID Creation"/>
    <s v="Maitha Alhammadi"/>
    <s v="Service Desk"/>
    <m/>
    <s v="USER TO CONFIRM"/>
    <m/>
    <s v="4-Minor/Localized"/>
    <s v="4-Low"/>
    <s v="DEIRA -GOLD SOUQ BUS STATION"/>
    <s v="Incident"/>
    <s v="Self-service"/>
    <s v="Mendix"/>
    <d v="2026-02-25T10:31:20"/>
    <s v="No"/>
    <s v="Within the Service Target"/>
    <s v="Self Service"/>
    <s v="as per user email, the username has been activated. So, you can close the ticket.  Thanks for your cooperation…"/>
    <s v="Resolved"/>
    <s v="No"/>
    <s v="mendix"/>
    <s v="Low"/>
    <s v="Desktop"/>
    <s v="Profile"/>
    <s v="Request For Generic ID Creation"/>
    <s v="Resolved"/>
    <n v="6329"/>
    <m/>
    <m/>
    <n v="5"/>
    <s v="Standard"/>
    <s v="mhshaker"/>
    <s v="mohammed.shaker@RTA.ae"/>
  </r>
  <r>
    <s v="INC000001318666"/>
    <s v="User Service Restoration"/>
    <s v="Khalid"/>
    <s v="Alshehhi"/>
    <d v="2026-02-19T10:10:51"/>
    <s v="Parking"/>
    <s v="RTA"/>
    <x v="2"/>
    <s v="Email issue"/>
    <s v="Ismael Ismael"/>
    <s v="Service Desk"/>
    <m/>
    <s v="USER TO CONFIRM"/>
    <m/>
    <s v="3-Moderate/Limited"/>
    <s v="3-Medium"/>
    <m/>
    <s v="Desktop"/>
    <s v="Mail Client Issue"/>
    <s v="Unable to Send/Receive Mails(RE)"/>
    <d v="2026-02-23T12:05:57"/>
    <s v="No"/>
    <s v="Within the Service Target"/>
    <s v="Phone"/>
    <s v="Received confirmation from user over phone that the issue got resolved"/>
    <s v="Resolved"/>
    <s v="No"/>
    <s v="techm_iaismael"/>
    <s v="Medium"/>
    <s v="Desktop"/>
    <s v="Mail Client Issue"/>
    <s v="Unable To Send / Receive Mails"/>
    <s v="Resolved"/>
    <n v="11680"/>
    <m/>
    <m/>
    <n v="2"/>
    <s v="Standard"/>
    <s v="KMAlshehhi"/>
    <s v="Khalid.Alshehhi@rta.ae"/>
  </r>
  <r>
    <s v="INC000001318665"/>
    <s v="User Service Request"/>
    <s v="Nahla"/>
    <s v="Ahmed"/>
    <d v="2026-02-19T10:08:58"/>
    <s v="Human Resources &amp; Development"/>
    <s v="RTA"/>
    <x v="0"/>
    <s v="unlock account request"/>
    <s v="Techm Hussein Aljayeh"/>
    <s v="Service Desk"/>
    <m/>
    <s v="Automated Resolution Reported"/>
    <m/>
    <s v="4-Minor/Localized"/>
    <s v="4-Low"/>
    <s v="Dubai"/>
    <s v="Desktop"/>
    <s v="Profile"/>
    <s v="Account Lock Out"/>
    <d v="2026-02-19T10:58:45"/>
    <s v="No"/>
    <s v="Within the Service Target"/>
    <s v="Phone"/>
    <s v="User Account has been unlocked"/>
    <s v="Closed"/>
    <s v="No"/>
    <s v="Techm_HHAljayeh"/>
    <s v="Low"/>
    <s v="Desktop"/>
    <s v="Profile"/>
    <s v="Account Lock Out"/>
    <s v="Closed"/>
    <n v="15383"/>
    <m/>
    <m/>
    <n v="0"/>
    <s v="Standard"/>
    <s v="nmoahmed"/>
    <s v="Nahla.Ahmed@rta.ae"/>
  </r>
  <r>
    <s v="INC000001318657"/>
    <s v="User Service Request"/>
    <s v="Chafiq"/>
    <s v="Jellal"/>
    <d v="2026-02-19T10:05:49"/>
    <s v="Drivers Affairs"/>
    <s v="RTA"/>
    <x v="4"/>
    <s v="Guide user to Reset Password through Self services portal."/>
    <s v="Mohamed Alajlani"/>
    <s v="Service Desk"/>
    <m/>
    <s v="Automated Resolution Reported"/>
    <m/>
    <s v="4-Minor/Localized"/>
    <s v="4-Low"/>
    <s v="AL AWEER DEPOT"/>
    <s v="Desktop"/>
    <s v="User Education"/>
    <s v="User Education"/>
    <d v="2026-02-19T10:06:12"/>
    <s v="No"/>
    <s v="Within the Service Target"/>
    <s v="Phone"/>
    <s v="As per the request, SMS with Reset Password self-services URL has been shared with the user."/>
    <s v="Closed"/>
    <s v="No"/>
    <s v="techm_myalajlani"/>
    <s v="Low"/>
    <s v="Desktop"/>
    <s v="User Education"/>
    <s v="User Education"/>
    <s v="Closed"/>
    <n v="1050"/>
    <m/>
    <m/>
    <n v="0"/>
    <s v="Standard"/>
    <s v="cajellal"/>
    <s v="Chafiq.Jellal@rta.ae"/>
  </r>
  <r>
    <s v="INC000001318639"/>
    <s v="User Service Request"/>
    <s v="Nahla"/>
    <s v="Ahmed"/>
    <d v="2026-02-19T09:52:32"/>
    <s v="Human Resources &amp; Development"/>
    <s v="RTA"/>
    <x v="0"/>
    <s v="Password reset Request"/>
    <s v="Aryam Juma Mohammad Albasata Albasata"/>
    <s v="Service Desk"/>
    <m/>
    <s v="Automated Resolution Reported"/>
    <m/>
    <s v="4-Minor/Localized"/>
    <s v="4-Low"/>
    <s v="Dubai"/>
    <s v="Desktop"/>
    <s v="User Education"/>
    <s v="User Education"/>
    <d v="2026-02-19T09:53:51"/>
    <s v="No"/>
    <s v="Within the Service Target"/>
    <s v="Phone"/>
    <s v="guided user to reset password through link in sms"/>
    <s v="Closed"/>
    <s v="No"/>
    <s v="techm_ajalbasata"/>
    <s v="Low"/>
    <s v="Desktop"/>
    <s v="User Education"/>
    <s v="User Education"/>
    <s v="Closed"/>
    <n v="15383"/>
    <m/>
    <m/>
    <n v="0"/>
    <s v="Standard"/>
    <s v="nmoahmed"/>
    <s v="Nahla.Ahmed@rta.ae"/>
  </r>
  <r>
    <s v="INC000001318634"/>
    <s v="User Service Request"/>
    <s v="Hassan"/>
    <s v="Alzidi"/>
    <d v="2026-02-19T09:48:39"/>
    <s v="Commercial Transport Activities"/>
    <s v="RTA"/>
    <x v="7"/>
    <s v="Password reset Request"/>
    <s v="Aryam Juma Mohammad Albasata Albasata"/>
    <s v="Service Desk"/>
    <m/>
    <s v="Automated Resolution Reported"/>
    <m/>
    <s v="4-Minor/Localized"/>
    <s v="4-Low"/>
    <s v="Dubai"/>
    <s v="Desktop"/>
    <s v="User Education"/>
    <s v="User Education"/>
    <d v="2026-02-19T09:49:43"/>
    <s v="No"/>
    <s v="Within the Service Target"/>
    <s v="Phone"/>
    <s v="guided user to reset password through link in sms"/>
    <s v="Closed"/>
    <s v="No"/>
    <s v="techm_ajalbasata"/>
    <s v="Low"/>
    <s v="Desktop"/>
    <s v="User Education"/>
    <s v="User Education"/>
    <s v="Closed"/>
    <s v="V0033799"/>
    <m/>
    <m/>
    <n v="0"/>
    <s v="Standard"/>
    <s v="tms_haalzidi"/>
    <s v="Tms_Hassan.Alzidi@rta.ae"/>
  </r>
  <r>
    <s v="INC000001318632"/>
    <s v="User Service Request"/>
    <s v="Mohamed"/>
    <s v="Al-ali"/>
    <d v="2026-02-19T09:51:06"/>
    <s v="Maintenance &amp; Services"/>
    <s v="RTA"/>
    <x v="4"/>
    <s v="iPad request \ PTA"/>
    <s v="Muhammed Alneil"/>
    <s v="Service Desk"/>
    <m/>
    <s v="USER TO CONFIRM"/>
    <m/>
    <s v="4-Minor/Localized"/>
    <s v="4-Low"/>
    <s v="Dubai"/>
    <s v="Desktop"/>
    <s v="Hardware Request"/>
    <s v="IPad"/>
    <d v="2026-02-25T08:39:09"/>
    <s v="No"/>
    <s v="Within the Service Target"/>
    <s v="Email"/>
    <s v="We regret to inform you that based on the update from ITD, your request for iPad has not been approved as you are not eligible for a iPad as per the ITD Smart Devices Request Guidelines, CEOs, Executive Directors, Department Directors, Deputy Directors, Acting directors, CEO Office Managers and QHSE Office Managers are eligible for receiving tablet device."/>
    <s v="Resolved"/>
    <s v="No"/>
    <s v="techm_maalneil"/>
    <s v="Low"/>
    <s v="Desktop"/>
    <s v="Hardware Request"/>
    <s v="IPad"/>
    <s v="Resolved"/>
    <n v="13511"/>
    <m/>
    <m/>
    <n v="6"/>
    <s v="Standard"/>
    <s v="MABDAAlali"/>
    <s v="Mohamed.AHAlali@rta.ae"/>
  </r>
  <r>
    <s v="INC000001318631"/>
    <s v="User Service Request"/>
    <s v="Wadha"/>
    <s v="Shukry"/>
    <d v="2026-02-19T09:46:53"/>
    <s v="Drivers Licensing"/>
    <s v="RTA"/>
    <x v="7"/>
    <s v="unlock account request"/>
    <s v="Techm Hussein Aljayeh"/>
    <s v="Service Desk"/>
    <m/>
    <s v="Automated Resolution Reported"/>
    <m/>
    <s v="4-Minor/Localized"/>
    <s v="4-Low"/>
    <s v="UMM RAMOOL NEW HQ 3B"/>
    <s v="Desktop"/>
    <s v="Profile"/>
    <s v="Account Lock Out"/>
    <d v="2026-02-19T10:59:01"/>
    <s v="No"/>
    <s v="Within the Service Target"/>
    <s v="Phone"/>
    <s v="User Account has been unlocked"/>
    <s v="Closed"/>
    <s v="No"/>
    <s v="Techm_HHAljayeh"/>
    <s v="Low"/>
    <s v="Desktop"/>
    <s v="Profile"/>
    <s v="Account Lock Out"/>
    <s v="Closed"/>
    <n v="11114"/>
    <m/>
    <m/>
    <n v="0"/>
    <s v="Standard"/>
    <s v="washukry"/>
    <s v="Wadha.Shukry@rta.ae"/>
  </r>
  <r>
    <s v="INC000001318627"/>
    <s v="User Service Request"/>
    <s v="Hessah"/>
    <s v="Alhassan"/>
    <d v="2026-02-19T09:42:47"/>
    <s v="Procurement"/>
    <s v="RTA"/>
    <x v="0"/>
    <s v="Connect Laptop to Projector in Meeting Room"/>
    <s v="Solaiman Alhussni"/>
    <s v="OnSite  EUS"/>
    <m/>
    <s v="Automated Resolution Reported"/>
    <m/>
    <s v="2-Significant/Large"/>
    <s v="2-High"/>
    <s v="Dubai"/>
    <s v="Desktop"/>
    <s v="Audio and Video"/>
    <s v="Projectors"/>
    <d v="2026-02-19T09:55:44"/>
    <s v="No"/>
    <s v="Within the Service Target"/>
    <s v="Phone"/>
    <s v="The user's laptop is configured for screen duplication."/>
    <s v="Closed"/>
    <s v="No"/>
    <s v="techm_mbsiragelnour"/>
    <s v="High"/>
    <s v="Desktop"/>
    <s v="Audio and Video"/>
    <s v="Projectors"/>
    <s v="Closed"/>
    <n v="13584"/>
    <m/>
    <m/>
    <n v="1"/>
    <s v="Standard"/>
    <s v="HSIAlhassan"/>
    <s v="Hessah.SAlhassan@rta.ae"/>
  </r>
  <r>
    <s v="INC000001318623"/>
    <s v="User Service Request"/>
    <s v="Fatima"/>
    <s v="Aldhuhoori"/>
    <d v="2026-02-19T09:37:32"/>
    <s v="Licensing Systems"/>
    <s v="RTA"/>
    <x v="7"/>
    <s v="Request to provide new Mouse  for Director"/>
    <s v="Ahmed Almeldeen"/>
    <s v="OnSite  EUS"/>
    <m/>
    <s v="Automated Resolution Reported"/>
    <m/>
    <s v="2-Significant/Large"/>
    <s v="2-High"/>
    <s v="Dubai"/>
    <s v="Desktop"/>
    <s v="Peripherals"/>
    <s v="Mouse"/>
    <d v="2026-02-19T11:13:57"/>
    <s v="No"/>
    <s v="Within the Service Target"/>
    <s v="Phone"/>
    <s v="laptop drivers have been updated and mouse is working fine"/>
    <s v="Closed"/>
    <s v="No"/>
    <s v="Techm_NRMohamed"/>
    <s v="High"/>
    <s v="Desktop"/>
    <s v="Peripherals"/>
    <s v="Mouse"/>
    <s v="Closed"/>
    <n v="13357"/>
    <m/>
    <m/>
    <n v="1"/>
    <s v="Standard"/>
    <s v="FAAldhuhoori"/>
    <s v="Fatima.Aldhuhoori@rta.ae"/>
  </r>
  <r>
    <s v="INC000001318620"/>
    <s v="User Service Restoration"/>
    <s v="Amal"/>
    <s v="Alsinani"/>
    <d v="2026-02-19T09:33:37"/>
    <s v="Development &amp; Corporate Performance"/>
    <s v="RTA"/>
    <x v="1"/>
    <s v="?????? ??????? "/>
    <s v="Techm Ghaya Hamad"/>
    <s v="Service Desk"/>
    <m/>
    <s v="USER TO CONFIRM"/>
    <m/>
    <s v="3-Moderate/Limited"/>
    <s v="3-Medium"/>
    <s v="Dubai"/>
    <s v="Incident"/>
    <s v="Self-service"/>
    <s v="Mendix"/>
    <d v="2026-02-24T10:00:35"/>
    <s v="No"/>
    <s v="Within the Service Target"/>
    <s v="Self Service"/>
    <s v="Reapplied the permission by Server team &amp; user is able to receive email"/>
    <s v="Resolved"/>
    <s v="No"/>
    <s v="mendix"/>
    <s v="Medium"/>
    <s v="Desktop"/>
    <s v="Mail Client Issue"/>
    <s v="Unable To Send / Receive Mails"/>
    <s v="Resolved"/>
    <n v="12182"/>
    <m/>
    <m/>
    <n v="6"/>
    <s v="Standard"/>
    <s v="asalsinani"/>
    <s v="Amal.Alsinani@rta.ae"/>
  </r>
  <r>
    <s v="INC000001318602"/>
    <s v="User Service Request"/>
    <s v="Syed"/>
    <s v="Hussain"/>
    <d v="2026-02-19T09:13:19"/>
    <s v="Intelligent Traffic System"/>
    <s v="RTA"/>
    <x v="2"/>
    <s v="Guide user to Unlock Account through Self services portal."/>
    <s v="Mohamed Alajlani"/>
    <s v="Service Desk"/>
    <m/>
    <s v="Automated Resolution Reported"/>
    <m/>
    <s v="4-Minor/Localized"/>
    <s v="4-Low"/>
    <s v="Dubai"/>
    <s v="Desktop"/>
    <s v="User Education"/>
    <s v="User Education"/>
    <d v="2026-02-19T09:13:39"/>
    <s v="No"/>
    <s v="Within the Service Target"/>
    <s v="Phone"/>
    <s v="The account has been unlocked successfully."/>
    <s v="Closed"/>
    <s v="No"/>
    <s v="techm_myalajlani"/>
    <s v="Low"/>
    <s v="Desktop"/>
    <s v="User Education"/>
    <s v="User Education"/>
    <s v="Closed"/>
    <n v="15531"/>
    <m/>
    <m/>
    <n v="0"/>
    <s v="Standard"/>
    <s v="sthussain"/>
    <s v="Syed.THussain@rta.ae"/>
  </r>
  <r>
    <s v="INC000001318598"/>
    <s v="User Service Request"/>
    <s v="Hamad"/>
    <s v="Al bedwawi"/>
    <d v="2026-02-19T09:07:14"/>
    <s v="Licensing Activities Monitoring"/>
    <s v="RTA"/>
    <x v="7"/>
    <s v="Unlock account request"/>
    <s v="Mohamed Siragelnour"/>
    <s v="Service Desk"/>
    <m/>
    <s v="Automated Resolution Reported"/>
    <m/>
    <s v="4-Minor/Localized"/>
    <s v="4-Low"/>
    <s v="Dubai"/>
    <s v="Desktop"/>
    <s v="Profile"/>
    <s v="Account Lock Out"/>
    <d v="2026-02-19T09:09:10"/>
    <s v="No"/>
    <s v="Within the Service Target"/>
    <s v="Phone"/>
    <s v="Account has been unlocked successfully."/>
    <s v="Closed"/>
    <s v="No"/>
    <s v="techm_mbsiragelnour"/>
    <s v="Low"/>
    <s v="Desktop"/>
    <s v="Profile"/>
    <s v="Account Lock Out"/>
    <s v="Closed"/>
    <n v="6141"/>
    <m/>
    <m/>
    <n v="0"/>
    <s v="Standard"/>
    <s v="hialbedwawi"/>
    <s v="Hamad.Albedwawi@RTA.ae"/>
  </r>
  <r>
    <s v="INC000001318575"/>
    <s v="User Service Request"/>
    <s v="Hind"/>
    <s v="Alketbi"/>
    <d v="2026-02-19T08:41:57"/>
    <s v="Rail Maintainance"/>
    <s v="RTA"/>
    <x v="6"/>
    <s v="Guide user to reset the Password through Self services portal."/>
    <s v="Techm Hussein Aljayeh"/>
    <s v="Service Desk"/>
    <m/>
    <s v="Automated Resolution Reported"/>
    <m/>
    <s v="4-Minor/Localized"/>
    <s v="4-Low"/>
    <s v="Dubai"/>
    <s v="Desktop"/>
    <s v="User Education"/>
    <s v="User Education"/>
    <d v="2026-02-19T11:00:07"/>
    <s v="No"/>
    <s v="Within the Service Target"/>
    <s v="Phone"/>
    <s v="Password Reset SOP Sent to User by SMS,User Confirm On the same Hence ticket closed"/>
    <s v="Closed"/>
    <s v="No"/>
    <s v="Techm_HHAljayeh"/>
    <s v="Low"/>
    <s v="Desktop"/>
    <s v="User Education"/>
    <s v="User Education"/>
    <s v="Closed"/>
    <n v="15431"/>
    <m/>
    <m/>
    <n v="0"/>
    <s v="Standard"/>
    <s v="hmoalketbi"/>
    <s v="Hind.Alketbi@rta.ae"/>
  </r>
  <r>
    <s v="INC000001318566"/>
    <s v="User Service Request"/>
    <s v="Mohamed"/>
    <s v="Fagery"/>
    <d v="2026-02-19T10:19:28"/>
    <s v="Customer Happiness"/>
    <s v="RTA"/>
    <x v="0"/>
    <s v="AV Defenition Update"/>
    <s v="Mohamed Siragelnour"/>
    <s v="Service Desk"/>
    <m/>
    <s v="Automated Resolution Reported"/>
    <m/>
    <s v="4-Minor/Localized"/>
    <s v="4-Low"/>
    <s v="Dubai"/>
    <s v="Desktop"/>
    <s v="AV Update ( Antivirus)"/>
    <s v="AV Definition Update"/>
    <d v="2026-02-19T10:22:42"/>
    <s v="No"/>
    <s v="Within the Service Target"/>
    <s v="Phone"/>
    <s v="AV Defenition has been updated successfully."/>
    <s v="Closed"/>
    <s v="No"/>
    <s v="techm_mbsiragelnour"/>
    <s v="Low"/>
    <s v="Desktop"/>
    <s v="AV Update ( Antivirus)"/>
    <s v="AV Definition Update"/>
    <s v="Closed"/>
    <s v="V0025973"/>
    <m/>
    <m/>
    <n v="0"/>
    <s v="Standard"/>
    <s v="avaya_mhfagery"/>
    <s v="Avaya_Mohamed.Fagery@rta.ae"/>
  </r>
  <r>
    <s v="INC000001318565"/>
    <s v="User Service Request"/>
    <s v="Mohamed"/>
    <s v="Alsaffar"/>
    <d v="2026-02-19T10:19:03"/>
    <s v="Drivers Licensing"/>
    <s v="RTA"/>
    <x v="7"/>
    <s v="AV Defenition Update"/>
    <s v="Mohamed Siragelnour"/>
    <s v="Service Desk"/>
    <m/>
    <s v="Automated Resolution Reported"/>
    <m/>
    <s v="4-Minor/Localized"/>
    <s v="4-Low"/>
    <s v="UMM RAMOOL NEW HQ 2C"/>
    <s v="Desktop"/>
    <s v="AV Update ( Antivirus)"/>
    <s v="AV Definition Update"/>
    <d v="2026-02-19T10:23:16"/>
    <s v="No"/>
    <s v="Within the Service Target"/>
    <s v="Phone"/>
    <s v="AV Defenition has been updated successfully."/>
    <s v="Closed"/>
    <s v="No"/>
    <s v="techm_mbsiragelnour"/>
    <s v="Low"/>
    <s v="Desktop"/>
    <s v="AV Update ( Antivirus)"/>
    <s v="AV Definition Update"/>
    <s v="Closed"/>
    <n v="6804"/>
    <m/>
    <m/>
    <n v="0"/>
    <s v="Standard"/>
    <s v="maalsaffar"/>
    <s v="Mohamed.Alsaffar@RTA.ae"/>
  </r>
  <r>
    <s v="INC000001318545"/>
    <s v="User Service Request"/>
    <s v="Ali"/>
    <s v="Salim Ali Humaid "/>
    <d v="2026-02-19T07:49:54"/>
    <s v="Administration Services"/>
    <s v="RTA"/>
    <x v="0"/>
    <s v="Laptop"/>
    <s v="Solaiman Alhussni"/>
    <s v="OnSite  EUS"/>
    <m/>
    <s v="USER TO CONFIRM"/>
    <m/>
    <s v="4-Minor/Localized"/>
    <s v="4-Low"/>
    <s v="UMM RAMOOL - NEW HQ"/>
    <s v="Incident"/>
    <s v="Self-service"/>
    <s v="Mendix"/>
    <d v="2026-02-24T09:25:17"/>
    <s v="No"/>
    <s v="Within the Service Target"/>
    <s v="Self Service"/>
    <s v="the Laptop age is 4Y,9M  an Email has been sent to the user to reopen a new Ticket after 3 months"/>
    <s v="Resolved"/>
    <s v="No"/>
    <s v="mendix"/>
    <s v="Low"/>
    <s v="Desktop"/>
    <s v="Replacement"/>
    <s v="Laptop Replacement With Laptop"/>
    <s v="Resolved"/>
    <n v="350"/>
    <m/>
    <m/>
    <n v="4"/>
    <s v="Standard"/>
    <s v="ASHumaid"/>
    <s v="Ali.Humaid@rta.ae"/>
  </r>
  <r>
    <s v="INC000001318543"/>
    <s v="User Service Request"/>
    <s v="Sathyakumar"/>
    <s v="Kandasamy"/>
    <d v="2026-02-19T08:07:03"/>
    <s v="Transportation Systems"/>
    <s v="RTA"/>
    <x v="4"/>
    <s v="unlock account request"/>
    <s v="Techm Abdalbagee Hamed"/>
    <s v="Service Desk"/>
    <m/>
    <s v="Automated Resolution Reported"/>
    <m/>
    <s v="4-Minor/Localized"/>
    <s v="4-Low"/>
    <s v="Dubai"/>
    <s v="Desktop"/>
    <s v="Profile"/>
    <s v="Account Lock Out"/>
    <d v="2026-02-19T08:07:36"/>
    <s v="No"/>
    <s v="Within the Service Target"/>
    <s v="Phone"/>
    <s v="User AD account has been unlocked"/>
    <s v="Closed"/>
    <s v="No"/>
    <s v="Techm_AMHamed"/>
    <s v="Low"/>
    <s v="Desktop"/>
    <s v="Profile"/>
    <s v="Account Lock Out"/>
    <s v="Closed"/>
    <s v="V0028040"/>
    <m/>
    <m/>
    <n v="0"/>
    <s v="Standard"/>
    <s v="ebm_skkandasamy"/>
    <s v="Ebm_Sathyakumar.Kandasamy@rta.ae"/>
  </r>
  <r>
    <s v="INC000001318540"/>
    <s v="User Service Request"/>
    <s v="Mohamed"/>
    <s v="Abdelmaguid"/>
    <d v="2026-02-19T07:31:27"/>
    <s v="Licensing Activities Monitoring"/>
    <s v="RTA"/>
    <x v="7"/>
    <s v="VPN Configuration Request"/>
    <s v="Techm Abdalbagee Hamed"/>
    <s v="Service Desk"/>
    <m/>
    <s v="Automated Resolution Reported"/>
    <m/>
    <s v="4-Minor/Localized"/>
    <s v="4-Low"/>
    <m/>
    <s v="Desktop"/>
    <s v="Configuration"/>
    <s v="VPN Configuration"/>
    <d v="2026-02-19T07:33:36"/>
    <s v="No"/>
    <s v="Within the Service Target"/>
    <s v="Phone"/>
    <s v="VPN account has been configured and connected."/>
    <s v="Closed"/>
    <s v="No"/>
    <s v="Techm_AMHamed"/>
    <s v="Low"/>
    <s v="Desktop"/>
    <s v="Configuration"/>
    <s v="VPN Configuration"/>
    <s v="Closed"/>
    <s v="V0012834"/>
    <m/>
    <m/>
    <n v="0"/>
    <s v="Standard"/>
    <s v="okool_msabdelmaguid"/>
    <s v="Okool_Mohamed.Abdelmaguid@rta.ae"/>
  </r>
  <r>
    <s v="INC000001318535"/>
    <s v="User Service Request"/>
    <s v="Abdallah"/>
    <s v="Bloushi"/>
    <d v="2026-02-19T07:13:45"/>
    <s v="Transportation Systems"/>
    <s v="RTA"/>
    <x v="4"/>
    <s v="Request to activate office 365 license"/>
    <s v="Techm Abdalbagee Hamed"/>
    <s v="Service Desk"/>
    <m/>
    <s v="Automated Resolution Reported"/>
    <m/>
    <s v="4-Minor/Localized"/>
    <s v="4-Low"/>
    <s v="Dubai"/>
    <s v="Desktop"/>
    <s v="RTA Standard Application installation Request"/>
    <s v="MS Office Installation Request"/>
    <d v="2026-02-19T07:13:55"/>
    <s v="No"/>
    <s v="Within the Service Target"/>
    <s v="Phone"/>
    <s v="in excel app: - Go to file. - Office account. - Sign in. - Enter username@rta.ae - Enter password. - click option to sign in to all MS apps."/>
    <s v="Closed"/>
    <s v="No"/>
    <s v="Techm_AMHamed"/>
    <s v="Low"/>
    <s v="Desktop"/>
    <s v="RTA Standard Application installation Request"/>
    <s v="MS Office Installation Request"/>
    <s v="Closed"/>
    <n v="13832"/>
    <m/>
    <m/>
    <n v="0"/>
    <s v="Standard"/>
    <s v="ASBloushi"/>
    <s v="Abdallah.Bloushi@rta.ae"/>
  </r>
  <r>
    <s v="INC000001318533"/>
    <s v="User Service Request"/>
    <s v="Basheer"/>
    <s v="Alkurdi"/>
    <d v="2026-02-19T07:12:51"/>
    <s v="Buses"/>
    <s v="RTA"/>
    <x v="4"/>
    <s v="Request to activate office 365 license"/>
    <s v="Techm Abdalbagee Hamed"/>
    <s v="Service Desk"/>
    <m/>
    <s v="Automated Resolution Reported"/>
    <m/>
    <s v="4-Minor/Localized"/>
    <s v="4-Low"/>
    <s v="Dubai"/>
    <s v="Desktop"/>
    <s v="RTA Standard Application installation Request"/>
    <s v="MS Office Installation Request"/>
    <d v="2026-02-19T07:30:27"/>
    <s v="No"/>
    <s v="Within the Service Target"/>
    <s v="Phone"/>
    <s v="in excel app: - Go to file. - Office account. - Sign in. - Enter username@rta.ae - Enter password. - click option to sign in to all MS apps."/>
    <s v="Closed"/>
    <s v="No"/>
    <s v="Techm_AMHamed"/>
    <s v="Low"/>
    <s v="Desktop"/>
    <s v="RTA Standard Application installation Request"/>
    <s v="MS Office Installation Request"/>
    <s v="Closed"/>
    <s v="V0025237"/>
    <m/>
    <m/>
    <n v="0"/>
    <s v="Standard"/>
    <s v="srsl_bmalkurdi"/>
    <s v="Srsl_Basheer.Alkurdi@rta.ae"/>
  </r>
  <r>
    <s v="INC000001318508"/>
    <s v="User Service Request"/>
    <s v="Surjeet"/>
    <s v="Samanta"/>
    <d v="2026-02-19T04:05:05"/>
    <s v="Information Technology"/>
    <s v="RTA"/>
    <x v="3"/>
    <s v="Device error 0X133"/>
    <s v="Surjeet Samanta"/>
    <s v="SCCM-Nexthink Support"/>
    <m/>
    <s v="Automated Resolution Reported"/>
    <m/>
    <s v="4-Minor/Localized"/>
    <s v="4-Low"/>
    <s v="Dubai"/>
    <s v="Desktop"/>
    <s v="Proactive Monitoring"/>
    <s v="Proactive Action"/>
    <d v="2026-02-19T17:21:20"/>
    <s v="No"/>
    <s v="Within the Service Target"/>
    <s v="Email"/>
    <s v="We have pushed the required registry fix to the affected device.. No further action required"/>
    <s v="Closed"/>
    <s v="No"/>
    <s v="Techm_AMHamed"/>
    <s v="Low"/>
    <s v="Desktop"/>
    <s v="Proactive Monitoring"/>
    <s v="Proactive Action"/>
    <s v="Closed"/>
    <s v="V0024624"/>
    <m/>
    <m/>
    <n v="1"/>
    <s v="Standard"/>
    <s v="techm_sjsamanta"/>
    <s v="Techm_Surjeet.Samanta@rta.ae"/>
  </r>
  <r>
    <s v="INC000001318502"/>
    <s v="User Service Request"/>
    <s v="Mohammad"/>
    <s v="Mohammad"/>
    <d v="2026-02-19T02:20:07"/>
    <s v="Parkin"/>
    <s v="RTA"/>
    <x v="8"/>
    <s v="Guide user to unlock through Self services portal."/>
    <s v="Techm Abdalbagee Hamed"/>
    <s v="Service Desk"/>
    <m/>
    <s v="Automated Resolution Reported"/>
    <m/>
    <s v="4-Minor/Localized"/>
    <s v="4-Low"/>
    <s v="MUHAISNAH -MAIN BUILDING"/>
    <s v="Desktop"/>
    <s v="User Education"/>
    <s v="User Education"/>
    <d v="2026-02-19T02:20:17"/>
    <s v="No"/>
    <s v="Within the Service Target"/>
    <s v="Phone"/>
    <s v="As per the request, SMS with Unlock self-services URL has been shared with the user."/>
    <s v="Closed"/>
    <s v="No"/>
    <s v="Techm_AMHamed"/>
    <s v="Low"/>
    <s v="Desktop"/>
    <s v="User Education"/>
    <s v="User Education"/>
    <s v="Closed"/>
    <n v="871"/>
    <m/>
    <m/>
    <n v="0"/>
    <s v="Standard"/>
    <s v="MOAalbalooshi"/>
    <s v="Mohammed.Albalooshi@rta.ae"/>
  </r>
  <r>
    <s v="INC000001318474"/>
    <s v="User Service Request"/>
    <s v="Mohamed"/>
    <s v="Abdelrahman"/>
    <d v="2026-02-19T00:29:30"/>
    <s v="Right Of Way"/>
    <s v="RTA"/>
    <x v="2"/>
    <s v="Guide user to unlock through Self services portal."/>
    <s v="Techm Abdalbagee Hamed"/>
    <s v="Service Desk"/>
    <m/>
    <s v="Automated Resolution Reported"/>
    <m/>
    <s v="4-Minor/Localized"/>
    <s v="4-Low"/>
    <s v="Dubai"/>
    <s v="Desktop"/>
    <s v="User Education"/>
    <s v="User Education"/>
    <d v="2026-02-19T00:29:41"/>
    <s v="No"/>
    <s v="Within the Service Target"/>
    <s v="Phone"/>
    <s v="As per the request, SMS with Unlock self-services URL has been shared with the user."/>
    <s v="Closed"/>
    <s v="No"/>
    <s v="Techm_AMHamed"/>
    <s v="Low"/>
    <s v="Desktop"/>
    <s v="User Education"/>
    <s v="User Education"/>
    <s v="Closed"/>
    <n v="14012"/>
    <m/>
    <m/>
    <n v="0"/>
    <s v="Standard"/>
    <s v="MMAbdelrahman"/>
    <s v="Mohamed.Abdelrahman@rta.ae"/>
  </r>
  <r>
    <s v="INC000001318473"/>
    <s v="User Service Request"/>
    <s v="Khalid"/>
    <s v="Al Mulla"/>
    <d v="2026-02-19T00:29:52"/>
    <s v="Passengers Transport Activities Monitoring"/>
    <s v="RTA"/>
    <x v="4"/>
    <s v="Guide user to unlock through Self services portal."/>
    <s v="Techm Abdalbagee Hamed"/>
    <s v="Service Desk"/>
    <m/>
    <s v="Automated Resolution Reported"/>
    <m/>
    <s v="4-Minor/Localized"/>
    <s v="4-Low"/>
    <s v="MUHAISNAH -PTP BUILDING"/>
    <s v="Desktop"/>
    <s v="User Education"/>
    <s v="User Education"/>
    <d v="2026-02-19T00:30:00"/>
    <s v="No"/>
    <s v="Within the Service Target"/>
    <s v="Phone"/>
    <s v="As per the request, SMS with Unlock self-services URL has been shared with the user."/>
    <s v="Closed"/>
    <s v="No"/>
    <s v="Techm_AMHamed"/>
    <s v="Low"/>
    <s v="Desktop"/>
    <s v="User Education"/>
    <s v="User Education"/>
    <s v="Closed"/>
    <n v="3891"/>
    <m/>
    <m/>
    <n v="0"/>
    <s v="Standard"/>
    <s v="kaalmulla"/>
    <s v="Khalid.AAlmulla@rta.ae"/>
  </r>
  <r>
    <s v="INC000001318446"/>
    <s v="User Service Request"/>
    <s v="Sumaya Salem"/>
    <s v="Al Ebri"/>
    <d v="2026-02-18T21:30:25"/>
    <s v="Traffic"/>
    <s v="RTA"/>
    <x v="2"/>
    <s v="CSC Alert:VPN-Secondary authentication failed multiple times for SSALEBRI-18022026-04"/>
    <s v="Techm Wahbaelrahman Hassan"/>
    <s v="Service Desk"/>
    <m/>
    <s v="USER TO CONFIRM"/>
    <m/>
    <s v="4-Minor/Localized"/>
    <s v="4-Low"/>
    <s v="UMM RAMOOL -MAIN BUILDING"/>
    <s v="Desktop"/>
    <s v="Proactive Monitoring"/>
    <s v="Proactive Action"/>
    <d v="2026-02-25T09:17:16"/>
    <s v="No"/>
    <s v="Within the Service Target"/>
    <s v="Email"/>
    <s v="According to the confirmation received over email from the relevant team hence closing the ticket"/>
    <s v="Resolved"/>
    <s v="No"/>
    <s v="Techm_WAHassan"/>
    <s v="Low"/>
    <s v="Desktop"/>
    <s v="Proactive Monitoring"/>
    <s v="Proactive Action"/>
    <s v="Resolved"/>
    <n v="3945"/>
    <m/>
    <m/>
    <n v="0"/>
    <s v="Standard"/>
    <s v="ssalebri"/>
    <s v="sumaya.ebri@rta.ae"/>
  </r>
  <r>
    <s v="INC000001318412"/>
    <s v="User Service Request"/>
    <s v="Cyber Security Center"/>
    <s v="Alerts"/>
    <d v="2026-02-18T17:21:59"/>
    <s v="Information Security"/>
    <s v="RTA"/>
    <x v="3"/>
    <s v="CSC Alert - Scan Failure Detected - 18022026-04"/>
    <s v="Ali Adam"/>
    <s v="OnSite  EUS"/>
    <m/>
    <s v="Automated Resolution Reported"/>
    <m/>
    <s v="4-Minor/Localized"/>
    <s v="4-Low"/>
    <s v="Dubai"/>
    <s v="Desktop"/>
    <s v="Proactive Monitoring"/>
    <s v="Proactive Action"/>
    <d v="2026-02-19T11:17:58"/>
    <s v="No"/>
    <s v="Within the Service Target"/>
    <s v="Email"/>
    <s v="- 180+GB has been freed from the C partition, and Full scan started."/>
    <s v="Closed"/>
    <s v="No"/>
    <s v="Techm_WAHassan"/>
    <s v="Low"/>
    <s v="Desktop"/>
    <s v="Disk Space"/>
    <s v="Low Disk Space(RE)"/>
    <s v="Closed"/>
    <m/>
    <m/>
    <m/>
    <n v="1"/>
    <s v="Standard"/>
    <s v="socalerts"/>
    <s v="CSC.alert@rta.ae"/>
  </r>
  <r>
    <s v="INC000001318411"/>
    <s v="User Service Request"/>
    <s v="Ammar"/>
    <s v="Abdelrahman"/>
    <d v="2026-02-18T17:16:24"/>
    <s v="Digital Services"/>
    <s v="RTA"/>
    <x v="3"/>
    <s v="Unlock  VPN Request"/>
    <s v="Techm Wahbaelrahman Hassan"/>
    <s v="Service Desk"/>
    <m/>
    <s v="Automated Resolution Reported"/>
    <m/>
    <s v="4-Minor/Localized"/>
    <s v="4-Low"/>
    <s v="Dubai"/>
    <s v="Desktop"/>
    <s v="Configuration"/>
    <s v="VPN Configuration"/>
    <d v="2026-02-20T20:49:39"/>
    <s v="No"/>
    <s v="Within the Service Target"/>
    <s v="Email"/>
    <s v="Received email confirmation from user that VPN access has been confirmed; hence, ticket closed"/>
    <s v="Closed"/>
    <s v="No"/>
    <s v="Techm_WAHassan"/>
    <s v="Low"/>
    <s v="Desktop"/>
    <s v="Configuration"/>
    <s v="VPN Configuration"/>
    <s v="Closed"/>
    <n v="15537"/>
    <m/>
    <m/>
    <n v="2"/>
    <s v="Standard"/>
    <s v="ahabdelrahman"/>
    <s v="Ammar.Abdelrahman@rta.ae"/>
  </r>
  <r>
    <s v="INC000001318398"/>
    <s v="User Service Request"/>
    <s v="Ammar"/>
    <s v="Abdelrahman"/>
    <d v="2026-02-18T16:42:27"/>
    <s v="Digital Services"/>
    <s v="RTA"/>
    <x v="3"/>
    <s v="CSC Alert:VPN-High Number of Login Failures from same user Account AHABDELRAHMAN within1"/>
    <s v="Techm Wahbaelrahman Hassan"/>
    <s v="Service Desk"/>
    <m/>
    <s v="USER TO CONFIRM"/>
    <m/>
    <s v="4-Minor/Localized"/>
    <s v="4-Low"/>
    <s v="Dubai"/>
    <s v="Desktop"/>
    <s v="Proactive Monitoring"/>
    <s v="Proactive Action"/>
    <d v="2026-02-23T10:05:37"/>
    <s v="No"/>
    <s v="Within the Service Target"/>
    <s v="Email"/>
    <s v="Based on user confirmation, the relevant team over email, the ticket has been closed"/>
    <s v="Resolved"/>
    <s v="No"/>
    <s v="Techm_WAHassan"/>
    <s v="Low"/>
    <s v="Desktop"/>
    <s v="Proactive Monitoring"/>
    <s v="Proactive Action"/>
    <s v="Resolved"/>
    <n v="15537"/>
    <m/>
    <m/>
    <n v="0"/>
    <s v="Standard"/>
    <s v="ahabdelrahman"/>
    <s v="Ammar.Abdelrahman@rta.ae"/>
  </r>
  <r>
    <s v="INC000001318392"/>
    <s v="User Service Request"/>
    <s v="Cyber Security Center"/>
    <s v="Alerts"/>
    <d v="2026-02-18T16:17:37"/>
    <s v="Information Security"/>
    <s v="RTA"/>
    <x v="3"/>
    <s v="CSC Alert- (Vectra) - Suspect Brute Force Activity: RDP Brute Force from 172.29.113.117-18022026-02"/>
    <s v="Techm Wahbaelrahman Hassan"/>
    <s v="Service Desk"/>
    <m/>
    <s v="USER TO CONFIRM"/>
    <m/>
    <s v="4-Minor/Localized"/>
    <s v="4-Low"/>
    <s v="Dubai"/>
    <s v="Desktop"/>
    <s v="Proactive Monitoring"/>
    <s v="Proactive Action"/>
    <d v="2026-02-25T09:22:03"/>
    <s v="No"/>
    <s v="Within the Service Target"/>
    <s v="Email"/>
    <s v="According to the user respond and confirmation received over email from the relevant team the ticket is closed"/>
    <s v="Resolved"/>
    <s v="No"/>
    <s v="Techm_WAHassan"/>
    <s v="Low"/>
    <s v="Desktop"/>
    <s v="Proactive Monitoring"/>
    <s v="Proactive Action"/>
    <s v="Resolved"/>
    <m/>
    <m/>
    <m/>
    <n v="2"/>
    <s v="Standard"/>
    <s v="socalerts"/>
    <s v="CSC.alert@rta.ae"/>
  </r>
  <r>
    <s v="INC000001318386"/>
    <s v="User Service Request"/>
    <s v="Waleed"/>
    <s v="Al amiri"/>
    <d v="2026-02-18T16:10:24"/>
    <s v="Buses"/>
    <s v="RTA"/>
    <x v="4"/>
    <s v="VPN Access"/>
    <s v="Mohamed Siragelnour"/>
    <s v="Service Desk"/>
    <m/>
    <s v="Automated Resolution Reported"/>
    <m/>
    <s v="2-Significant/Large"/>
    <s v="2-High"/>
    <s v="UMM RAMOOL -  HQ"/>
    <s v="Incident"/>
    <s v="Self-service"/>
    <s v="Mendix"/>
    <d v="2026-02-19T10:17:57"/>
    <s v="Yes"/>
    <s v="Within the Service Target"/>
    <s v="Self Service"/>
    <s v="VPN access has been provided, user was informed, no assistance is required hence closing the ticket."/>
    <s v="Closed"/>
    <s v="Yes"/>
    <s v="mendix"/>
    <s v="High"/>
    <s v="Network Domain"/>
    <s v="Wide Area Network (WAN)"/>
    <s v="VPN Access"/>
    <s v="Closed"/>
    <n v="9936"/>
    <m/>
    <m/>
    <n v="4"/>
    <s v="Sensitive"/>
    <s v="wmalamiri"/>
    <s v="Waleed.Alamiri@RTA.ae"/>
  </r>
  <r>
    <s v="INC000001318377"/>
    <s v="User Service Request"/>
    <s v="Shanilka"/>
    <s v="Jayamanna"/>
    <d v="2026-02-18T15:49:41"/>
    <s v="Transportation Systems"/>
    <s v="RTA"/>
    <x v="4"/>
    <s v="VPN Access"/>
    <s v="Mohamed Alajlani"/>
    <s v="Service Desk"/>
    <m/>
    <s v="USER TO CONFIRM"/>
    <m/>
    <s v="4-Minor/Localized"/>
    <s v="4-Low"/>
    <s v="Dubai"/>
    <s v="Incident"/>
    <s v="Self-service"/>
    <s v="Mendix"/>
    <d v="2026-02-24T08:25:28"/>
    <s v="No"/>
    <s v="Within the Service Target"/>
    <s v="Self Service"/>
    <s v="Three reminder calls were made to the user with no response. As per the process, the ticket will be closed.  Should you need any assistance in the meantime please call us on the following number Tel: +971(4) 290-5858-Option 4 We assure you of our best attention at all times"/>
    <s v="Resolved"/>
    <s v="No"/>
    <s v="mendix"/>
    <s v="Low"/>
    <s v="Desktop"/>
    <s v="Configuration"/>
    <s v="VPN Configuration"/>
    <s v="Resolved"/>
    <s v="V0033937"/>
    <m/>
    <m/>
    <n v="4"/>
    <s v="Standard"/>
    <s v="trapeze_sjjayamanna"/>
    <s v="Trapeze_Shanilka.Jayamanna@rta.ae"/>
  </r>
  <r>
    <s v="INC000001318319"/>
    <s v="User Service Request"/>
    <s v="Sultan"/>
    <s v="Alshamsi"/>
    <d v="2026-02-18T14:08:10"/>
    <s v="Strategy &amp; Corporate Governance CEO Administration"/>
    <s v="RTA"/>
    <x v="1"/>
    <s v="Existing Data / Voice Socket"/>
    <s v="Maitha Alhammadi"/>
    <s v="Service Desk"/>
    <m/>
    <s v="Automated Resolution Reported"/>
    <m/>
    <s v="2-Significant/Large"/>
    <s v="2-High"/>
    <s v="Dubai"/>
    <s v="Incident"/>
    <s v="Self-service"/>
    <s v="Mendix"/>
    <d v="2026-02-19T15:29:19"/>
    <s v="No"/>
    <s v="Within the Service Target"/>
    <s v="Self Service"/>
    <s v="Informed the user, That should to contact with admin team for telephone line request Admin Support Center asc@rta.ae    Please note that the subject ticket will be canceled."/>
    <s v="Closed"/>
    <s v="No"/>
    <s v="mendix"/>
    <s v="High"/>
    <s v="Desktop"/>
    <s v="Audio and Video"/>
    <s v="Request for AV Devices (LED/LCD TVs &amp; audio)"/>
    <s v="Closed"/>
    <n v="15915"/>
    <m/>
    <m/>
    <n v="3"/>
    <s v="Standard"/>
    <s v="ssalshamsi"/>
    <s v="Sultan.SAlshamsi@rta.ae"/>
  </r>
  <r>
    <s v="INC000001318279"/>
    <s v="User Service Request"/>
    <s v="Sahar"/>
    <s v="Elhosieny"/>
    <d v="2026-02-18T13:31:05"/>
    <s v="Commercial &amp; Investment"/>
    <s v="RTA"/>
    <x v="1"/>
    <s v="VPN configuration Request"/>
    <s v="Techm Wahbaelrahman Hassan"/>
    <s v="Service Desk"/>
    <m/>
    <s v="USER TO CONFIRM"/>
    <m/>
    <s v="4-Minor/Localized"/>
    <s v="4-Low"/>
    <s v="Dubai"/>
    <s v="Desktop"/>
    <s v="Configuration"/>
    <s v="VPN Configuration"/>
    <d v="2026-02-24T13:07:55"/>
    <s v="No"/>
    <s v="Within the Service Target"/>
    <s v="Phone"/>
    <s v="3 reminders have been sent to the user with no response; as per process, the ticket will be closed."/>
    <s v="Resolved"/>
    <s v="No"/>
    <s v="Techm_OFMohamed"/>
    <s v="Low"/>
    <s v="Desktop"/>
    <s v="Configuration"/>
    <s v="VPN Configuration"/>
    <s v="Resolved"/>
    <s v="V0033212"/>
    <m/>
    <m/>
    <n v="1"/>
    <s v="Standard"/>
    <s v="tms_sgelhosieny"/>
    <s v="Tms_Sahar.Elhosieny@rta.ae"/>
  </r>
  <r>
    <s v="INC000001318205"/>
    <s v="User Service Request"/>
    <s v="Aisha"/>
    <s v="Almazrouei"/>
    <d v="2026-02-18T12:12:27"/>
    <s v="Finance"/>
    <s v="RTA"/>
    <x v="0"/>
    <s v="External Monitor"/>
    <s v="Techm Nabeesu Mohamed"/>
    <s v="Service Desk"/>
    <m/>
    <s v="USER TO CONFIRM"/>
    <m/>
    <s v="4-Minor/Localized"/>
    <s v="4-Low"/>
    <s v="Dubai"/>
    <s v="Incident"/>
    <s v="Self-service"/>
    <s v="Mendix"/>
    <d v="2026-02-25T08:31:25"/>
    <s v="No"/>
    <s v="Within the Service Target"/>
    <s v="Self Service"/>
    <s v="Based on update from ITD, We regret to inform you that your request can not be processed, Please note that as per RTA policy terms and conditions your request for external monitor request is not approved ."/>
    <s v="Resolved"/>
    <s v="No"/>
    <s v="mendix"/>
    <s v="Low"/>
    <s v="Desktop"/>
    <s v="Peripherals"/>
    <s v="Monitor"/>
    <s v="Resolved"/>
    <n v="15955"/>
    <m/>
    <m/>
    <n v="7"/>
    <s v="Standard"/>
    <s v="aabalmazrouei"/>
    <s v="Aisha.Almazrouei@rta.ae"/>
  </r>
  <r>
    <s v="INC000001318200"/>
    <s v="User Service Request"/>
    <s v="Ali"/>
    <s v="Al Hashemi"/>
    <d v="2026-02-18T12:06:36"/>
    <s v="Roads &amp; Facilities Maintenance"/>
    <s v="RTA"/>
    <x v="2"/>
    <s v="Asset  retag request"/>
    <s v="Ahmed Almeldeen"/>
    <s v="OnSite  EUS"/>
    <m/>
    <s v="No Further Action Required"/>
    <m/>
    <s v="4-Minor/Localized"/>
    <s v="4-Low"/>
    <s v="MUHAISNAH -MAIN BUILDING"/>
    <s v="Desktop"/>
    <s v="Physical Verification"/>
    <s v="CMDB update"/>
    <d v="2026-02-23T09:32:16"/>
    <s v="No"/>
    <s v="Within the Service Target"/>
    <s v="Email"/>
    <s v="IPAD retagged process has been done"/>
    <s v="Resolved"/>
    <s v="No"/>
    <s v="techm_maalneil"/>
    <s v="Low"/>
    <s v="Desktop"/>
    <s v="Physical Verification"/>
    <s v="CMDB update"/>
    <s v="Resolved"/>
    <n v="11326"/>
    <m/>
    <m/>
    <n v="3"/>
    <s v="Standard"/>
    <s v="asalhashemi"/>
    <s v="Ali.Hashemi@rta.ae"/>
  </r>
  <r>
    <s v="INC000001318191"/>
    <s v="User Service Request"/>
    <s v="Lamia"/>
    <s v="Alkhoori"/>
    <d v="2026-02-18T11:56:06"/>
    <s v="Buildings &amp; Facilities"/>
    <s v="RTA"/>
    <x v="0"/>
    <s v="Laptop"/>
    <s v="Nihad Mozayek"/>
    <s v="OnSite  EUS"/>
    <m/>
    <s v="No Further Action Required"/>
    <m/>
    <s v="4-Minor/Localized"/>
    <s v="4-Low"/>
    <s v="Dubai"/>
    <s v="Incident"/>
    <s v="Self-service"/>
    <s v="Mendix"/>
    <d v="2026-02-23T08:37:30"/>
    <s v="No"/>
    <s v="Within the Service Target"/>
    <s v="Self Service"/>
    <s v="Laptop has been provided to the user. CMDB updated"/>
    <s v="Resolved"/>
    <s v="No"/>
    <s v="mendix"/>
    <s v="Low"/>
    <s v="Desktop"/>
    <s v="New Joiner Request"/>
    <s v="Laptop Request"/>
    <s v="Resolved"/>
    <n v="13365"/>
    <m/>
    <n v="191693"/>
    <n v="8"/>
    <s v="Standard"/>
    <s v="LYAlkhoori"/>
    <s v="Lamia.Alkhoori@rta.ae"/>
  </r>
  <r>
    <s v="INC000001318190"/>
    <s v="User Service Request"/>
    <s v="Meera"/>
    <s v="Alnasser"/>
    <d v="2026-02-18T11:56:34"/>
    <s v="Security &amp; Monitoring"/>
    <s v="RTA"/>
    <x v="5"/>
    <s v="Request for the Generic ID creation"/>
    <s v="Techm Nabeesu Mohamed"/>
    <s v="Service Desk"/>
    <m/>
    <s v="USER TO CONFIRM"/>
    <m/>
    <s v="4-Minor/Localized"/>
    <s v="4-Low"/>
    <s v="Dubai"/>
    <s v="Desktop"/>
    <s v="Profile"/>
    <s v="Request for Generic ID Creation(RE)"/>
    <d v="2026-02-23T10:53:06"/>
    <s v="No"/>
    <s v="Within the Service Target"/>
    <s v="Email"/>
    <s v="Unfortunately SMD has not approved the request with below comment &quot;We recommend using a named individual account for BMC in line with the standard naming convention, ensuring a single person is accountable. Since the sheet identifies only one primary owner the account intended shall never be generic, the user should instead be assigned a named access account with the appropriate scope.&quot;"/>
    <s v="Resolved"/>
    <s v="No"/>
    <s v="Techm_NRMohamed"/>
    <s v="Low"/>
    <s v="Desktop"/>
    <s v="Profile"/>
    <s v="Request For Generic ID Creation"/>
    <s v="Resolved"/>
    <n v="14549"/>
    <m/>
    <m/>
    <n v="0"/>
    <s v="Standard"/>
    <s v="MHAlnasser"/>
    <s v="Meera.Alnasser@rta.ae"/>
  </r>
  <r>
    <s v="INC000001318129"/>
    <s v="User Service Request"/>
    <s v="Najwa"/>
    <s v="AlHamedh"/>
    <d v="2026-02-18T11:11:47"/>
    <s v="Customer Happiness"/>
    <s v="RTA"/>
    <x v="0"/>
    <s v="Account activation Request"/>
    <s v="Techm Ahmed Mahmoud"/>
    <s v="OnSite  EUS"/>
    <m/>
    <s v="USER TO CONFIRM"/>
    <m/>
    <s v="4-Minor/Localized"/>
    <s v="4-Low"/>
    <s v="Dubai"/>
    <s v="Desktop"/>
    <s v="Configuration"/>
    <s v="Profile Configuration"/>
    <d v="2026-02-24T14:50:53"/>
    <s v="No"/>
    <s v="Within the Service Target"/>
    <s v="Phone"/>
    <s v="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
    <s v="Resolved"/>
    <s v="No"/>
    <s v="Techm_GAHamad"/>
    <s v="Low"/>
    <s v="Desktop"/>
    <s v="Configuration"/>
    <s v="Profile Configuration"/>
    <s v="Resolved"/>
    <n v="12275"/>
    <m/>
    <m/>
    <n v="1"/>
    <s v="Standard"/>
    <s v="nkalhamedh"/>
    <s v="Najwa.AlHamedh@rta.ae"/>
  </r>
  <r>
    <s v="INC000001318106"/>
    <s v="User Service Restoration"/>
    <s v="Luma"/>
    <s v="Shajrawi"/>
    <d v="2026-02-18T10:54:24"/>
    <s v="Rail Planning &amp; Projects Development"/>
    <s v="RTA"/>
    <x v="6"/>
    <s v="Share folder permission Issue"/>
    <s v="Techm Ghaya Hamad"/>
    <s v="Service Desk"/>
    <m/>
    <s v="Automated Resolution Reported"/>
    <m/>
    <s v="3-Moderate/Limited"/>
    <s v="3-Medium"/>
    <m/>
    <s v="Desktop"/>
    <s v="Share Folder Issue"/>
    <s v="Shared Folder Permission issue"/>
    <d v="2026-02-19T10:23:53"/>
    <s v="No"/>
    <s v="Within the Service Target"/>
    <s v="Phone"/>
    <s v="User has only R/W access and not modify access to edit any files"/>
    <s v="Closed"/>
    <s v="No"/>
    <s v="Techm_GAHamad"/>
    <s v="Medium"/>
    <s v="Desktop"/>
    <s v="Share Folder Issue"/>
    <s v="Shared Folder Permission Issue"/>
    <s v="Closed"/>
    <n v="6569"/>
    <m/>
    <m/>
    <n v="4"/>
    <s v="Standard"/>
    <s v="lashajrawi"/>
    <s v="Luma.Shajrawi@rta.ae"/>
  </r>
  <r>
    <s v="INC000001318083"/>
    <s v="User Service Request"/>
    <s v="Omar"/>
    <s v="Khurisat"/>
    <d v="2026-02-18T10:37:40"/>
    <s v="Administration Services"/>
    <s v="RTA"/>
    <x v="0"/>
    <s v="Asset collection"/>
    <s v="Mohamed Mustaq Ali"/>
    <s v="OnSite  EUS"/>
    <m/>
    <s v="Automated Resolution Reported"/>
    <m/>
    <s v="4-Minor/Localized"/>
    <s v="4-Low"/>
    <m/>
    <s v="Desktop"/>
    <s v="Asset collection"/>
    <s v="Asset collection"/>
    <d v="2026-02-19T14:03:17"/>
    <s v="No"/>
    <s v="Within the Service Target"/>
    <s v="Email"/>
    <s v="This is an duplicate request already received same request for this same user #INC000001318077, working on this ticket."/>
    <s v="Closed"/>
    <s v="No"/>
    <s v="techm_maalneil"/>
    <s v="Low"/>
    <s v="Desktop"/>
    <s v="Asset Collection"/>
    <s v="Asset Collection"/>
    <s v="Closed"/>
    <s v="V0011368"/>
    <m/>
    <m/>
    <n v="1"/>
    <s v="Standard"/>
    <s v="iron_orkhurisat"/>
    <s v="Iron_Omar.Khurisat@rta.ae"/>
  </r>
  <r>
    <s v="INC000001318077"/>
    <s v="User Service Request"/>
    <s v="Omar"/>
    <s v="Khurisat"/>
    <d v="2026-02-18T10:27:38"/>
    <s v="Administration Services"/>
    <s v="RTA"/>
    <x v="0"/>
    <s v="Asset collection"/>
    <s v="Mohamed Mustaq Ali"/>
    <s v="OnSite  EUS"/>
    <m/>
    <s v="USER TO CONFIRM"/>
    <m/>
    <s v="4-Minor/Localized"/>
    <s v="4-Low"/>
    <m/>
    <s v="Desktop"/>
    <s v="Asset collection"/>
    <s v="Asset collection"/>
    <d v="2026-02-24T08:15:32"/>
    <s v="No"/>
    <s v="Within the Service Target"/>
    <s v="Email"/>
    <s v="The Scanner returned to store and CMDB updated."/>
    <s v="Resolved"/>
    <s v="No"/>
    <s v="techm_maalneil"/>
    <s v="Low"/>
    <s v="Desktop"/>
    <s v="Asset Collection"/>
    <s v="Asset Collection"/>
    <s v="Resolved"/>
    <s v="V0011368"/>
    <m/>
    <n v="12517"/>
    <n v="5"/>
    <s v="Standard"/>
    <s v="iron_orkhurisat"/>
    <s v="Iron_Omar.Khurisat@rta.ae"/>
  </r>
  <r>
    <s v="INC000001318059"/>
    <s v="User Service Restoration"/>
    <s v="Noora"/>
    <s v="Majan"/>
    <d v="2026-02-18T10:19:26"/>
    <s v="Roads"/>
    <s v="RTA"/>
    <x v="2"/>
    <s v="unable to map shared folder"/>
    <s v="Aryam Juma Mohammad Albasata Albasata"/>
    <s v="Service Desk"/>
    <m/>
    <s v="USER TO CONFIRM"/>
    <m/>
    <s v="3-Moderate/Limited"/>
    <s v="3-Medium"/>
    <s v="Dubai"/>
    <s v="Desktop"/>
    <s v="Share Folder Issue"/>
    <s v="Unable to map shared folder"/>
    <d v="2026-02-24T09:41:58"/>
    <s v="No"/>
    <s v="Within the Service Target"/>
    <s v="Phone"/>
    <s v="Mapped shared folder for the user \\rta.global\fileserver001\RTA\TRA\Road Dept\Prequalification_Road Facilities- Electro-Mechanical"/>
    <s v="Resolved"/>
    <s v="No"/>
    <s v="techm_ajalbasata"/>
    <s v="Medium"/>
    <s v="Desktop"/>
    <s v="Share Folder Issue"/>
    <s v="Unable To Access Shared Folder"/>
    <s v="Resolved"/>
    <n v="15895"/>
    <m/>
    <m/>
    <n v="2"/>
    <s v="Standard"/>
    <s v="nmmajan"/>
    <s v="Noora.Majan@rta.ae"/>
  </r>
  <r>
    <s v="INC000001318024"/>
    <s v="User Service Restoration"/>
    <s v="Maisoun"/>
    <s v="Haddad"/>
    <d v="2026-02-18T09:29:43"/>
    <s v="Human Resources &amp; Development"/>
    <s v="RTA"/>
    <x v="0"/>
    <s v="Locked account Issue"/>
    <s v="Techm Ghaya Hamad"/>
    <s v="Service Desk"/>
    <m/>
    <s v="Automated Resolution Reported"/>
    <m/>
    <s v="3-Moderate/Limited"/>
    <s v="3-Medium"/>
    <m/>
    <s v="Desktop"/>
    <s v="Profile"/>
    <s v="Account Lock Out"/>
    <d v="2026-02-19T10:25:41"/>
    <s v="No"/>
    <s v="Within the Service Target"/>
    <s v="Phone"/>
    <s v="User is getting locked out from Exchange Server (outlook)"/>
    <s v="Closed"/>
    <s v="No"/>
    <s v="Techm_GAHamad"/>
    <s v="Medium"/>
    <s v="Desktop"/>
    <s v="Profile"/>
    <s v="Account Lock Out"/>
    <s v="Closed"/>
    <n v="15923"/>
    <m/>
    <m/>
    <n v="2"/>
    <s v="Standard"/>
    <s v="mmajhaddad"/>
    <s v="Maisoun.Haddad@rta.ae"/>
  </r>
  <r>
    <s v="INC000001317991"/>
    <s v="User Service Restoration"/>
    <s v="Nawal"/>
    <s v="Bastaki"/>
    <d v="2026-02-18T09:00:15"/>
    <s v="Information Technology"/>
    <s v="RTA"/>
    <x v="3"/>
    <s v="Font issue"/>
    <s v="Ismael Ismael"/>
    <s v="Service Desk"/>
    <m/>
    <s v="USER TO CONFIRM"/>
    <m/>
    <s v="3-Moderate/Limited"/>
    <s v="3-Medium"/>
    <s v="UMM RAMOOL NEW HQ 5A -ITD AND UAFC"/>
    <s v="Desktop"/>
    <s v="Mail Client Issue"/>
    <s v="Outlook Configuration Issue(RE)"/>
    <d v="2026-02-24T10:52:55"/>
    <s v="No"/>
    <s v="Within the Service Target"/>
    <s v="Email"/>
    <s v="Received confirmation from user over email that the issue got resolved"/>
    <s v="Resolved"/>
    <s v="No"/>
    <s v="Techm_NRMohamed"/>
    <s v="Medium"/>
    <s v="Desktop"/>
    <s v="Mail Client Issue"/>
    <s v="Outlook Configuration Issue"/>
    <s v="Resolved"/>
    <n v="8298"/>
    <m/>
    <m/>
    <n v="1"/>
    <s v="Standard"/>
    <s v="nmbastaki"/>
    <s v="Nawal.Bastaki@RTA.ae"/>
  </r>
  <r>
    <s v="INC000001317975"/>
    <s v="User Service Request"/>
    <s v="Abdulla"/>
    <s v="Almalik"/>
    <d v="2026-02-18T08:21:36"/>
    <m/>
    <m/>
    <x v="2"/>
    <s v="Software Installing Request"/>
    <s v="Techm Ghaya Hamad"/>
    <s v="Service Desk"/>
    <m/>
    <s v="USER TO CONFIRM"/>
    <m/>
    <s v="4-Minor/Localized"/>
    <s v="4-Low"/>
    <s v="Dubai"/>
    <s v="Application"/>
    <s v="Application Services"/>
    <s v="Application Modification / Enhancement Request"/>
    <d v="2026-02-24T10:03:50"/>
    <s v="No"/>
    <s v="Within the Service Target"/>
    <s v="Self Service"/>
    <s v="Inform user to login with atalmalik@rta.ae"/>
    <s v="Resolved"/>
    <s v="No"/>
    <s v="mendix"/>
    <s v="Low"/>
    <s v="Application"/>
    <s v="Application Services"/>
    <s v="Application Modification / Enhancement Request"/>
    <s v="Resolved"/>
    <s v="V0034760"/>
    <m/>
    <m/>
    <n v="10"/>
    <s v="Standard"/>
    <s v="atalmalik"/>
    <s v="Abdulla.Almalik@rta.ae"/>
  </r>
  <r>
    <s v="INC000001317921"/>
    <s v="User Service Request"/>
    <s v="Khulood"/>
    <s v="Yousif Al Qassim"/>
    <d v="2026-02-18T05:46:14"/>
    <s v="Strategy &amp; Corporate Governance CEO Administration"/>
    <s v="RTA"/>
    <x v="5"/>
    <s v="CSC Alert - Scan Failure Detected - 17022026-07"/>
    <s v="Mohamed Nishad Usman"/>
    <s v="OnSite  EUS"/>
    <m/>
    <s v="USER TO CONFIRM"/>
    <m/>
    <s v="4-Minor/Localized"/>
    <s v="4-Low"/>
    <s v="UMM RAMOOL -BLOCK A"/>
    <s v="Desktop"/>
    <s v="Proactive Monitoring"/>
    <s v="Proactive Action"/>
    <d v="2026-02-25T10:09:39"/>
    <s v="No"/>
    <s v="Within the Service Target"/>
    <s v="Email"/>
    <s v="User turned of the laptop before the scan got completed. User is having space in C Drive now. WHile tried to run full scan already one active scan is running in background."/>
    <s v="Resolved"/>
    <s v="No"/>
    <s v="Techm_AMHamed"/>
    <s v="Low"/>
    <s v="Desktop"/>
    <s v="Proactive Monitoring"/>
    <s v="Proactive Action"/>
    <s v="Resolved"/>
    <n v="5495"/>
    <m/>
    <m/>
    <n v="1"/>
    <s v="Standard"/>
    <s v="kyalqassim"/>
    <s v="Khulood.Alqassim@rta.ae"/>
  </r>
  <r>
    <s v="INC000001317908"/>
    <s v="User Service Request"/>
    <s v="Abdulrahman"/>
    <s v="Jumaa"/>
    <d v="2026-02-18T05:11:06"/>
    <s v="Technology Strategy &amp; Governance"/>
    <s v="RTA"/>
    <x v="3"/>
    <s v="New Laptop Request - New joiner"/>
    <s v="Techm Elsayed Mohamed"/>
    <s v="OnSite  EUS"/>
    <m/>
    <s v="USER TO CONFIRM"/>
    <m/>
    <s v="4-Minor/Localized"/>
    <s v="4-Low"/>
    <s v="Dubai"/>
    <s v="Desktop"/>
    <s v="Hardware Request"/>
    <s v="Laptop"/>
    <d v="2026-02-25T10:20:12"/>
    <s v="No"/>
    <s v="Within the Service Target"/>
    <s v="Email"/>
    <e v="#NAME?"/>
    <s v="Resolved"/>
    <s v="No"/>
    <s v="Techm_AMHamed"/>
    <s v="Low"/>
    <s v="Desktop"/>
    <s v="New Joiner Request"/>
    <s v="Laptop Request"/>
    <s v="Resolved"/>
    <n v="11843"/>
    <m/>
    <n v="191686"/>
    <n v="5"/>
    <s v="Standard"/>
    <s v="amjumaa"/>
    <s v="Abdulrahman.Jumaa@rta.ae"/>
  </r>
  <r>
    <s v="INC000001317906"/>
    <s v="User Service Request"/>
    <s v="Ayesha"/>
    <s v="Alameri"/>
    <d v="2026-02-18T05:07:36"/>
    <s v="Smart Services"/>
    <s v="RTA"/>
    <x v="3"/>
    <s v="New Laptop Request - New joiner"/>
    <s v="Techm Elsayed Mohamed"/>
    <s v="OnSite  EUS"/>
    <m/>
    <s v="USER TO CONFIRM"/>
    <m/>
    <s v="4-Minor/Localized"/>
    <s v="4-Low"/>
    <s v="Dubai"/>
    <s v="Desktop"/>
    <s v="Hardware Request"/>
    <s v="Laptop"/>
    <d v="2026-02-25T09:01:50"/>
    <s v="No"/>
    <s v="Within the Service Target"/>
    <s v="Email"/>
    <e v="#NAME?"/>
    <s v="Resolved"/>
    <s v="No"/>
    <s v="Techm_AMHamed"/>
    <s v="Low"/>
    <s v="Desktop"/>
    <s v="New Joiner Request"/>
    <s v="Laptop Request"/>
    <s v="Resolved"/>
    <n v="14495"/>
    <m/>
    <n v="191688"/>
    <n v="11"/>
    <s v="Standard"/>
    <s v="AMAlameri"/>
    <s v="Ayesha.Alameri@rta.ae"/>
  </r>
  <r>
    <s v="INC000001317903"/>
    <s v="User Service Request"/>
    <s v="Surjeet"/>
    <s v="Samanta"/>
    <d v="2026-02-18T03:31:01"/>
    <s v="Information Technology"/>
    <s v="RTA"/>
    <x v="3"/>
    <s v="Device error 0X133"/>
    <s v="Surjeet Samanta"/>
    <s v="SCCM-Nexthink Support"/>
    <m/>
    <s v="Automated Resolution Reported"/>
    <m/>
    <s v="4-Minor/Localized"/>
    <s v="4-Low"/>
    <s v="Dubai"/>
    <s v="Desktop"/>
    <s v="Proactive Monitoring"/>
    <s v="Proactive Action"/>
    <d v="2026-02-19T00:07:34"/>
    <s v="No"/>
    <s v="Within the Service Target"/>
    <s v="Email"/>
    <s v="Required registry fix has been pushed to the affected device.. No further action require"/>
    <s v="Closed"/>
    <s v="No"/>
    <s v="Techm_AMHamed"/>
    <s v="Low"/>
    <s v="Desktop"/>
    <s v="Proactive Monitoring"/>
    <s v="Proactive Action"/>
    <s v="Closed"/>
    <s v="V0024624"/>
    <m/>
    <m/>
    <n v="1"/>
    <s v="Standard"/>
    <s v="techm_sjsamanta"/>
    <s v="Techm_Surjeet.Samanta@rta.ae"/>
  </r>
  <r>
    <s v="INC000001317881"/>
    <s v="User Service Request"/>
    <s v="Khawla"/>
    <s v="Alansaari"/>
    <d v="2026-02-18T01:49:48"/>
    <s v="Security &amp; Monitoring"/>
    <s v="RTA"/>
    <x v="5"/>
    <s v="Software Installing Request"/>
    <s v="Techm Wahbaelrahman Hassan"/>
    <s v="Service Desk"/>
    <m/>
    <s v="USER TO CONFIRM"/>
    <m/>
    <s v="4-Minor/Localized"/>
    <s v="4-Low"/>
    <s v="Dubai"/>
    <s v="Incident"/>
    <s v="Self-service"/>
    <s v="Mendix"/>
    <d v="2026-02-24T13:20:05"/>
    <s v="No"/>
    <s v="Within the Service Target"/>
    <s v="Self Service"/>
    <s v="Phishrod reporter plug-in  has been installed on the user's machine"/>
    <s v="Resolved"/>
    <s v="No"/>
    <s v="mendix"/>
    <s v="Low"/>
    <s v="Desktop"/>
    <s v="RTA Non standard application  Request"/>
    <s v="Non-listed Application/Software"/>
    <s v="Resolved"/>
    <n v="14570"/>
    <m/>
    <m/>
    <n v="12"/>
    <s v="Standard"/>
    <s v="KAAlansaari"/>
    <s v="Khawla.Alansaari@rta.ae"/>
  </r>
  <r>
    <s v="INC000001317732"/>
    <s v="User Service Request"/>
    <s v="Web Jet"/>
    <s v="Alert"/>
    <d v="2026-02-17T16:01:54"/>
    <s v="Information Technology"/>
    <s v="RTA"/>
    <x v="3"/>
    <s v="[HPWJA] Black Cartridge Supply Threshold HP Color LaserJet M553 HP Only, HP Only\Models\M5"/>
    <s v="Ali Adam"/>
    <s v="OnSite  EUS"/>
    <m/>
    <s v="USER TO CONFIRM"/>
    <m/>
    <s v="4-Minor/Localized"/>
    <s v="4-Low"/>
    <s v="UMM RAMOOL NEW HQ 1A"/>
    <s v="Printer"/>
    <s v="Toner"/>
    <s v="Toner Request- Proactive Webjet"/>
    <d v="2026-02-24T11:52:42"/>
    <s v="No"/>
    <s v="Within the Service Target"/>
    <s v="Email"/>
    <e v="#NAME?"/>
    <s v="Resolved"/>
    <s v="No"/>
    <s v="wja"/>
    <s v="Low"/>
    <s v="Printer"/>
    <s v="Toner"/>
    <s v="Toner Request- Proactive Webjet"/>
    <s v="Resolved"/>
    <m/>
    <m/>
    <n v="191689"/>
    <n v="6"/>
    <s v="Standard"/>
    <s v="wja"/>
    <s v="wja@rta.global"/>
  </r>
  <r>
    <s v="INC000001317683"/>
    <s v="User Service Restoration"/>
    <s v="Palani"/>
    <s v="Ravanappan"/>
    <d v="2026-02-17T14:29:08"/>
    <s v="Rail Planning &amp; Projects Development"/>
    <s v="RTA"/>
    <x v="6"/>
    <s v="Email issue not appearing in search in outlook"/>
    <s v="Zain Alabedein Skheih"/>
    <s v="Service Desk"/>
    <m/>
    <s v="Automated Resolution Reported"/>
    <m/>
    <s v="3-Moderate/Limited"/>
    <s v="3-Medium"/>
    <s v="Dubai"/>
    <s v="Application"/>
    <s v="Application Services"/>
    <s v="Application Configuration"/>
    <d v="2026-02-20T09:59:37"/>
    <s v="No"/>
    <s v="Within the Service Target"/>
    <s v="Phone"/>
    <s v="User confirmed the issue had been solved."/>
    <s v="Closed"/>
    <s v="No"/>
    <s v="techm_ziskheih"/>
    <s v="Medium"/>
    <s v="Desktop"/>
    <s v="Mail Box Issue"/>
    <s v="Login Issue"/>
    <s v="Closed"/>
    <n v="15196"/>
    <m/>
    <m/>
    <n v="2"/>
    <s v="Standard"/>
    <s v="pkravanappan"/>
    <s v="Palani.Ravanappan@rta.ae"/>
  </r>
  <r>
    <s v="INC000001317675"/>
    <s v="User Service Restoration"/>
    <s v="Bashayer"/>
    <s v="Ahmed"/>
    <d v="2026-02-17T14:20:11"/>
    <s v="Enterprise Command &amp; Control"/>
    <s v="RTA"/>
    <x v="1"/>
    <s v="Unable to schedule or send a Microsoft Teams meeti"/>
    <s v="Techm Abdalbagee Hamed"/>
    <s v="Service Desk"/>
    <m/>
    <s v="USER TO CONFIRM"/>
    <m/>
    <s v="3-Moderate/Limited"/>
    <s v="3-Medium"/>
    <s v="Dubai"/>
    <s v="Incident"/>
    <s v="Self-service"/>
    <s v="Mendix"/>
    <d v="2026-02-24T11:10:24"/>
    <s v="No"/>
    <s v="Within the Service Target"/>
    <s v="Self Service"/>
    <e v="#NAME?"/>
    <s v="Resolved"/>
    <s v="No"/>
    <s v="mendix"/>
    <s v="Medium"/>
    <s v="Desktop"/>
    <s v="RTA Non standard application  Incidents"/>
    <s v="MS Teams"/>
    <s v="Resolved"/>
    <n v="13338"/>
    <m/>
    <m/>
    <n v="3"/>
    <s v="Standard"/>
    <s v="BABAhmed"/>
    <s v="Bashayer.Ahmed@rta.ae"/>
  </r>
  <r>
    <s v="INC000001317657"/>
    <s v="User Service Request"/>
    <s v="Mohamad"/>
    <s v="Tamimi"/>
    <d v="2026-02-17T14:00:25"/>
    <s v="Drivers Licensing"/>
    <s v="RTA"/>
    <x v="7"/>
    <s v="Outlook configuration request"/>
    <s v="Techm Ahmed Mahmoud"/>
    <s v="OnSite  EUS"/>
    <m/>
    <s v="Automated Resolution Reported"/>
    <m/>
    <s v="4-Minor/Localized"/>
    <s v="4-Low"/>
    <s v="Dubai"/>
    <s v="Desktop"/>
    <s v="Mail"/>
    <s v="Outlook Reconfiguration(RE)"/>
    <d v="2026-02-19T13:38:26"/>
    <s v="No"/>
    <s v="Within the Service Target"/>
    <s v="Phone"/>
    <s v="The Microsoft account has been successfully reset. MS Authenticator was installed on the mobile device and synchronized via QR code. Furthermore, Outlook has been properly configured and tested on the mobile app. Verified that all services are synchronized and working as expected."/>
    <s v="Closed"/>
    <s v="No"/>
    <s v="techm_ziskheih"/>
    <s v="Low"/>
    <s v="Desktop"/>
    <s v="Mail"/>
    <s v="Outlook Reconfiguration(RE)"/>
    <s v="Closed"/>
    <n v="878"/>
    <m/>
    <m/>
    <n v="1"/>
    <s v="Standard"/>
    <s v="msmaltamimi"/>
    <s v="Mohamad.Altamimi@rta.ae"/>
  </r>
  <r>
    <s v="INC000001317638"/>
    <s v="User Service Request"/>
    <s v="Eisa"/>
    <s v="Ali"/>
    <d v="2026-02-17T13:21:12"/>
    <s v="Vehicles Licensing"/>
    <s v="RTA"/>
    <x v="7"/>
    <s v="HDMI cable"/>
    <s v="Nihad Mozayek"/>
    <s v="OnSite  EUS"/>
    <m/>
    <s v="No Further Action Required"/>
    <m/>
    <s v="4-Minor/Localized"/>
    <s v="4-Low"/>
    <s v="Dubai"/>
    <s v="Desktop"/>
    <s v="Peripherals"/>
    <s v="VGA Cables"/>
    <d v="2026-02-23T08:34:55"/>
    <s v="No"/>
    <s v="Within the Service Target"/>
    <s v="Email"/>
    <s v="Power cable and HDMI cable has been provided to the user"/>
    <s v="Resolved"/>
    <s v="No"/>
    <s v="techm_maalneil"/>
    <s v="Low"/>
    <s v="Desktop"/>
    <s v="Peripherals"/>
    <s v="VGA Cables"/>
    <s v="Resolved"/>
    <n v="15168"/>
    <m/>
    <n v="191681"/>
    <n v="5"/>
    <s v="Standard"/>
    <s v="eaali"/>
    <s v="Eisa.Ali@rta.ae"/>
  </r>
  <r>
    <s v="INC000001317637"/>
    <s v="User Service Request"/>
    <s v="Ali"/>
    <s v="Nian"/>
    <d v="2026-02-17T13:19:21"/>
    <s v="Marine"/>
    <s v="RTA"/>
    <x v="4"/>
    <s v="Laptop replacement with Mobile Workstation"/>
    <s v="Techm Nabeesu Mohamed"/>
    <s v="Service Desk"/>
    <m/>
    <s v="Automated Resolution Reported"/>
    <m/>
    <s v="4-Minor/Localized"/>
    <s v="4-Low"/>
    <s v="Dubai"/>
    <s v="Incident"/>
    <s v="Self-service"/>
    <s v="Mendix"/>
    <d v="2026-02-20T13:42:52"/>
    <s v="No"/>
    <s v="Within the Service Target"/>
    <s v="Self Service"/>
    <s v="Informed user that that request for mobile workstation is non-standard hardware which is not available on our IT Service catalogue. Please send an official memo to ITD through Tarasul system to proceed further."/>
    <s v="Closed"/>
    <s v="No"/>
    <s v="mendix"/>
    <s v="Low"/>
    <s v="Desktop"/>
    <s v="Replacement"/>
    <s v="Laptop Replacement With Work Station"/>
    <s v="Closed"/>
    <n v="14466"/>
    <m/>
    <m/>
    <n v="9"/>
    <s v="Standard"/>
    <s v="AHUNian"/>
    <s v="Ali.HNian@rta.ae"/>
  </r>
  <r>
    <s v="INC000001317631"/>
    <s v="User Service Restoration"/>
    <s v="Loloh"/>
    <s v="AL Ali"/>
    <d v="2026-02-17T13:14:43"/>
    <s v="Procurement"/>
    <s v="RTA"/>
    <x v="0"/>
    <s v="Laptop Slowness Issue &quot;Disk C Full&quot;"/>
    <s v="Solaiman Alhussni"/>
    <s v="OnSite  EUS"/>
    <m/>
    <s v="Automated Resolution Reported"/>
    <m/>
    <s v="3-Moderate/Limited"/>
    <s v="3-Medium"/>
    <s v="UMM RAMOOL NEW HQ 6C"/>
    <s v="Desktop"/>
    <s v="OS Issue"/>
    <s v="Booting Issue"/>
    <d v="2026-02-19T12:12:38"/>
    <s v="No"/>
    <s v="Within the Service Target"/>
    <s v="Phone"/>
    <s v="PC slowness issue  KBA00013671  New Laptop Replacement Request are opened INC000001318675"/>
    <s v="Closed"/>
    <s v="No"/>
    <s v="techm_ziskheih"/>
    <s v="Medium"/>
    <s v="Desktop"/>
    <s v="OS Issue"/>
    <s v="PC Slowness Issue"/>
    <s v="Closed"/>
    <n v="6361"/>
    <m/>
    <m/>
    <n v="10"/>
    <s v="Standard"/>
    <s v="lalali"/>
    <s v="Loloh.ALAli@rta.ae"/>
  </r>
  <r>
    <s v="INC000001317617"/>
    <s v="User Service Restoration"/>
    <s v="Mohamed"/>
    <s v="Kouta-Contractor"/>
    <d v="2026-02-17T13:04:27"/>
    <s v="Passengers Transport Activities Monitoring"/>
    <s v="RTA"/>
    <x v="4"/>
    <s v="Virus Issue"/>
    <s v="Techm Ahmad Khantomany"/>
    <s v="OnSite  EUS"/>
    <m/>
    <s v="Automated Resolution Reported"/>
    <m/>
    <s v="1-Extensive/Widespread"/>
    <s v="1-Critical"/>
    <s v="Dubai"/>
    <s v="Desktop"/>
    <s v="Virus Issue"/>
    <s v="Virus issue"/>
    <d v="2026-02-19T11:05:48"/>
    <s v="No"/>
    <s v="Within the Service Target"/>
    <s v="Email"/>
    <s v="Fully scanned the endpoint with AV and deleted the quarantined items. Cleared the cache and Temp files. Ran full system virus scan and no risks were found."/>
    <s v="Closed"/>
    <s v="No"/>
    <s v="techm_maalneil"/>
    <s v="Critical"/>
    <s v="Desktop"/>
    <s v="Virus Issue"/>
    <s v="Virus issue"/>
    <s v="Closed"/>
    <s v="V0031598"/>
    <m/>
    <m/>
    <n v="1"/>
    <s v="Standard"/>
    <s v="experts_mrkouta"/>
    <s v="Experts_Mohamed.Kouta@rta.ae"/>
  </r>
  <r>
    <s v="INC000001317608"/>
    <s v="User Service Restoration"/>
    <s v="Mudassir"/>
    <s v="Siddiqi-Contractor"/>
    <d v="2026-02-17T12:54:27"/>
    <s v="Smart Services"/>
    <s v="RTA"/>
    <x v="3"/>
    <s v="Virus Issue"/>
    <s v="Techm Elsayed Mohamed"/>
    <s v="OnSite  EUS"/>
    <m/>
    <s v="Automated Resolution Reported"/>
    <m/>
    <s v="1-Extensive/Widespread"/>
    <s v="1-Critical"/>
    <s v="Dubai"/>
    <s v="Desktop"/>
    <s v="Virus Issue"/>
    <s v="Virus issue"/>
    <d v="2026-02-19T09:07:06"/>
    <s v="No"/>
    <s v="Within the Service Target"/>
    <s v="Email"/>
    <e v="#NAME?"/>
    <s v="Closed"/>
    <s v="No"/>
    <s v="techm_maalneil"/>
    <s v="Critical"/>
    <s v="Desktop"/>
    <s v="Virus Issue"/>
    <s v="Virus issue"/>
    <s v="Closed"/>
    <s v="V001060"/>
    <m/>
    <m/>
    <n v="1"/>
    <s v="Standard"/>
    <s v="Transskills_MHSiddiq"/>
    <s v="Transskills_Mudassir.Siddiqi@rta.ae"/>
  </r>
  <r>
    <s v="INC000001317601"/>
    <s v="User Service Restoration"/>
    <s v="Najeeb"/>
    <s v="abdelhadi"/>
    <d v="2026-02-17T12:48:54"/>
    <s v="Development &amp; Corporate Performance"/>
    <s v="RTA"/>
    <x v="1"/>
    <s v="DELL Laptop Slowness Issue - RAM upgrade"/>
    <s v="Mohamed Nishad Usman"/>
    <s v="OnSite  EUS"/>
    <m/>
    <s v="USER TO CONFIRM"/>
    <m/>
    <s v="3-Moderate/Limited"/>
    <s v="3-Medium"/>
    <m/>
    <s v="Desktop"/>
    <s v="OS Issue"/>
    <s v="PC Slowness Issue"/>
    <d v="2026-02-24T13:25:09"/>
    <s v="No"/>
    <s v="Within the Service Target"/>
    <s v="Phone"/>
    <s v="RAM has been upgraded and working fine"/>
    <s v="Resolved"/>
    <s v="No"/>
    <s v="techm_ziskheih"/>
    <s v="Medium"/>
    <s v="Desktop"/>
    <s v="Peripherals"/>
    <s v="RAM"/>
    <s v="Resolved"/>
    <s v="V0010982"/>
    <m/>
    <n v="191697"/>
    <n v="9"/>
    <s v="Standard"/>
    <s v="naabdelhadi"/>
    <s v="Najeeb.Abdelhadi@rta.ae"/>
  </r>
  <r>
    <s v="INC000001317564"/>
    <s v="User Service Restoration"/>
    <s v="Maryam"/>
    <s v="AlHammadi"/>
    <d v="2026-02-17T11:54:28"/>
    <s v="Customer Happiness"/>
    <s v="RTA"/>
    <x v="0"/>
    <s v="PC Slowness Issue"/>
    <s v="Techm Ahmed Mahmoud"/>
    <s v="OnSite  EUS"/>
    <m/>
    <s v="USER TO CONFIRM"/>
    <m/>
    <s v="3-Moderate/Limited"/>
    <s v="3-Medium"/>
    <s v="UMM RAMOOL -CUSTOMER SERVICE CENTER BLDG"/>
    <s v="Desktop"/>
    <s v="OS Issue"/>
    <s v="PC Slowness Issue"/>
    <d v="2026-02-24T11:36:11"/>
    <s v="No"/>
    <s v="Within the Service Target"/>
    <s v="Phone"/>
    <s v="A confirmation email has been attached for the asset collection as the user is currently working on a laptop, which serves as her primary system, eliminating the need to maintain an extra desktop. The separate request for the asset collection has been documented under ticket INC000001321073; therefore, all necessary actions have been completed and this ticket is now resolved."/>
    <s v="Resolved"/>
    <s v="No"/>
    <s v="Techm_GAHamad"/>
    <s v="Medium"/>
    <s v="Desktop"/>
    <s v="OS Issue"/>
    <s v="PC Slowness Issue"/>
    <s v="Resolved"/>
    <n v="5548"/>
    <m/>
    <m/>
    <n v="1"/>
    <s v="Sensitive"/>
    <s v="myalhammadi"/>
    <s v="maryam.alhammadi@rta.ae"/>
  </r>
  <r>
    <s v="INC000001317524"/>
    <s v="User Service Restoration"/>
    <s v="Techm Abdul"/>
    <s v="Raheem"/>
    <d v="2026-02-17T11:12:35"/>
    <s v="Information Technology"/>
    <s v="RTA"/>
    <x v="3"/>
    <s v="Laptop Issue."/>
    <s v="Techm Elsayed Mohamed"/>
    <s v="OnSite  EUS"/>
    <m/>
    <s v="USER TO CONFIRM"/>
    <m/>
    <s v="3-Moderate/Limited"/>
    <s v="3-Medium"/>
    <s v="HQ Block A 5th Floor"/>
    <s v="Incident"/>
    <s v="Self-service"/>
    <s v="Mendix"/>
    <d v="2026-02-24T09:36:57"/>
    <s v="No"/>
    <s v="Within the Service Target"/>
    <s v="Self Service"/>
    <s v="New ticket # INC000001320382 is raised for laptop replacementNew ticket # INC000001320382 is raised for laptop replacement"/>
    <s v="Resolved"/>
    <s v="No"/>
    <s v="mendix"/>
    <s v="Medium"/>
    <s v="Desktop"/>
    <s v="OS Issue"/>
    <s v="PC Slowness Issue"/>
    <s v="Resolved"/>
    <s v="V004724"/>
    <m/>
    <m/>
    <n v="11"/>
    <s v="Standard"/>
    <s v="Techm_ARRaheem"/>
    <s v="Techm_Abdul.Raheem@rta.ae"/>
  </r>
  <r>
    <s v="INC000001317507"/>
    <s v="User Service Restoration"/>
    <s v="Khadija"/>
    <s v="Eissa"/>
    <d v="2026-02-17T11:02:49"/>
    <s v="Customer Happiness"/>
    <s v="RTA"/>
    <x v="0"/>
    <s v="PC Slowness Issue"/>
    <s v="Techm Ahmed Mahmoud"/>
    <s v="OnSite  EUS"/>
    <m/>
    <s v="USER TO CONFIRM"/>
    <m/>
    <s v="3-Moderate/Limited"/>
    <s v="3-Medium"/>
    <s v="Deira (Licensing ) Customer Service Center"/>
    <s v="Desktop"/>
    <s v="OS Issue"/>
    <s v="PC Slowness Issue"/>
    <d v="2026-02-25T14:01:07"/>
    <s v="No"/>
    <s v="Within the Service Target"/>
    <s v="Phone"/>
    <s v="Please note that there is a Ticket # INC000001321538  is raised for desktop replacement. New desktop will be released based on the same. hence closing this ticket."/>
    <s v="Resolved"/>
    <s v="No"/>
    <s v="Techm_GAHamad"/>
    <s v="Medium"/>
    <s v="Desktop"/>
    <s v="OS Issue"/>
    <s v="PC Slowness Issue"/>
    <s v="Resolved"/>
    <n v="6445"/>
    <m/>
    <m/>
    <n v="8"/>
    <s v="Standard"/>
    <s v="kieissa"/>
    <s v="khadija.eissa@rta.ae"/>
  </r>
  <r>
    <s v="INC000001317470"/>
    <s v="User Service Restoration"/>
    <s v="Archana"/>
    <s v="Karkala"/>
    <d v="2026-02-17T10:42:55"/>
    <s v="Information Technology"/>
    <s v="RTA"/>
    <x v="3"/>
    <s v="Oracle authenticator issue"/>
    <s v="Ismael Ismael"/>
    <s v="Service Desk"/>
    <m/>
    <s v="Automated Resolution Reported"/>
    <m/>
    <s v="3-Moderate/Limited"/>
    <s v="3-Medium"/>
    <s v="Dubai"/>
    <s v="Desktop"/>
    <s v="Configuration"/>
    <s v="VPN Configuration"/>
    <d v="2026-02-19T13:51:09"/>
    <s v="No"/>
    <s v="Within the Service Target"/>
    <s v="Phone"/>
    <s v="Received confirmation from user over phone that the issue got resolved"/>
    <s v="Closed"/>
    <s v="No"/>
    <s v="techm_iaismael"/>
    <s v="Medium"/>
    <s v="Desktop"/>
    <s v="Configuration"/>
    <s v="VPN Troubleshooting"/>
    <s v="Closed"/>
    <s v="V0024979"/>
    <m/>
    <m/>
    <n v="2"/>
    <s v="Standard"/>
    <s v="dit_akkarkala"/>
    <s v="Dit_Archana.AKarkala@rta.ae"/>
  </r>
  <r>
    <s v="INC000001317452"/>
    <s v="User Service Request"/>
    <s v="Fahad"/>
    <s v="Ansari"/>
    <d v="2026-02-17T10:08:56"/>
    <s v="Rail Operations"/>
    <s v="RTA"/>
    <x v="6"/>
    <s v="Software Installing Request"/>
    <s v="Techm Ghaya Hamad"/>
    <s v="Service Desk"/>
    <m/>
    <s v="USER TO CONFIRM"/>
    <m/>
    <s v="4-Minor/Localized"/>
    <s v="4-Low"/>
    <s v="Dubai"/>
    <s v="Incident"/>
    <s v="Self-service"/>
    <s v="Mendix"/>
    <d v="2026-02-25T10:43:32"/>
    <s v="No"/>
    <s v="Within the Service Target"/>
    <s v="Self Service"/>
    <s v="alternate solution to open MKV files, you can use a media plyer"/>
    <s v="Resolved"/>
    <s v="No"/>
    <s v="mendix"/>
    <s v="Low"/>
    <s v="Desktop"/>
    <s v="RTA Non standard application  Request"/>
    <s v="Non-listed Application/Software"/>
    <s v="Resolved"/>
    <n v="15390"/>
    <m/>
    <m/>
    <n v="18"/>
    <s v="Standard"/>
    <s v="ffansari"/>
    <s v="Fahad.Ansari@rta.ae"/>
  </r>
  <r>
    <s v="INC000001317373"/>
    <s v="User Service Request"/>
    <s v="Hamdi"/>
    <s v="Saleh"/>
    <d v="2026-02-17T08:54:39"/>
    <s v="Parking"/>
    <s v="RTA"/>
    <x v="2"/>
    <s v="RAM upgrade request"/>
    <s v="Techm Osama Abdullatif"/>
    <s v="OnSite  EUS"/>
    <m/>
    <s v="USER TO CONFIRM"/>
    <m/>
    <s v="4-Minor/Localized"/>
    <s v="4-Low"/>
    <s v="MUHAISNAH -DUBAI TAXI OLD BUILDING"/>
    <s v="Desktop"/>
    <s v="Upgrade"/>
    <s v="Desktop RAM"/>
    <d v="2026-02-24T09:37:25"/>
    <s v="No"/>
    <s v="Within the Service Target"/>
    <s v="Email"/>
    <s v="Laptop RAM upgraded to 16gb as requested."/>
    <s v="Resolved"/>
    <s v="No"/>
    <s v="Techm_OFMohamed"/>
    <s v="Low"/>
    <s v="Desktop"/>
    <s v="Upgrade"/>
    <s v="Laptop RAM"/>
    <s v="Resolved"/>
    <n v="3576"/>
    <m/>
    <n v="191696"/>
    <n v="11"/>
    <s v="Standard"/>
    <s v="hnsaleh"/>
    <s v="Hamdi.Saleh@rta.ae"/>
  </r>
  <r>
    <s v="INC000001317345"/>
    <s v="User Service Request"/>
    <s v="Assil"/>
    <s v="Bittar"/>
    <d v="2026-02-17T08:23:57"/>
    <s v="Customer Happiness"/>
    <s v="RTA"/>
    <x v="0"/>
    <s v="Outlook configuration Request"/>
    <s v="Ali Adam"/>
    <s v="OnSite  EUS"/>
    <m/>
    <s v="USER TO CONFIRM"/>
    <m/>
    <s v="4-Minor/Localized"/>
    <s v="4-Low"/>
    <s v="Dubai"/>
    <s v="Desktop"/>
    <s v="Mail"/>
    <s v="Outlook Reconfiguration(RE)"/>
    <d v="2026-02-24T12:37:07"/>
    <s v="No"/>
    <s v="Within the Service Target"/>
    <s v="Phone"/>
    <e v="#NAME?"/>
    <s v="Resolved"/>
    <s v="No"/>
    <s v="Techm_GAHamad"/>
    <s v="Low"/>
    <s v="Desktop"/>
    <s v="Mail"/>
    <s v="Outlook Reconfiguration(RE)"/>
    <s v="Resolved"/>
    <n v="2942"/>
    <m/>
    <m/>
    <n v="6"/>
    <s v="Sensitive"/>
    <s v="asbittar"/>
    <s v="Assil.Bittar@rta.ae"/>
  </r>
  <r>
    <s v="INC000001317302"/>
    <s v="User Service Request"/>
    <s v="Surjeet"/>
    <s v="Samanta"/>
    <d v="2026-02-17T05:17:14"/>
    <s v="Information Technology"/>
    <s v="RTA"/>
    <x v="3"/>
    <s v="Nexthink: Device error 0X133"/>
    <s v="Surjeet Samanta"/>
    <s v="SCCM-Nexthink Support"/>
    <m/>
    <s v="Automated Resolution Reported"/>
    <m/>
    <s v="4-Minor/Localized"/>
    <s v="4-Low"/>
    <s v="Dubai"/>
    <s v="Desktop"/>
    <s v="Proactive Monitoring"/>
    <s v="Proactive Action"/>
    <d v="2026-02-19T00:18:20"/>
    <s v="No"/>
    <s v="Within the Service Target"/>
    <s v="Email"/>
    <s v="Required registry fix has been pushed to the affected device.. No further action required"/>
    <s v="Closed"/>
    <s v="No"/>
    <s v="Techm_AMHamed"/>
    <s v="Low"/>
    <s v="Desktop"/>
    <s v="Proactive Monitoring"/>
    <s v="Proactive Action"/>
    <s v="Closed"/>
    <s v="V0024624"/>
    <m/>
    <m/>
    <n v="1"/>
    <s v="Standard"/>
    <s v="techm_sjsamanta"/>
    <s v="Techm_Surjeet.Samanta@rta.ae"/>
  </r>
  <r>
    <s v="INC000001317287"/>
    <s v="User Service Request"/>
    <s v="Maher"/>
    <s v="Mattit Marwan"/>
    <d v="2026-02-17T04:06:09"/>
    <s v="Roads"/>
    <s v="RTA"/>
    <x v="2"/>
    <s v="New Laptop Request - New Joiners - Tuesday 17.02.2026"/>
    <s v="Ahmed Almeldeen"/>
    <s v="OnSite  EUS"/>
    <m/>
    <s v="No Further Action Required"/>
    <m/>
    <s v="4-Minor/Localized"/>
    <s v="4-Low"/>
    <s v="UMM RAMOOL - NEW HQ"/>
    <s v="Desktop"/>
    <s v="Hardware Request"/>
    <s v="Laptop"/>
    <d v="2026-02-23T11:26:09"/>
    <s v="No"/>
    <s v="Within the Service Target"/>
    <s v="Email"/>
    <s v="New laptop has been configured and handed to the user"/>
    <s v="Resolved"/>
    <s v="No"/>
    <s v="Techm_AMHamed"/>
    <s v="Low"/>
    <s v="Desktop"/>
    <s v="New Joiner Request"/>
    <s v="Laptop Request"/>
    <s v="Resolved"/>
    <n v="2862"/>
    <m/>
    <n v="191674"/>
    <n v="8"/>
    <s v="Standard"/>
    <s v="mmmattit"/>
    <s v="maher.mattit@rta.ae"/>
  </r>
  <r>
    <s v="INC000001317284"/>
    <s v="User Service Request"/>
    <s v="Ahmed"/>
    <s v="AlHaatemi"/>
    <d v="2026-02-17T03:40:41"/>
    <s v="Safety &amp; Risk Regulation and Planning"/>
    <s v="RTA"/>
    <x v="1"/>
    <s v="iPad request"/>
    <s v="Techm Elsayed Mohamed"/>
    <s v="OnSite  EUS"/>
    <m/>
    <s v="USER TO CONFIRM"/>
    <m/>
    <s v="2-Significant/Large"/>
    <s v="2-High"/>
    <s v="UMM RAMOOL NEW HQ 7A -CONTRACT AND PURCHASING"/>
    <s v="Desktop"/>
    <s v="Hardware Request"/>
    <s v="IPad"/>
    <d v="2026-02-23T14:05:57"/>
    <s v="No"/>
    <s v="Within the Service Target"/>
    <s v="Email"/>
    <e v="#NAME?"/>
    <s v="Resolved"/>
    <s v="No"/>
    <s v="Techm_AMHamed"/>
    <s v="High"/>
    <s v="Desktop"/>
    <s v="Hardware Request"/>
    <s v="IPad"/>
    <s v="Resolved"/>
    <n v="10327"/>
    <m/>
    <m/>
    <n v="6"/>
    <s v="Sensitive"/>
    <s v="amalhatemi"/>
    <s v="Ahmed.Alhatemi@rta.ae"/>
  </r>
  <r>
    <s v="INC000001317274"/>
    <s v="User Service Request"/>
    <s v="Aisha"/>
    <s v="Al Nuaimi"/>
    <d v="2026-02-17T02:57:06"/>
    <s v="Customer Happiness"/>
    <s v="RTA"/>
    <x v="0"/>
    <s v="Request to configure MS edge in IE mode to use smart traffic"/>
    <s v="Aryam Juma Mohammad Albasata Albasata"/>
    <s v="Service Desk"/>
    <m/>
    <s v="Automated Resolution Reported"/>
    <m/>
    <s v="4-Minor/Localized"/>
    <s v="4-Low"/>
    <s v="Dubai"/>
    <s v="Desktop"/>
    <s v="RTA Standard Application installation Request"/>
    <s v="MS Edge"/>
    <d v="2026-02-19T11:14:23"/>
    <s v="No"/>
    <s v="Within the Service Target"/>
    <s v="Email"/>
    <s v="Configured system URL on Microsoft Edge as below steps :  1/  In Edge settings.  2/  Go to default browser.  3/ Then go to Internet Explorer compatibility.  4/  Then add &quot; Smart  Traffic Link&quot; to internet Explorer mode pages.  5/ Enabled internet Explorer mode and chose it allow.  6/  Restart the browser to take effects."/>
    <s v="Closed"/>
    <s v="No"/>
    <s v="Techm_AMHamed"/>
    <s v="Low"/>
    <s v="Desktop"/>
    <s v="RTA Standard Application installation Request"/>
    <s v="MS Edge"/>
    <s v="Closed"/>
    <n v="11777"/>
    <m/>
    <m/>
    <n v="1"/>
    <s v="Standard"/>
    <s v="asaalnuaimi"/>
    <s v="Aisha.Alnuaimi@rta.ae"/>
  </r>
  <r>
    <s v="INC000001317176"/>
    <s v="User Service Restoration"/>
    <s v="Waqar"/>
    <s v="Ayappally"/>
    <d v="2026-02-16T19:32:41"/>
    <s v="Buses"/>
    <s v="RTA"/>
    <x v="4"/>
    <s v="Remote Desktop connection Not working "/>
    <s v="Techm Wahbaelrahman Hassan"/>
    <s v="Service Desk"/>
    <m/>
    <s v="USER TO CONFIRM"/>
    <m/>
    <s v="3-Moderate/Limited"/>
    <s v="3-Medium"/>
    <m/>
    <s v="Incident"/>
    <s v="Self-service"/>
    <s v="Mendix"/>
    <d v="2026-02-24T13:06:36"/>
    <s v="No"/>
    <s v="Within the Service Target"/>
    <s v="Self Service"/>
    <s v="3 reminders have been sent to the user with no response; as per process, the ticket will be closed."/>
    <s v="Resolved"/>
    <s v="No"/>
    <s v="mendix"/>
    <s v="Medium"/>
    <s v="Desktop"/>
    <s v="Network Connectivity issues"/>
    <s v="Network Port Issue"/>
    <s v="Resolved"/>
    <n v="14849"/>
    <m/>
    <m/>
    <n v="4"/>
    <s v="Standard"/>
    <s v="wyayappally"/>
    <s v="Waqar.Ayappally@rta.ae"/>
  </r>
  <r>
    <s v="INC000001317024"/>
    <s v="User Service Request"/>
    <s v="Mona"/>
    <s v="Mohamad"/>
    <d v="2026-02-16T13:55:26"/>
    <s v="Passengers Transport Activities Monitoring"/>
    <s v="RTA"/>
    <x v="4"/>
    <s v="External Monitor\ Khawaneej Depot"/>
    <s v="Techm Nabeesu Mohamed"/>
    <s v="Service Desk"/>
    <m/>
    <s v="USER TO CONFIRM"/>
    <m/>
    <s v="4-Minor/Localized"/>
    <s v="4-Low"/>
    <s v="Dubai"/>
    <s v="Incident"/>
    <s v="Self-service"/>
    <s v="Mendix"/>
    <d v="2026-02-24T12:53:28"/>
    <s v="No"/>
    <s v="Within the Service Target"/>
    <s v="Self Service"/>
    <s v="Based on update from ITD, We regret to inform you that your request can not be processed,  Please note that as per RTA policy terms and conditions your request for external monitor request is not approved."/>
    <s v="Resolved"/>
    <s v="No"/>
    <s v="mendix"/>
    <s v="Low"/>
    <s v="Desktop"/>
    <s v="Peripherals"/>
    <s v="Monitor"/>
    <s v="Resolved"/>
    <n v="13304"/>
    <m/>
    <m/>
    <n v="8"/>
    <s v="Standard"/>
    <s v="MYOMohamad"/>
    <s v="Mona.Mohamad@rta.ae"/>
  </r>
  <r>
    <s v="INC000001316920"/>
    <s v="User Service Restoration"/>
    <s v="Nasser"/>
    <s v="Alnasser"/>
    <d v="2026-02-16T12:10:03"/>
    <s v="Licensing Activities Monitoring"/>
    <s v="RTA"/>
    <x v="7"/>
    <s v="Laptop Battery Issue"/>
    <s v="Nihad Mozayek"/>
    <s v="OnSite  EUS"/>
    <m/>
    <s v="No Further Action Required"/>
    <m/>
    <s v="3-Moderate/Limited"/>
    <s v="3-Medium"/>
    <m/>
    <s v="Desktop"/>
    <s v="OS Issue"/>
    <s v="PC Slowness Issue"/>
    <d v="2026-02-23T15:19:11"/>
    <s v="No"/>
    <s v="Within the Service Target"/>
    <s v="Phone"/>
    <s v="Laptop battery has been replaced with new one by AMC team"/>
    <s v="Resolved"/>
    <s v="No"/>
    <s v="techm_ziskheih"/>
    <s v="Medium"/>
    <s v="Desktop"/>
    <s v="PC Hardware Issue"/>
    <s v="Battery Issue"/>
    <s v="Resolved"/>
    <n v="14968"/>
    <m/>
    <n v="191682"/>
    <n v="5"/>
    <s v="Standard"/>
    <s v="naalnasser"/>
    <s v="Nasser.Alnasser@rta.ae"/>
  </r>
  <r>
    <s v="INC000001316912"/>
    <s v="User Service Request"/>
    <s v="Osama"/>
    <s v="Khudair"/>
    <d v="2026-02-16T12:04:06"/>
    <s v="Information Technology"/>
    <s v="RTA"/>
    <x v="3"/>
    <s v="Share folder remap request"/>
    <s v="Mohamed Alajlani"/>
    <s v="Service Desk"/>
    <m/>
    <s v="USER TO CONFIRM"/>
    <m/>
    <s v="4-Minor/Localized"/>
    <s v="4-Low"/>
    <s v="Dubai"/>
    <s v="Desktop"/>
    <s v="Profile"/>
    <s v="Re -map a share folder(RE)"/>
    <d v="2026-02-24T12:21:21"/>
    <s v="No"/>
    <s v="Within the Service Target"/>
    <s v="Email"/>
    <s v="The shared folders have been mapped successfully."/>
    <s v="Resolved"/>
    <s v="No"/>
    <s v="Techm_OFMohamed"/>
    <s v="Low"/>
    <s v="Desktop"/>
    <s v="Profile"/>
    <s v="Re -Map Share Folder"/>
    <s v="Resolved"/>
    <s v="V0032670"/>
    <m/>
    <m/>
    <n v="5"/>
    <s v="Standard"/>
    <s v="okool_ookhudair"/>
    <s v="Okool_Osama.Khudair@rta.ae"/>
  </r>
  <r>
    <s v="INC000001316909"/>
    <s v="User Service Request"/>
    <s v="Andrey"/>
    <s v="Dumanskiy"/>
    <d v="2026-02-16T12:00:39"/>
    <s v="Security &amp; Monitoring"/>
    <s v="RTA"/>
    <x v="5"/>
    <s v="Software Installing Request"/>
    <s v="Ismael Ismael"/>
    <s v="Service Desk"/>
    <m/>
    <s v="No Further Action Required"/>
    <m/>
    <s v="4-Minor/Localized"/>
    <s v="4-Low"/>
    <s v="Dubai"/>
    <s v="Incident"/>
    <s v="Self-service"/>
    <s v="Mendix"/>
    <d v="2026-02-24T10:20:49"/>
    <s v="No"/>
    <s v="Within the Service Target"/>
    <s v="Self Service"/>
    <s v="user will raise new request to be sent to his manager directly"/>
    <s v="Resolved"/>
    <s v="No"/>
    <s v="mendix"/>
    <s v="Low"/>
    <s v="Desktop"/>
    <s v="RTA Non standard application  Request"/>
    <s v="MS Office 2013 Professional"/>
    <s v="Resolved"/>
    <s v="V0034751"/>
    <m/>
    <m/>
    <n v="4"/>
    <s v="Standard"/>
    <s v="intertec_aidumanskiy"/>
    <s v="Intertec_Andrey.Dumanskiy@rta.ae"/>
  </r>
  <r>
    <s v="INC000001316906"/>
    <s v="User Service Request"/>
    <s v="Web Jet"/>
    <s v="Alert"/>
    <d v="2026-02-16T11:59:34"/>
    <s v="Information Technology"/>
    <s v="RTA"/>
    <x v="3"/>
    <s v="[HPWJA] Yellow Cartridge Supply Threshold HP LaserJet 700 color MFP M775 HP Only, HP Only\"/>
    <s v="Ali Adam"/>
    <s v="OnSite  EUS"/>
    <m/>
    <s v="Automated Resolution Reported"/>
    <m/>
    <s v="4-Minor/Localized"/>
    <s v="4-Low"/>
    <s v="UMM RAMOOL NEW HQ 1A"/>
    <s v="Printer"/>
    <s v="Toner"/>
    <s v="Toner Request- Proactive Webjet"/>
    <d v="2026-02-19T10:23:57"/>
    <s v="No"/>
    <s v="Within the Service Target"/>
    <s v="Email"/>
    <e v="#NAME?"/>
    <s v="Closed"/>
    <s v="No"/>
    <s v="wja"/>
    <s v="Low"/>
    <s v="Printer"/>
    <s v="Toner"/>
    <s v="Toner Request- Proactive Webjet"/>
    <s v="Closed"/>
    <m/>
    <m/>
    <n v="191670"/>
    <n v="6"/>
    <s v="Standard"/>
    <s v="wja"/>
    <s v="wja@rta.global"/>
  </r>
  <r>
    <s v="INC000001316842"/>
    <s v="User Service Request"/>
    <s v="Aliya"/>
    <s v="Marhoon"/>
    <d v="2026-02-16T10:57:31"/>
    <s v="Dubai Traffic &amp; Roads CEO"/>
    <s v="RTA"/>
    <x v="2"/>
    <s v="Ethernet Cable Request"/>
    <s v="Techm Omer Idris"/>
    <s v="OnSite  EUS"/>
    <m/>
    <s v="Automated Resolution Reported"/>
    <m/>
    <s v="4-Minor/Localized"/>
    <s v="4-Low"/>
    <s v="Dubai"/>
    <s v="Desktop"/>
    <s v="Peripherals"/>
    <s v="Network Cable"/>
    <d v="2026-02-19T13:10:59"/>
    <s v="No"/>
    <s v="Within the Service Target"/>
    <s v="Phone"/>
    <s v="Ethernet Cable has been provided to User"/>
    <s v="Closed"/>
    <s v="No"/>
    <s v="techm_ajalbasata"/>
    <s v="Low"/>
    <s v="Desktop"/>
    <s v="Peripherals"/>
    <s v="Network Cable"/>
    <s v="Closed"/>
    <n v="14697"/>
    <m/>
    <n v="191675"/>
    <n v="6"/>
    <s v="Standard"/>
    <s v="AAMarhoon"/>
    <s v="Aliya.Marhoon@rta.ae"/>
  </r>
  <r>
    <s v="INC000001316749"/>
    <s v="User Service Restoration"/>
    <s v="Abdallah"/>
    <s v="Alfaouri"/>
    <d v="2026-02-16T10:09:27"/>
    <s v="Development &amp; Corporate Performance"/>
    <s v="RTA"/>
    <x v="1"/>
    <s v="dongle issue"/>
    <s v="Mohamed Nishad Usman"/>
    <s v="OnSite  EUS"/>
    <m/>
    <s v="Automated Resolution Reported"/>
    <m/>
    <s v="3-Moderate/Limited"/>
    <s v="3-Medium"/>
    <s v="UMM RAMOOL -BLOCK A"/>
    <s v="Desktop"/>
    <s v="Peripherals"/>
    <s v="Monitor"/>
    <d v="2026-02-19T13:47:50"/>
    <s v="No"/>
    <s v="Within the Service Target"/>
    <s v="Phone"/>
    <s v="Replaced the docking station and is working"/>
    <s v="Closed"/>
    <s v="No"/>
    <s v="techm_iaismael"/>
    <s v="Medium"/>
    <s v="Desktop"/>
    <s v="PC Hardware Issue"/>
    <s v="Docking Station Issue"/>
    <s v="Closed"/>
    <n v="10618"/>
    <m/>
    <m/>
    <n v="3"/>
    <s v="Standard"/>
    <s v="ahalfaouri"/>
    <s v="Abdallah.Alfaouri@rta.ae"/>
  </r>
  <r>
    <s v="INC000001316737"/>
    <s v="User Service Restoration"/>
    <s v="Ahmed"/>
    <s v="Aboelkheir"/>
    <d v="2026-02-16T09:16:07"/>
    <s v="Maintenance &amp; Services"/>
    <s v="RTA"/>
    <x v="4"/>
    <s v="RTA Ipad Charging Cable_PTA"/>
    <s v="Techm Ahmad Khantomany"/>
    <s v="OnSite  EUS"/>
    <m/>
    <s v="USER TO CONFIRM"/>
    <m/>
    <s v="3-Moderate/Limited"/>
    <s v="3-Medium"/>
    <m/>
    <s v="Incident"/>
    <s v="Self-service"/>
    <s v="Mendix"/>
    <d v="2026-02-23T12:52:09"/>
    <s v="No"/>
    <s v="Within the Service Target"/>
    <s v="Self Service"/>
    <s v="Ipad Charging Cable was provided to user."/>
    <s v="Resolved"/>
    <s v="No"/>
    <s v="mendix"/>
    <s v="Medium"/>
    <s v="Desktop"/>
    <s v="Peripherals"/>
    <s v="Laptop Charger"/>
    <s v="Resolved"/>
    <n v="15004"/>
    <m/>
    <m/>
    <n v="6"/>
    <s v="Standard"/>
    <s v="amaboelkheir"/>
    <s v="Ahmed.Aboelkheir@rta.ae"/>
  </r>
  <r>
    <s v="INC000001316669"/>
    <s v="User Service Request"/>
    <s v="Abd"/>
    <s v="Shukair"/>
    <d v="2026-02-16T08:07:41"/>
    <s v="Licensing Systems"/>
    <s v="RTA"/>
    <x v="7"/>
    <s v="External Monitor"/>
    <s v="Techm Nabeesu Mohamed"/>
    <s v="Service Desk"/>
    <m/>
    <s v="Automated Resolution Reported"/>
    <m/>
    <s v="4-Minor/Localized"/>
    <s v="4-Low"/>
    <s v="Dubai"/>
    <s v="Incident"/>
    <s v="Self-service"/>
    <s v="Mendix"/>
    <d v="2026-02-20T08:40:12"/>
    <s v="No"/>
    <s v="Within the Service Target"/>
    <s v="Self Service"/>
    <s v="Informed user that request for monitor has been exceptionally approved by ITD. However budget transfer is required.  Budget required for 24 inch monitor : AED 950/-  Account name: ATS IT Equipment – Monitor Account Number: 21604 Budget Transfer should be from CAPEX to CAPEX Estimated delivery lead time - 3-4 weeks Please mention the ticket number in budget transfer system.  Note: We will close the ticket and once the budget is transferred we will reopen the ticket."/>
    <s v="Closed"/>
    <s v="No"/>
    <s v="mendix"/>
    <s v="Low"/>
    <s v="Desktop"/>
    <s v="Peripherals"/>
    <s v="Monitor"/>
    <s v="Closed"/>
    <n v="15971"/>
    <s v="Business Justifications"/>
    <m/>
    <n v="9"/>
    <s v="Standard"/>
    <s v="aashukair"/>
    <s v="Abd.Shukair@rta.ae"/>
  </r>
  <r>
    <s v="INC000001316643"/>
    <s v="User Service Restoration"/>
    <s v="Mahmoud"/>
    <s v="Mohamoud"/>
    <d v="2026-02-16T07:33:53"/>
    <s v="Maintenance &amp; Services"/>
    <s v="RTA"/>
    <x v="4"/>
    <s v="Network IP address issue"/>
    <s v="Techm Mazin Kinaish"/>
    <s v="OnSite  EUS"/>
    <m/>
    <s v="Automated Resolution Reported"/>
    <m/>
    <s v="3-Moderate/Limited"/>
    <s v="3-Medium"/>
    <s v="Dubai"/>
    <s v="Desktop"/>
    <s v="Network Connectivity issues"/>
    <s v="LAN issue"/>
    <d v="2026-02-20T08:53:15"/>
    <s v="No"/>
    <s v="Within the Service Target"/>
    <s v="Phone"/>
    <s v="Called user he confirmed LAN is working fine   Used Related K-base as near one to issue"/>
    <s v="Closed"/>
    <s v="No"/>
    <s v="Techm_AMHamed"/>
    <s v="Medium"/>
    <s v="Desktop"/>
    <s v="Network Connectivity issues"/>
    <s v="LAN Issue"/>
    <s v="Closed"/>
    <n v="3187"/>
    <m/>
    <m/>
    <n v="3"/>
    <s v="Standard"/>
    <s v="MAMohamoud"/>
    <s v="Mahmoud.Mohamoud@rta.ae"/>
  </r>
  <r>
    <s v="INC000001316455"/>
    <s v="User Service Restoration"/>
    <s v="Avaya Ahmed"/>
    <s v="Ali"/>
    <d v="2026-02-15T14:12:23"/>
    <s v="Customer Happiness"/>
    <s v="RTA"/>
    <x v="0"/>
    <s v="Low Disk space"/>
    <s v="Mohamed Mustaq Ali"/>
    <s v="OnSite  EUS"/>
    <m/>
    <s v="USER TO CONFIRM"/>
    <m/>
    <s v="3-Moderate/Limited"/>
    <s v="3-Medium"/>
    <s v="UMM RAMOOL -BLOCK A"/>
    <s v="Desktop"/>
    <s v="Disk Space"/>
    <s v="Low Disk Space(RE)"/>
    <d v="2026-02-25T13:49:27"/>
    <s v="No"/>
    <s v="Within the Service Target"/>
    <s v="Phone"/>
    <s v="The new 2 TB SSD has been upgraded and data cloning was completed."/>
    <s v="Resolved"/>
    <s v="No"/>
    <s v="Techm_OFMohamed"/>
    <s v="Medium"/>
    <s v="Desktop"/>
    <s v="Upgrade"/>
    <s v="HDD"/>
    <s v="Resolved"/>
    <s v="V0066"/>
    <m/>
    <n v="191685"/>
    <n v="10"/>
    <s v="Standard"/>
    <s v="avaya_aali"/>
    <s v="Avaya_Ahmed.Ali@rta.ae"/>
  </r>
  <r>
    <s v="INC000001316153"/>
    <s v="User Service Request"/>
    <s v="Abdullah"/>
    <s v="Masri"/>
    <d v="2026-02-14T02:52:09"/>
    <s v="Right Of Way"/>
    <s v="RTA"/>
    <x v="2"/>
    <s v="Asset collection for the resigned user."/>
    <s v="Ahmed Almeldeen"/>
    <s v="OnSite  EUS"/>
    <m/>
    <s v="No Further Action Required"/>
    <m/>
    <s v="4-Minor/Localized"/>
    <s v="4-Low"/>
    <s v="Dubai"/>
    <s v="Desktop"/>
    <s v="Asset collection"/>
    <s v="Asset collection"/>
    <d v="2026-02-24T10:12:58"/>
    <s v="No"/>
    <s v="Within the Service Target"/>
    <s v="Email"/>
    <s v="Assets has been returned to store"/>
    <s v="Resolved"/>
    <s v="No"/>
    <s v="Techm_WAHassan"/>
    <s v="Low"/>
    <s v="Desktop"/>
    <s v="Resigned user"/>
    <s v="Asset Return"/>
    <s v="Resolved"/>
    <n v="12696"/>
    <m/>
    <n v="12508"/>
    <n v="9"/>
    <s v="Standard"/>
    <s v="AKMasri"/>
    <s v="Abdullah.Masri@rta.ae"/>
  </r>
  <r>
    <s v="INC000001316149"/>
    <s v="User Service Request"/>
    <s v="Ahmed"/>
    <s v="Al Safadi"/>
    <d v="2026-02-14T02:26:04"/>
    <s v="Right Of Way"/>
    <s v="RTA"/>
    <x v="2"/>
    <s v="Asset collection for the resigned user."/>
    <s v="Ahmed Almeldeen"/>
    <s v="OnSite  EUS"/>
    <m/>
    <s v="No Further Action Required"/>
    <m/>
    <s v="4-Minor/Localized"/>
    <s v="4-Low"/>
    <s v="UMM RAMOOL - G+2 BUILDING"/>
    <s v="Desktop"/>
    <s v="Asset collection"/>
    <s v="Asset collection"/>
    <d v="2026-02-23T12:37:06"/>
    <s v="No"/>
    <s v="Within the Service Target"/>
    <s v="Email"/>
    <s v="the assets has been returned to store"/>
    <s v="Resolved"/>
    <s v="No"/>
    <s v="Techm_WAHassan"/>
    <s v="Low"/>
    <s v="Desktop"/>
    <s v="Resigned user"/>
    <s v="Asset Return"/>
    <s v="Resolved"/>
    <n v="10564"/>
    <m/>
    <n v="12498"/>
    <n v="11"/>
    <s v="Standard"/>
    <s v="AOAlsafadi"/>
    <s v="Ahmed.Alsafadi@rta.ae"/>
  </r>
  <r>
    <s v="INC000001316141"/>
    <s v="User Service Request"/>
    <s v="Ahmed"/>
    <s v="Labib"/>
    <d v="2026-02-14T02:14:49"/>
    <s v="Corporate Technology Support Services CEO"/>
    <s v="RTA"/>
    <x v="3"/>
    <s v="CSC Alert:VPN user (&quot;EMIRCOM_AMLABIB&quot;) access from outside the approved country-13022026-03"/>
    <s v="Mohamed Siragelnour"/>
    <s v="Service Desk"/>
    <m/>
    <s v="USER TO CONFIRM"/>
    <m/>
    <s v="4-Minor/Localized"/>
    <s v="4-Low"/>
    <s v="Dubai"/>
    <s v="Desktop"/>
    <s v="Proactive Monitoring"/>
    <s v="Proactive Action"/>
    <d v="2026-02-23T11:31:05"/>
    <s v="No"/>
    <s v="Within the Service Target"/>
    <s v="Email"/>
    <s v="Closed as per CSC confirmation."/>
    <s v="Resolved"/>
    <s v="No"/>
    <s v="Techm_WAHassan"/>
    <s v="Low"/>
    <s v="Desktop"/>
    <s v="Proactive Monitoring"/>
    <s v="Proactive Action"/>
    <s v="Resolved"/>
    <s v="V0030680"/>
    <m/>
    <m/>
    <n v="2"/>
    <s v="Standard"/>
    <s v="emircom_amlabib"/>
    <s v="Emircom_Ahmed.Labib@rta.ae"/>
  </r>
  <r>
    <s v="INC000001316137"/>
    <s v="User Service Restoration"/>
    <s v="Abdul Nissar"/>
    <s v="Ahamed"/>
    <d v="2026-02-14T01:46:13"/>
    <s v="Buildings &amp; Facilities"/>
    <s v="RTA"/>
    <x v="0"/>
    <s v="Single Risk Event: machine RTA-CAS-BUF-064 infected with ACM.Ps-Reg!g1, action Details pending"/>
    <s v="Nihad Mozayek"/>
    <s v="OnSite  EUS"/>
    <m/>
    <s v="Automated Resolution Reported"/>
    <m/>
    <s v="1-Extensive/Widespread"/>
    <s v="1-Critical"/>
    <s v="Dubai"/>
    <s v="Desktop"/>
    <s v="Virus Issue"/>
    <s v="Virus issue"/>
    <d v="2026-02-19T13:44:06"/>
    <s v="No"/>
    <s v="Within the Service Target"/>
    <s v="Email"/>
    <s v="Full scan by Symantec has been completed today. No virus found"/>
    <s v="Closed"/>
    <s v="No"/>
    <s v="Techm_WAHassan"/>
    <s v="Critical"/>
    <s v="Desktop"/>
    <s v="Virus Issue"/>
    <s v="Virus issue"/>
    <s v="Closed"/>
    <n v="11902"/>
    <m/>
    <m/>
    <n v="1"/>
    <s v="Standard"/>
    <s v="amahamed"/>
    <s v="AbdulNissar.Ahamed@rta.ae"/>
  </r>
  <r>
    <s v="INC000001316035"/>
    <s v="User Service Request"/>
    <s v="Safa"/>
    <s v="Mohammed"/>
    <d v="2026-02-13T14:28:47"/>
    <s v="Transportation Systems"/>
    <s v="RTA"/>
    <x v="4"/>
    <s v="Laptop request -New Joiner"/>
    <s v="Nihad Mozayek"/>
    <s v="OnSite  EUS"/>
    <m/>
    <s v="No Further Action Required"/>
    <m/>
    <s v="4-Minor/Localized"/>
    <s v="4-Low"/>
    <s v="MUHAISNAH -MAIN BUILDING"/>
    <s v="Desktop"/>
    <s v="Hardware Request"/>
    <s v="Laptop"/>
    <d v="2026-02-23T08:16:29"/>
    <s v="No"/>
    <s v="Within the Service Target"/>
    <s v="Email"/>
    <s v="Laptop has been provided to the user. CMDB updated"/>
    <s v="Resolved"/>
    <s v="No"/>
    <s v="techm_maalneil"/>
    <s v="Low"/>
    <s v="Desktop"/>
    <s v="New Joiner Request"/>
    <s v="Laptop Request"/>
    <s v="Resolved"/>
    <n v="9847"/>
    <m/>
    <n v="191622"/>
    <n v="7"/>
    <s v="Sensitive"/>
    <s v="salmohammed"/>
    <s v="Safa.Mohammed@RTA.ae"/>
  </r>
  <r>
    <s v="INC000001315955"/>
    <s v="User Service Request"/>
    <s v="Abdullah"/>
    <s v="Masri"/>
    <d v="2026-02-13T11:40:26"/>
    <s v="Right Of Way"/>
    <s v="RTA"/>
    <x v="2"/>
    <s v="Retag ipad"/>
    <s v="Techm Osama Abdullatif"/>
    <s v="OnSite  EUS"/>
    <m/>
    <s v="USER TO CONFIRM"/>
    <m/>
    <s v="4-Minor/Localized"/>
    <s v="4-Low"/>
    <s v="Dubai"/>
    <s v="Desktop"/>
    <s v="Physical Verification"/>
    <s v="CMDB update"/>
    <d v="2026-02-23T08:22:41"/>
    <s v="No"/>
    <s v="Within the Service Target"/>
    <s v="Email"/>
    <s v="Retagged the ipad as requested."/>
    <s v="Resolved"/>
    <s v="No"/>
    <s v="techm_maalneil"/>
    <s v="Low"/>
    <s v="Desktop"/>
    <s v="Physical Verification"/>
    <s v="CMDB update"/>
    <s v="Resolved"/>
    <n v="12696"/>
    <m/>
    <m/>
    <n v="6"/>
    <s v="Standard"/>
    <s v="AKMasri"/>
    <s v="Abdullah.Masri@rta.ae"/>
  </r>
  <r>
    <s v="INC000001315948"/>
    <s v="User Service Request"/>
    <s v="Taher"/>
    <s v="Abdelwahab"/>
    <d v="2026-02-13T11:36:33"/>
    <s v="Rail Right Of Way"/>
    <s v="RTA"/>
    <x v="6"/>
    <s v="Software Installing Request"/>
    <s v="Techm Omer Idris"/>
    <s v="OnSite  EUS"/>
    <m/>
    <s v="Automated Resolution Reported"/>
    <m/>
    <s v="4-Minor/Localized"/>
    <s v="4-Low"/>
    <s v="Dubai"/>
    <s v="Desktop"/>
    <s v="RTA Non standard application  Request"/>
    <s v="Autocad"/>
    <d v="2026-02-20T10:57:38"/>
    <s v="No"/>
    <s v="Within the Service Target"/>
    <s v="Self Service"/>
    <s v="Autodesk AutoCAD 2026 has been installed to user laptop"/>
    <s v="Closed"/>
    <s v="No"/>
    <s v="mendix"/>
    <s v="Low"/>
    <s v="Desktop"/>
    <s v="RTA Non standard application  Request"/>
    <s v="AutoCAD"/>
    <s v="Closed"/>
    <n v="15975"/>
    <m/>
    <m/>
    <n v="21"/>
    <s v="Standard"/>
    <s v="tmabdelwahab"/>
    <s v="Taher.Abdelwahab@rta.ae"/>
  </r>
  <r>
    <s v="INC000001315904"/>
    <s v="User Service Request"/>
    <s v="Amna"/>
    <s v="Al Shamsi"/>
    <d v="2026-02-23T01:57:28"/>
    <s v="Transportation Systems"/>
    <s v="RTA"/>
    <x v="4"/>
    <s v="Nexthink: Desktops with system disk nearly full"/>
    <s v="Ahmed Almeldeen"/>
    <s v="OnSite  EUS"/>
    <m/>
    <s v="No Further Action Required"/>
    <m/>
    <s v="4-Minor/Localized"/>
    <s v="4-Low"/>
    <s v="Dubai"/>
    <s v="Desktop"/>
    <s v="Proactive Monitoring"/>
    <s v="Proactive Action"/>
    <d v="2026-02-24T13:38:27"/>
    <s v="No"/>
    <s v="Within the Service Target"/>
    <s v="Email"/>
    <s v="The C Drive now has free space and the machine is working fine"/>
    <s v="Resolved"/>
    <s v="No"/>
    <s v="Techm_HHAljayeh"/>
    <s v="Low"/>
    <s v="Desktop"/>
    <s v="Proactive Monitoring"/>
    <s v="Proactive Action"/>
    <s v="Resolved"/>
    <n v="12209"/>
    <m/>
    <m/>
    <n v="1"/>
    <s v="Standard"/>
    <s v="analshamsi"/>
    <s v="amnan.alshamsi@rta.ae"/>
  </r>
  <r>
    <s v="INC000001315903"/>
    <s v="User Service Request"/>
    <s v="Gubran Abdulalhakim"/>
    <s v="Hahoud"/>
    <d v="2026-02-23T01:54:53"/>
    <s v="Customer Happiness"/>
    <s v="RTA"/>
    <x v="0"/>
    <s v="Nexthink: Desktops with system disk nearly full"/>
    <s v="Mohamed Mustaq Ali"/>
    <s v="OnSite  EUS"/>
    <m/>
    <s v="USER TO CONFIRM"/>
    <m/>
    <s v="4-Minor/Localized"/>
    <s v="4-Low"/>
    <s v="UMM RAMOOL - NEW HQ"/>
    <s v="Desktop"/>
    <s v="Proactive Monitoring"/>
    <s v="Proactive Action"/>
    <d v="2026-02-23T08:59:11"/>
    <s v="No"/>
    <s v="Within the Service Target"/>
    <s v="Email"/>
    <s v="This desktop was already replaced with Asset refreshment plan with new desktop #INC000001312457, the old desktop will sent to store."/>
    <s v="Resolved"/>
    <s v="No"/>
    <s v="Techm_HHAljayeh"/>
    <s v="Low"/>
    <s v="Desktop"/>
    <s v="Proactive Monitoring"/>
    <s v="Proactive Action"/>
    <s v="Resolved"/>
    <n v="3297"/>
    <m/>
    <m/>
    <n v="0"/>
    <s v="Standard"/>
    <s v="ghahoud"/>
    <s v="Gubran.Hammod@rta.ae"/>
  </r>
  <r>
    <s v="INC000001315900"/>
    <s v="User Service Request"/>
    <s v="Fahad"/>
    <s v="Issa"/>
    <d v="2026-02-23T01:49:27"/>
    <s v="Licensing Activities Monitoring"/>
    <s v="RTA"/>
    <x v="7"/>
    <s v="Nexthink: RTA-Devices with CPU issues"/>
    <s v="Ali Adam"/>
    <s v="OnSite  EUS"/>
    <m/>
    <s v="USER TO CONFIRM"/>
    <m/>
    <s v="4-Minor/Localized"/>
    <s v="4-Low"/>
    <s v="Dubai"/>
    <s v="Desktop"/>
    <s v="Proactive Monitoring"/>
    <s v="Proactive Action"/>
    <d v="2026-02-24T08:33:39"/>
    <s v="No"/>
    <s v="Within the Service Target"/>
    <s v="Email"/>
    <s v="- Drivers updated, and old data transferred from C Partition to D Partition"/>
    <s v="Resolved"/>
    <s v="No"/>
    <s v="Techm_HHAljayeh"/>
    <s v="Low"/>
    <s v="Desktop"/>
    <s v="Proactive Monitoring"/>
    <s v="Proactive Action"/>
    <s v="Resolved"/>
    <s v="V0031560"/>
    <m/>
    <m/>
    <n v="1"/>
    <s v="Standard"/>
    <s v="okool_faissa"/>
    <s v="Okool_Fahad.Issa@rta.ae"/>
  </r>
  <r>
    <s v="INC000001315899"/>
    <s v="User Service Request"/>
    <s v="Mohammad"/>
    <s v="Ahli"/>
    <d v="2026-02-23T01:45:15"/>
    <s v="Buses"/>
    <s v="RTA"/>
    <x v="4"/>
    <s v="Nexthink: RTA-Devices with CPU issues"/>
    <s v="Techm Ahmad Khantomany"/>
    <s v="OnSite  EUS"/>
    <m/>
    <s v="USER TO CONFIRM"/>
    <m/>
    <s v="4-Minor/Localized"/>
    <s v="4-Low"/>
    <s v="Dubai"/>
    <s v="Desktop"/>
    <s v="Proactive Monitoring"/>
    <s v="Proactive Action"/>
    <d v="2026-02-24T16:41:13"/>
    <s v="No"/>
    <s v="Within the Service Target"/>
    <s v="Email"/>
    <s v="GP updated. RTA-Devices with CPU issues due to multitasking, No further action is required"/>
    <s v="Resolved"/>
    <s v="No"/>
    <s v="Techm_HHAljayeh"/>
    <s v="Low"/>
    <s v="Desktop"/>
    <s v="Proactive Monitoring"/>
    <s v="Proactive Action"/>
    <s v="Resolved"/>
    <n v="13242"/>
    <m/>
    <m/>
    <n v="1"/>
    <s v="Standard"/>
    <s v="MNAhli"/>
    <s v="Mohammad.NAhli@rta.ae"/>
  </r>
  <r>
    <s v="INC000001315898"/>
    <s v="User Service Request"/>
    <s v="Anish"/>
    <s v="Jacob"/>
    <d v="2026-02-23T01:38:58"/>
    <s v="Transportation Systems"/>
    <s v="RTA"/>
    <x v="4"/>
    <s v="Nexthink: Blue Screen &gt;3 Times ( For Past one week)"/>
    <s v="Nihad Mozayek"/>
    <s v="OnSite  EUS"/>
    <m/>
    <s v="No Further Action Required"/>
    <m/>
    <s v="4-Minor/Localized"/>
    <s v="4-Low"/>
    <s v="Dubai"/>
    <s v="Desktop"/>
    <s v="Proactive Monitoring"/>
    <s v="Proactive Action"/>
    <d v="2026-02-24T11:43:04"/>
    <s v="No"/>
    <s v="Within the Service Target"/>
    <s v="Email"/>
    <s v="Cleaned up system cache files, updated the drivers, run sfc /scannow and rebooted the system. It's working properly"/>
    <s v="Resolved"/>
    <s v="No"/>
    <s v="Techm_HHAljayeh"/>
    <s v="Low"/>
    <s v="Desktop"/>
    <s v="Proactive Monitoring"/>
    <s v="Proactive Action"/>
    <s v="Resolved"/>
    <s v="V0026105"/>
    <m/>
    <m/>
    <n v="1"/>
    <s v="Standard"/>
    <s v="ebm_ajjacob"/>
    <s v="Ebm_Anish.Jacob@rta.ae"/>
  </r>
  <r>
    <s v="INC000001315886"/>
    <s v="User Service Request"/>
    <s v="Khawla"/>
    <s v="AlGaradi"/>
    <d v="2026-02-22T23:53:35"/>
    <s v="Finance"/>
    <s v="RTA"/>
    <x v="0"/>
    <s v="unlock account request"/>
    <s v="Techm Hussein Aljayeh"/>
    <s v="Service Desk"/>
    <m/>
    <s v="Automated Resolution Reported"/>
    <m/>
    <s v="4-Minor/Localized"/>
    <s v="4-Low"/>
    <s v="UMM RAMOOL NEW HQ 2A"/>
    <s v="Desktop"/>
    <s v="Profile"/>
    <s v="Account Lock Out"/>
    <d v="2026-02-23T01:32:40"/>
    <s v="No"/>
    <s v="Within the Service Target"/>
    <s v="Phone"/>
    <s v="User Account has been unlocked"/>
    <s v="Closed"/>
    <s v="No"/>
    <s v="Techm_HHAljayeh"/>
    <s v="Low"/>
    <s v="Desktop"/>
    <s v="Profile"/>
    <s v="Account Lock Out"/>
    <s v="Closed"/>
    <n v="7485"/>
    <m/>
    <m/>
    <n v="0"/>
    <s v="Standard"/>
    <s v="kmalgaradi"/>
    <s v="Khawla.AlGaradi@RTA.ae"/>
  </r>
  <r>
    <s v="INC000001315876"/>
    <s v="User Service Request"/>
    <s v="Mustafa"/>
    <s v="Hassan"/>
    <d v="2026-02-20T09:03:37"/>
    <s v="Customer Happiness"/>
    <s v="RTA"/>
    <x v="0"/>
    <s v="Outlook configuration "/>
    <s v="Techm Osama Abdullatif"/>
    <s v="OnSite  EUS"/>
    <m/>
    <s v="Automated Resolution Reported"/>
    <m/>
    <s v="4-Minor/Localized"/>
    <s v="4-Low"/>
    <s v="Dubai"/>
    <s v="Desktop"/>
    <s v="Mail"/>
    <s v="Outlook Reconfiguration(RE)"/>
    <d v="2026-02-20T11:48:41"/>
    <s v="No"/>
    <s v="Within the Service Target"/>
    <s v="Web"/>
    <s v="assested the user with the configuration after he is migrated to office 365 account"/>
    <s v="Closed"/>
    <s v="No"/>
    <s v="Techm_OFAbdullatif"/>
    <s v="Low"/>
    <s v="Desktop"/>
    <s v="Mail"/>
    <s v="Outlook Reconfiguration"/>
    <s v="Closed"/>
    <n v="13011"/>
    <m/>
    <m/>
    <n v="0"/>
    <s v="Standard"/>
    <s v="MAHHassan"/>
    <s v="Mustafa.AHassan@rta.ae"/>
  </r>
  <r>
    <s v="INC000001315789"/>
    <s v="User Service Request"/>
    <s v="Imran Waheed"/>
    <s v="Butt"/>
    <d v="2026-02-13T10:15:45"/>
    <s v="Intelligent Traffic System"/>
    <s v="RTA"/>
    <x v="2"/>
    <s v="Software Installing Request"/>
    <s v="Techm Mazin Kinaish"/>
    <s v="OnSite  EUS"/>
    <m/>
    <s v="Automated Resolution Reported"/>
    <m/>
    <s v="4-Minor/Localized"/>
    <s v="4-Low"/>
    <s v="Dubai ITS Centre - Al Barsha"/>
    <s v="Incident"/>
    <s v="Self-service"/>
    <s v="Mendix"/>
    <d v="2026-02-19T08:08:58"/>
    <s v="No"/>
    <s v="Within the Service Target"/>
    <s v="Self Service"/>
    <s v="User confirmed after login MicroStation is working fine"/>
    <s v="Closed"/>
    <s v="No"/>
    <s v="mendix"/>
    <s v="Low"/>
    <s v="Desktop"/>
    <s v="RTA Non standard application  Request"/>
    <s v="Microstation"/>
    <s v="Closed"/>
    <n v="11615"/>
    <m/>
    <m/>
    <n v="14"/>
    <s v="Standard"/>
    <s v="iwbutt"/>
    <s v="Imran.Butt@rta.ae"/>
  </r>
  <r>
    <s v="INC000001315736"/>
    <s v="User Service Request"/>
    <s v="Noora"/>
    <s v="Hussain"/>
    <d v="2026-02-13T09:08:59"/>
    <s v="Marketing &amp; Corporate Communication"/>
    <s v="RTA"/>
    <x v="0"/>
    <s v="Network Folder Merging"/>
    <s v="Muhammed Alneil"/>
    <s v="Service Desk"/>
    <m/>
    <s v="USER TO CONFIRM"/>
    <m/>
    <s v="4-Minor/Localized"/>
    <s v="4-Low"/>
    <s v="Dubai"/>
    <s v="Incident"/>
    <s v="Self-service"/>
    <s v="Mendix"/>
    <d v="2026-02-25T08:23:47"/>
    <s v="No"/>
    <s v="Within the Service Target"/>
    <s v="Self Service"/>
    <s v="3 Reminders has been sent to user with no response, as per process ticket will be closed."/>
    <s v="Resolved"/>
    <s v="No"/>
    <s v="mendix"/>
    <s v="Low"/>
    <s v="Desktop"/>
    <s v="Profile"/>
    <s v="Network Folder Creation"/>
    <s v="Resolved"/>
    <n v="15314"/>
    <m/>
    <m/>
    <n v="2"/>
    <s v="Standard"/>
    <s v="nahussain"/>
    <s v="Noora.Hussain@rta.ae"/>
  </r>
  <r>
    <s v="INC000001315735"/>
    <s v="User Service Request"/>
    <s v="Soubhi"/>
    <s v="Sloukgi-Contractor"/>
    <d v="2026-02-13T09:09:44"/>
    <s v="Enterprise Command &amp; Control"/>
    <s v="RTA"/>
    <x v="1"/>
    <s v="Asset re-tag"/>
    <s v="Techm Osama Abdullatif"/>
    <s v="OnSite  EUS"/>
    <m/>
    <s v="USER TO CONFIRM"/>
    <m/>
    <s v="4-Minor/Localized"/>
    <s v="4-Low"/>
    <s v="Dubai"/>
    <s v="Desktop"/>
    <s v="Physical Verification"/>
    <s v="CMDB update"/>
    <d v="2026-02-23T08:23:30"/>
    <s v="No"/>
    <s v="Within the Service Target"/>
    <s v="Email"/>
    <s v="retagged the laptop usership to the new user as requested."/>
    <s v="Resolved"/>
    <s v="No"/>
    <s v="techm_maalneil"/>
    <s v="Low"/>
    <s v="Desktop"/>
    <s v="Physical Verification"/>
    <s v="CMDB update"/>
    <s v="Resolved"/>
    <s v="V0027433"/>
    <m/>
    <m/>
    <n v="5"/>
    <s v="Standard"/>
    <s v="cns_spsloukgi"/>
    <s v="Cns_Soubhi.Sloukgi@rta.ae"/>
  </r>
  <r>
    <s v="INC000001315697"/>
    <s v="User Service Request"/>
    <s v="Mohammad"/>
    <s v="Sulaiman"/>
    <d v="2026-02-13T08:21:40"/>
    <s v="Traffic"/>
    <s v="RTA"/>
    <x v="2"/>
    <s v="Hardware Upgrade - RAM"/>
    <s v="Techm Omer Idris"/>
    <s v="OnSite  EUS"/>
    <m/>
    <s v="USER TO CONFIRM"/>
    <m/>
    <s v="4-Minor/Localized"/>
    <s v="4-Low"/>
    <m/>
    <s v="Desktop"/>
    <s v="Upgrade"/>
    <s v="Laptop RAM"/>
    <d v="2026-02-24T13:14:16"/>
    <s v="No"/>
    <s v="Within the Service Target"/>
    <s v="Self Service"/>
    <s v="Laptop Memory has been upgraded to 16GB"/>
    <s v="Resolved"/>
    <s v="No"/>
    <s v="mendix"/>
    <s v="Low"/>
    <s v="Desktop"/>
    <s v="Upgrade"/>
    <s v="Laptop RAM"/>
    <s v="Resolved"/>
    <n v="14863"/>
    <m/>
    <n v="191627"/>
    <n v="13"/>
    <s v="Standard"/>
    <s v="masulaiman"/>
    <s v="Mohammad.ASulaiman@rta.ae"/>
  </r>
  <r>
    <s v="INC000001315685"/>
    <s v="User Service Restoration"/>
    <s v="Mohammad"/>
    <s v="Masoud Janahi"/>
    <d v="2026-02-13T08:04:23"/>
    <s v="Maintenance &amp; Services"/>
    <s v="RTA"/>
    <x v="4"/>
    <s v="Keyboard issue"/>
    <s v="Techm Mazin Kinaish"/>
    <s v="OnSite  EUS"/>
    <m/>
    <s v="Automated Resolution Reported"/>
    <m/>
    <s v="3-Moderate/Limited"/>
    <s v="3-Medium"/>
    <s v="MUHAISNAH -PTP BUILDING"/>
    <s v="Desktop"/>
    <s v="PC Hardware Issue"/>
    <s v="Keyboard not working"/>
    <d v="2026-02-20T09:20:21"/>
    <s v="Yes"/>
    <s v="Within the Service Target"/>
    <s v="Email"/>
    <s v="Laptop returned to user , backup unit collected by amc team to 4a"/>
    <s v="Closed"/>
    <s v="Yes"/>
    <s v="techm_maalneil"/>
    <s v="Medium"/>
    <s v="Desktop"/>
    <s v="PC Hardware Issue"/>
    <s v="Keyboard Not Working"/>
    <s v="Closed"/>
    <n v="3172"/>
    <m/>
    <m/>
    <n v="11"/>
    <s v="Sensitive"/>
    <s v="MMJanahi"/>
    <s v="Mohammad.Janahi@rta.ae"/>
  </r>
  <r>
    <s v="INC000001315616"/>
    <s v="User Service Request"/>
    <s v="Benjamin"/>
    <s v="Kumar"/>
    <d v="2026-02-13T04:14:32"/>
    <s v="Information Technology"/>
    <s v="RTA"/>
    <x v="3"/>
    <s v="Asset collection for the resigned user."/>
    <s v="Techm Elsayed Mohamed"/>
    <s v="OnSite  EUS"/>
    <m/>
    <s v="USER TO CONFIRM"/>
    <m/>
    <s v="4-Minor/Localized"/>
    <s v="4-Low"/>
    <s v="Dubai"/>
    <s v="Desktop"/>
    <s v="Asset collection"/>
    <s v="Asset collection"/>
    <d v="2026-02-24T11:12:39"/>
    <s v="No"/>
    <s v="Within the Service Target"/>
    <s v="Email"/>
    <e v="#NAME?"/>
    <s v="Resolved"/>
    <s v="No"/>
    <s v="Techm_WAHassan"/>
    <s v="Low"/>
    <s v="Desktop"/>
    <s v="Asset Collection"/>
    <s v="Asset Collection"/>
    <s v="Resolved"/>
    <s v="V0031450"/>
    <m/>
    <n v="12522"/>
    <n v="8"/>
    <s v="Standard"/>
    <s v="bahwan_bkkumar"/>
    <s v="Bahwan_Benjamin.Kumar@rta.ae"/>
  </r>
  <r>
    <s v="INC000001315574"/>
    <s v="User Service Request"/>
    <s v="Ilia"/>
    <s v="Volozhanin"/>
    <d v="2026-02-12T23:55:51"/>
    <s v="Security &amp; Monitoring"/>
    <s v="RTA"/>
    <x v="5"/>
    <s v="Network Folder/ Files / Email Restoration"/>
    <s v="Zain Alabedein Skheih"/>
    <s v="Service Desk"/>
    <m/>
    <s v="USER TO CONFIRM"/>
    <m/>
    <s v="4-Minor/Localized"/>
    <s v="4-Low"/>
    <s v="Dubai"/>
    <s v="Incident"/>
    <s v="Self-service"/>
    <s v="Mendix"/>
    <d v="2026-02-23T07:32:22"/>
    <s v="No"/>
    <s v="Within the Service Target"/>
    <s v="Self Service"/>
    <s v="3 reminders without respond, will proceed with ticket closure"/>
    <s v="Resolved"/>
    <s v="No"/>
    <s v="mendix"/>
    <s v="Low"/>
    <s v="Request"/>
    <s v="Software"/>
    <s v="Install"/>
    <s v="Resolved"/>
    <s v="V0033128"/>
    <m/>
    <m/>
    <n v="2"/>
    <s v="Standard"/>
    <s v="intertech_iivolozhan"/>
    <s v="Intertech_Ilia.Volozhanin@rta.ae"/>
  </r>
  <r>
    <s v="INC000001315518"/>
    <s v="User Service Restoration"/>
    <s v="Latifa"/>
    <s v="Gholoom"/>
    <d v="2026-02-12T19:47:29"/>
    <s v="Passengers Transport Activities Monitoring"/>
    <s v="RTA"/>
    <x v="4"/>
    <s v="VPN Issue"/>
    <s v="Techm Ahmad Khantomany"/>
    <s v="OnSite  EUS"/>
    <m/>
    <s v="USER TO CONFIRM"/>
    <m/>
    <s v="3-Moderate/Limited"/>
    <s v="3-Medium"/>
    <s v="Dubai"/>
    <s v="Desktop"/>
    <s v="Configuration"/>
    <s v="VPN Troubleshooting"/>
    <d v="2026-02-23T13:38:49"/>
    <s v="No"/>
    <s v="Within the Service Target"/>
    <s v="Phone"/>
    <s v="Issue resolved, machine was reimaged with a fresh OS. Data was copied and the profile was set for the user."/>
    <s v="Resolved"/>
    <s v="No"/>
    <s v="Techm_AMElboshy"/>
    <s v="Medium"/>
    <s v="Desktop"/>
    <s v="Configuration"/>
    <s v="VPN Troubleshooting"/>
    <s v="Resolved"/>
    <n v="13261"/>
    <m/>
    <m/>
    <n v="6"/>
    <s v="Standard"/>
    <s v="LIGholoom"/>
    <s v="Latifa.Gholoom@rta.ae"/>
  </r>
  <r>
    <s v="INC000001315479"/>
    <s v="User Service Request"/>
    <s v="Omran"/>
    <s v="Almaazmi"/>
    <d v="2026-02-12T18:06:19"/>
    <s v="Customer Happiness"/>
    <s v="RTA"/>
    <x v="0"/>
    <s v="Request to configure License printer"/>
    <s v="Ismael Ismael"/>
    <s v="Service Desk"/>
    <m/>
    <s v="No Further Action Required"/>
    <m/>
    <s v="4-Minor/Localized"/>
    <s v="4-Low"/>
    <s v="Dubai"/>
    <s v="Printer"/>
    <s v="Configuration"/>
    <s v="New printer Configuration"/>
    <d v="2026-02-23T11:21:10"/>
    <s v="No"/>
    <s v="Within the Service Target"/>
    <s v="Email"/>
    <s v="user is not responding to phone calls and emails 3 reminder emails were sent to user without response, hence ticket will be closed"/>
    <s v="Resolved"/>
    <s v="No"/>
    <s v="Techm_AMElboshy"/>
    <s v="Low"/>
    <s v="Printer"/>
    <s v="Configuration"/>
    <s v="New Printer Configuration"/>
    <s v="Resolved"/>
    <n v="15896"/>
    <m/>
    <m/>
    <n v="2"/>
    <s v="Standard"/>
    <s v="oyalmaazmi"/>
    <s v="Omran.Almaazmi@rta.ae"/>
  </r>
  <r>
    <s v="INC000001315410"/>
    <s v="User Service Request"/>
    <s v="Reach Qaid"/>
    <s v="Saleh"/>
    <d v="2026-02-12T14:45:38"/>
    <s v="Finance"/>
    <s v="RTA"/>
    <x v="0"/>
    <s v="Software Installing Request"/>
    <s v="Ali Adam"/>
    <s v="OnSite  EUS"/>
    <m/>
    <s v="USER TO CONFIRM"/>
    <m/>
    <s v="4-Minor/Localized"/>
    <s v="4-Low"/>
    <s v="Dubai"/>
    <s v="Application"/>
    <s v="Application Services"/>
    <s v="Add / Revoke Privilege"/>
    <d v="2026-02-24T12:23:48"/>
    <s v="No"/>
    <s v="Within the Service Target"/>
    <s v="Self Service"/>
    <e v="#NAME?"/>
    <s v="Resolved"/>
    <s v="No"/>
    <s v="mendix"/>
    <s v="Low"/>
    <s v="Desktop"/>
    <s v="RTA Non standard application  Request"/>
    <s v="Non-listed Application/Software"/>
    <s v="Resolved"/>
    <s v="V002966"/>
    <m/>
    <m/>
    <n v="7"/>
    <s v="Standard"/>
    <s v="Reach_QASaleh"/>
    <s v="Reach_Qaid.Saleh@rta.ae"/>
  </r>
  <r>
    <s v="INC000001315394"/>
    <s v="User Service Request"/>
    <s v="Ameera"/>
    <s v="Sorouri"/>
    <d v="2026-02-12T14:13:56"/>
    <s v="Customer Happiness"/>
    <s v="RTA"/>
    <x v="0"/>
    <s v="Laptop"/>
    <s v="Ali Adam"/>
    <s v="OnSite  EUS"/>
    <m/>
    <s v="USER TO CONFIRM"/>
    <m/>
    <s v="4-Minor/Localized"/>
    <s v="4-Low"/>
    <s v="UMM RAMOOL NEW HQ 1A"/>
    <s v="Incident"/>
    <s v="Self-service"/>
    <s v="Mendix"/>
    <d v="2026-02-24T12:25:21"/>
    <s v="No"/>
    <s v="Within the Service Target"/>
    <s v="Self Service"/>
    <e v="#NAME?"/>
    <s v="Resolved"/>
    <s v="No"/>
    <s v="mendix"/>
    <s v="Low"/>
    <s v="Desktop"/>
    <s v="Hardware Request"/>
    <s v="Laptop"/>
    <s v="Resolved"/>
    <n v="6570"/>
    <m/>
    <n v="191626"/>
    <n v="12"/>
    <s v="Sensitive"/>
    <s v="aasorouri"/>
    <s v="Ameera.Sorouri@RTA.ae"/>
  </r>
  <r>
    <s v="INC000001315380"/>
    <s v="User Service Request"/>
    <s v="Shaikha"/>
    <s v="Alfalasi"/>
    <d v="2026-02-12T13:36:44"/>
    <s v="Human Resources &amp; Development"/>
    <s v="RTA"/>
    <x v="0"/>
    <s v="Asset collection for the resigned user."/>
    <s v="Ali Adam"/>
    <s v="OnSite  EUS"/>
    <m/>
    <s v="USER TO CONFIRM"/>
    <m/>
    <s v="4-Minor/Localized"/>
    <s v="4-Low"/>
    <s v="Dubai"/>
    <s v="Desktop"/>
    <s v="Asset collection"/>
    <s v="Asset collection"/>
    <d v="2026-02-24T12:26:19"/>
    <s v="No"/>
    <s v="Within the Service Target"/>
    <s v="Email"/>
    <e v="#NAME?"/>
    <s v="Resolved"/>
    <s v="No"/>
    <s v="Techm_NRMohamed"/>
    <s v="Low"/>
    <s v="Desktop"/>
    <s v="Resigned user"/>
    <s v="Asset Return"/>
    <s v="Resolved"/>
    <n v="15842"/>
    <m/>
    <n v="12499"/>
    <n v="7"/>
    <s v="Standard"/>
    <s v="sahmalfalasi"/>
    <s v="Shaikha.AAlfalasi@rta.ae"/>
  </r>
  <r>
    <s v="INC000001315368"/>
    <s v="User Service Request"/>
    <s v="Arunima"/>
    <s v="Aravind"/>
    <d v="2026-02-12T13:20:05"/>
    <s v="Information Technology"/>
    <s v="RTA"/>
    <x v="3"/>
    <s v="Image creation for Notebook ThinkPad X1 2-in-1 Gen 10"/>
    <s v="Techm Vipin Ravindran"/>
    <s v="OnSite  EUS"/>
    <m/>
    <s v="USER TO CONFIRM"/>
    <m/>
    <s v="4-Minor/Localized"/>
    <s v="4-Low"/>
    <s v="Dubai"/>
    <s v="Desktop"/>
    <s v="Configuration"/>
    <s v="Image creation / Image modification"/>
    <d v="2026-02-23T10:19:36"/>
    <s v="No"/>
    <s v="Within the Service Target"/>
    <s v="Direct Input"/>
    <s v="RTA standard image is created for Lenovo ThinkPad X1 2-in-1 Gen 10 laptop."/>
    <s v="Resolved"/>
    <s v="No"/>
    <s v="cadd_aaaravind"/>
    <s v="Low"/>
    <s v="Desktop"/>
    <s v="Configuration"/>
    <s v="Image Creation / Image Modification"/>
    <s v="Resolved"/>
    <s v="V0013060"/>
    <m/>
    <m/>
    <n v="0"/>
    <s v="Standard"/>
    <s v="cadd_aaaravind"/>
    <s v="Cadd_Arunima.Aravind@rta.ae"/>
  </r>
  <r>
    <s v="INC000001315351"/>
    <s v="User Service Request"/>
    <s v="Sara"/>
    <s v="Alblooshi"/>
    <d v="2026-02-12T12:51:04"/>
    <s v="Rail Planning &amp; Projects Development"/>
    <s v="RTA"/>
    <x v="6"/>
    <s v="New Network Folder Creation"/>
    <s v="Muhammed Alneil"/>
    <s v="Service Desk"/>
    <m/>
    <s v="Automated Resolution Reported"/>
    <m/>
    <s v="4-Minor/Localized"/>
    <s v="4-Low"/>
    <s v="Dubai"/>
    <s v="Incident"/>
    <s v="Self-service"/>
    <s v="Mendix"/>
    <d v="2026-02-20T09:13:26"/>
    <s v="No"/>
    <s v="Within the Service Target"/>
    <s v="Self Service"/>
    <s v="3 Reminders has been sent to user with no response, as per process ticket will be closed."/>
    <s v="Closed"/>
    <s v="No"/>
    <s v="mendix"/>
    <s v="Low"/>
    <s v="Desktop"/>
    <s v="Profile"/>
    <s v="Network Folder Access"/>
    <s v="Closed"/>
    <n v="14569"/>
    <m/>
    <m/>
    <n v="2"/>
    <s v="Standard"/>
    <s v="SYAlblooshi"/>
    <s v="Sara.YAlblooshi@rta.ae"/>
  </r>
  <r>
    <s v="INC000001315318"/>
    <s v="User Service Request"/>
    <s v="Shaikha"/>
    <s v="Hashim"/>
    <d v="2026-02-12T11:44:59"/>
    <s v="Right Of Way"/>
    <s v="RTA"/>
    <x v="2"/>
    <s v="Software Installing Request"/>
    <s v="Ahmed Almeldeen"/>
    <s v="OnSite  EUS"/>
    <m/>
    <s v="No Further Action Required"/>
    <m/>
    <s v="4-Minor/Localized"/>
    <s v="4-Low"/>
    <s v="Dubai"/>
    <s v="Application"/>
    <s v="Application Services"/>
    <s v="Application Modification / Enhancement Request"/>
    <d v="2026-02-23T09:28:18"/>
    <s v="No"/>
    <s v="Within the Service Target"/>
    <s v="Self Service"/>
    <s v="Adobe Acrobat Professional has been installed on the user machine"/>
    <s v="Resolved"/>
    <s v="No"/>
    <s v="mendix"/>
    <s v="Low"/>
    <s v="Desktop"/>
    <s v="RTA Non standard application  Request"/>
    <s v="Adobe Acrobat Professional"/>
    <s v="Resolved"/>
    <n v="14750"/>
    <m/>
    <m/>
    <n v="12"/>
    <s v="Standard"/>
    <s v="SKHashim"/>
    <s v="Shaikha.Hashim@rta.ae"/>
  </r>
  <r>
    <s v="INC000001315277"/>
    <s v="User Service Request"/>
    <s v="Salaheddin"/>
    <s v="Abuqube"/>
    <d v="2026-02-12T10:47:52"/>
    <s v="Buses"/>
    <s v="RTA"/>
    <x v="4"/>
    <s v="New Network Folder Creation"/>
    <s v="Muhammed Alneil"/>
    <s v="Service Desk"/>
    <m/>
    <s v="USER TO CONFIRM"/>
    <m/>
    <s v="4-Minor/Localized"/>
    <s v="4-Low"/>
    <m/>
    <s v="Incident"/>
    <s v="Self-service"/>
    <s v="Mendix"/>
    <d v="2026-02-24T08:43:28"/>
    <s v="No"/>
    <s v="Within the Service Target"/>
    <s v="Self Service"/>
    <s v="3 Reminders has been sent to user with no response, as per process ticket will be closed."/>
    <s v="Resolved"/>
    <s v="No"/>
    <s v="mendix"/>
    <s v="Low"/>
    <s v="Desktop"/>
    <s v="Profile"/>
    <s v="Network Folder Access"/>
    <s v="Resolved"/>
    <n v="14868"/>
    <m/>
    <m/>
    <n v="4"/>
    <s v="Standard"/>
    <s v="saabuqube"/>
    <s v="Salaheddin.Abuqube@rta.ae"/>
  </r>
  <r>
    <s v="INC000001315228"/>
    <s v="User Service Request"/>
    <s v="Abdulaziz Aziz"/>
    <s v="Shafic"/>
    <d v="2026-02-12T09:41:15"/>
    <s v="Roads &amp; Facilities Maintenance"/>
    <s v="RTA"/>
    <x v="2"/>
    <s v="Software Installing Request"/>
    <s v="Ahmed Almeldeen"/>
    <s v="OnSite  EUS"/>
    <m/>
    <s v="No Further Action Required"/>
    <m/>
    <s v="4-Minor/Localized"/>
    <s v="4-Low"/>
    <s v="UMM RAMOOL -PMS BLOCK"/>
    <s v="Application"/>
    <s v="Application Services"/>
    <s v="Application Modification / Enhancement Request"/>
    <d v="2026-02-24T10:25:36"/>
    <s v="No"/>
    <s v="Within the Service Target"/>
    <s v="Self Service"/>
    <s v="EDMS has been installed on the user machine"/>
    <s v="Resolved"/>
    <s v="No"/>
    <s v="mendix"/>
    <s v="Low"/>
    <s v="Desktop"/>
    <s v="RTA Non standard application  Request"/>
    <s v="Non-listed Application/Software"/>
    <s v="Resolved"/>
    <n v="4224"/>
    <m/>
    <m/>
    <n v="10"/>
    <s v="Standard"/>
    <s v="aashafic"/>
    <s v="abdulaziz.shafic@rta.ae"/>
  </r>
  <r>
    <s v="INC000001315185"/>
    <s v="User Service Request"/>
    <s v="Anil"/>
    <s v="Mohanan"/>
    <d v="2026-02-12T08:51:28"/>
    <s v="Procurement"/>
    <s v="RTA"/>
    <x v="0"/>
    <s v="Software Installing Request"/>
    <s v="Solaiman Alhussni"/>
    <s v="OnSite  EUS"/>
    <m/>
    <s v="USER TO CONFIRM"/>
    <m/>
    <s v="4-Minor/Localized"/>
    <s v="4-Low"/>
    <s v="Dubai"/>
    <s v="Application"/>
    <s v="Application Services"/>
    <s v="Application Integration"/>
    <d v="2026-02-23T08:59:00"/>
    <s v="No"/>
    <s v="Within the Service Target"/>
    <s v="Self Service"/>
    <s v="Adobe Acrobat Adobe Acrobat Professional has been installed and activated on the user laptop"/>
    <s v="Resolved"/>
    <s v="No"/>
    <s v="mendix"/>
    <s v="Low"/>
    <s v="Desktop"/>
    <s v="RTA Non standard application  Request"/>
    <s v="Adobe Acrobat Professional"/>
    <s v="Resolved"/>
    <s v="V0032710"/>
    <m/>
    <m/>
    <n v="16"/>
    <s v="Standard"/>
    <s v="trans_anmohanan"/>
    <s v="Trans_Anil.Mohanan@rta.ae"/>
  </r>
  <r>
    <s v="INC000001315176"/>
    <s v="User Service Request"/>
    <s v="Muhammad"/>
    <s v="Khan"/>
    <d v="2026-02-12T08:26:30"/>
    <s v="Information Technology"/>
    <s v="RTA"/>
    <x v="3"/>
    <s v="RAS Feb 2026 - Device is disconnected"/>
    <s v="Techm Elsayed Mohamed"/>
    <s v="OnSite  EUS"/>
    <m/>
    <s v="USER TO CONFIRM"/>
    <m/>
    <s v="4-Minor/Localized"/>
    <s v="4-Low"/>
    <s v=",NEW HQ UMM RAMOOL"/>
    <s v="Desktop"/>
    <s v="Asset collection"/>
    <s v="Asset collection"/>
    <d v="2026-02-24T09:35:10"/>
    <s v="No"/>
    <s v="Within the Service Target"/>
    <s v="Direct Input"/>
    <e v="#NAME?"/>
    <s v="Resolved"/>
    <s v="No"/>
    <s v="cadd_mskhan"/>
    <s v="Low"/>
    <s v="Desktop"/>
    <s v="Asset Collection"/>
    <s v="Asset Collection"/>
    <s v="Resolved"/>
    <s v="V0012792"/>
    <m/>
    <n v="12481"/>
    <n v="7"/>
    <s v="Standard"/>
    <s v="cadd_mskhan"/>
    <s v="Cadd_Muhammad.Khan@rta.ae"/>
  </r>
  <r>
    <s v="INC000001315169"/>
    <s v="User Service Request"/>
    <s v="Muhammad"/>
    <s v="Khan"/>
    <d v="2026-02-12T08:18:59"/>
    <s v="Information Technology"/>
    <s v="RTA"/>
    <x v="3"/>
    <s v="RAS Feb 2026 - Asset is identified disconnected_G+2"/>
    <s v="Techm Osama Abdullatif"/>
    <s v="OnSite  EUS"/>
    <m/>
    <s v="USER TO CONFIRM"/>
    <m/>
    <s v="4-Minor/Localized"/>
    <s v="4-Low"/>
    <s v=",NEW HQ UMM RAMOOL"/>
    <s v="Desktop"/>
    <s v="Asset collection"/>
    <s v="Asset collection"/>
    <d v="2026-02-24T09:36:45"/>
    <s v="No"/>
    <s v="Within the Service Target"/>
    <s v="Direct Input"/>
    <s v="Disconnected asset was collected and returned as requested."/>
    <s v="Resolved"/>
    <s v="No"/>
    <s v="cadd_mskhan"/>
    <s v="Low"/>
    <s v="Desktop"/>
    <s v="Asset Collection"/>
    <s v="Asset Collection"/>
    <s v="Resolved"/>
    <s v="V0012792"/>
    <m/>
    <n v="12487"/>
    <n v="6"/>
    <s v="Standard"/>
    <s v="cadd_mskhan"/>
    <s v="Cadd_Muhammad.Khan@rta.ae"/>
  </r>
  <r>
    <s v="INC000001315167"/>
    <s v="User Service Restoration"/>
    <s v="Marwan"/>
    <s v="Abbas"/>
    <d v="2026-02-12T08:16:43"/>
    <s v="Commercial &amp; Investment"/>
    <s v="RTA"/>
    <x v="1"/>
    <s v="PC Slowness Issue - RAM upgrade"/>
    <s v="Mohamed Al Taweel"/>
    <s v="OnSite  EUS"/>
    <m/>
    <s v="USER TO CONFIRM"/>
    <m/>
    <s v="3-Moderate/Limited"/>
    <s v="3-Medium"/>
    <s v="Dubai"/>
    <s v="Desktop"/>
    <s v="OS Issue"/>
    <s v="PC Slowness Issue"/>
    <d v="2026-02-25T11:57:28"/>
    <s v="No"/>
    <s v="Within the Service Target"/>
    <s v="Phone"/>
    <s v="The memory of the user's laptop has been upgraded to 16 GB"/>
    <s v="Resolved"/>
    <s v="No"/>
    <s v="techm_ajalbasata"/>
    <s v="Medium"/>
    <s v="Desktop"/>
    <s v="Upgrade"/>
    <s v="Laptop RAM"/>
    <s v="Resolved"/>
    <n v="14038"/>
    <m/>
    <n v="191757"/>
    <n v="13"/>
    <s v="Standard"/>
    <s v="MMOAbbas"/>
    <s v="Marwan.Issa@rta.ae"/>
  </r>
  <r>
    <s v="INC000001315155"/>
    <s v="User Service Request"/>
    <s v="Web Jet"/>
    <s v="Alert"/>
    <d v="2026-02-12T07:59:27"/>
    <s v="Information Technology"/>
    <s v="RTA"/>
    <x v="3"/>
    <s v="[HPWJA] Magenta Cartridge Supply Threshold HP Color LaserJet MFP E87750 HP Only, HP Only\W"/>
    <s v="Mohamed Nishad Usman"/>
    <s v="OnSite  EUS"/>
    <m/>
    <s v="USER TO CONFIRM"/>
    <m/>
    <s v="4-Minor/Localized"/>
    <s v="4-Low"/>
    <s v="UMM RAMOOL NEW HQ 1A"/>
    <s v="Printer"/>
    <s v="Toner"/>
    <s v="Toner Request- Proactive Webjet"/>
    <d v="2026-02-23T13:00:40"/>
    <s v="No"/>
    <s v="Within the Service Target"/>
    <s v="Email"/>
    <s v="Replaced magenta toner of the printer."/>
    <s v="Resolved"/>
    <s v="No"/>
    <s v="wja"/>
    <s v="Low"/>
    <s v="Printer"/>
    <s v="Toner"/>
    <s v="Toner Request- Proactive Webjet"/>
    <s v="Resolved"/>
    <m/>
    <m/>
    <n v="191600"/>
    <n v="6"/>
    <s v="Standard"/>
    <s v="wja"/>
    <s v="wja@rta.global"/>
  </r>
  <r>
    <s v="INC000001315011"/>
    <s v="User Service Restoration"/>
    <s v="Mohammad"/>
    <s v="Mohammad"/>
    <d v="2026-02-11T20:43:39"/>
    <s v="Parkin"/>
    <s v="RTA"/>
    <x v="8"/>
    <s v="Not receiving SMS/OTP"/>
    <s v="Zain Alabedein Skheih"/>
    <s v="Service Desk"/>
    <m/>
    <s v="Automated Resolution Reported"/>
    <m/>
    <s v="3-Moderate/Limited"/>
    <s v="3-Medium"/>
    <s v="MUHAISNAH -MAIN BUILDING"/>
    <s v="Application"/>
    <s v="Application Services"/>
    <s v="Application Configuration"/>
    <d v="2026-02-19T09:12:59"/>
    <s v="No"/>
    <s v="Within the Service Target"/>
    <s v="Phone"/>
    <s v="No respond after 3 reminders, will proceed with ticket closure"/>
    <s v="Closed"/>
    <s v="No"/>
    <s v="Techm_AMElboshy"/>
    <s v="Medium"/>
    <s v="Desktop"/>
    <s v="Profile"/>
    <s v="GAL Modification"/>
    <s v="Closed"/>
    <n v="871"/>
    <m/>
    <m/>
    <n v="2"/>
    <s v="Standard"/>
    <s v="MOAalbalooshi"/>
    <s v="Mohammed.Albalooshi@rta.ae"/>
  </r>
  <r>
    <s v="INC000001314915"/>
    <s v="User Service Request"/>
    <s v="Web Jet"/>
    <s v="Alert"/>
    <d v="2026-02-11T16:01:47"/>
    <s v="Information Technology"/>
    <s v="RTA"/>
    <x v="3"/>
    <s v="[HPWJA] Cyan Supply Threshold HP DesignJet T1700dr PostScript HP Only, HP Only\Localy Conn"/>
    <s v="Ahmed Almeldeen"/>
    <s v="OnSite  EUS"/>
    <m/>
    <s v="Automated Resolution Reported"/>
    <m/>
    <s v="4-Minor/Localized"/>
    <s v="4-Low"/>
    <s v="UMM RAMOOL NEW HQ 1A"/>
    <s v="Printer"/>
    <s v="Toner"/>
    <s v="Toner Request- Proactive Webjet"/>
    <d v="2026-02-19T09:50:28"/>
    <s v="No"/>
    <s v="Within the Service Target"/>
    <s v="Email"/>
    <s v="Toner has been replaced successfully"/>
    <s v="Closed"/>
    <s v="No"/>
    <s v="wja"/>
    <s v="Low"/>
    <s v="Printer"/>
    <s v="Toner"/>
    <s v="Toner / Cartridge Leakage"/>
    <s v="Closed"/>
    <m/>
    <m/>
    <n v="191596"/>
    <n v="5"/>
    <s v="Standard"/>
    <s v="wja"/>
    <s v="wja@rta.global"/>
  </r>
  <r>
    <s v="INC000001314911"/>
    <s v="User Service Request"/>
    <s v="Web Jet"/>
    <s v="Alert"/>
    <d v="2026-02-11T16:00:20"/>
    <s v="Information Technology"/>
    <s v="RTA"/>
    <x v="3"/>
    <s v="[HPWJA] Black Cartridge Supply Threshold HP Color LaserJet MFP M577 HP Only, HP Only\Model"/>
    <s v="Mohamed Nishad Usman"/>
    <s v="OnSite  EUS"/>
    <m/>
    <s v="USER TO CONFIRM"/>
    <m/>
    <s v="4-Minor/Localized"/>
    <s v="4-Low"/>
    <s v="UMM RAMOOL NEW HQ 1A"/>
    <s v="Printer"/>
    <s v="Toner"/>
    <s v="Toner Request- Proactive Webjet"/>
    <d v="2026-02-23T12:38:22"/>
    <s v="No"/>
    <s v="Within the Service Target"/>
    <s v="Email"/>
    <s v="Replaced Black toner for the printer"/>
    <s v="Resolved"/>
    <s v="No"/>
    <s v="wja"/>
    <s v="Low"/>
    <s v="Printer"/>
    <s v="Toner"/>
    <s v="Toner Request- Proactive Webjet"/>
    <s v="Resolved"/>
    <m/>
    <m/>
    <n v="191604"/>
    <n v="5"/>
    <s v="Standard"/>
    <s v="wja"/>
    <s v="wja@rta.global"/>
  </r>
  <r>
    <s v="INC000001314910"/>
    <s v="User Service Request"/>
    <s v="Web Jet"/>
    <s v="Alert"/>
    <d v="2026-02-11T15:59:15"/>
    <s v="Information Technology"/>
    <s v="RTA"/>
    <x v="3"/>
    <s v="[HPWJA] Yellow Cartridge Supply Threshold HP Color LaserJet MFP E87750 HP Only, HP Only\Wi"/>
    <s v="Mohamed Nishad Usman"/>
    <s v="OnSite  EUS"/>
    <m/>
    <s v="USER TO CONFIRM"/>
    <m/>
    <s v="4-Minor/Localized"/>
    <s v="4-Low"/>
    <s v="UMM RAMOOL NEW HQ 1A"/>
    <s v="Printer"/>
    <s v="Toner"/>
    <s v="Toner Request- Proactive Webjet"/>
    <d v="2026-02-23T13:02:40"/>
    <s v="No"/>
    <s v="Within the Service Target"/>
    <s v="Email"/>
    <s v="Replaced Yellow toner of the printer."/>
    <s v="Resolved"/>
    <s v="No"/>
    <s v="wja"/>
    <s v="Low"/>
    <s v="Printer"/>
    <s v="Toner"/>
    <s v="Toner Request- Proactive Webjet"/>
    <s v="Resolved"/>
    <m/>
    <m/>
    <n v="191603"/>
    <n v="5"/>
    <s v="Standard"/>
    <s v="wja"/>
    <s v="wja@rta.global"/>
  </r>
  <r>
    <s v="INC000001314902"/>
    <s v="User Service Request"/>
    <s v="Ahmed"/>
    <s v="AlSaffar"/>
    <d v="2026-02-11T15:18:06"/>
    <s v="Drivers Affairs"/>
    <s v="RTA"/>
    <x v="4"/>
    <s v="Software Installing Request"/>
    <s v="Techm Elsayed Mohamed"/>
    <s v="OnSite  EUS"/>
    <m/>
    <s v="USER TO CONFIRM"/>
    <m/>
    <s v="4-Minor/Localized"/>
    <s v="4-Low"/>
    <s v="AL AWEER DEPOT"/>
    <s v="Desktop"/>
    <s v="RTA Non standard application  Request"/>
    <s v="MS Visio (RE)"/>
    <d v="2026-02-23T14:04:23"/>
    <s v="No"/>
    <s v="Within the Service Target"/>
    <s v="Self Service"/>
    <e v="#NAME?"/>
    <s v="Resolved"/>
    <s v="No"/>
    <s v="mendix"/>
    <s v="Low"/>
    <s v="Desktop"/>
    <s v="RTA Non standard application  Request"/>
    <s v="MS Visio"/>
    <s v="Resolved"/>
    <n v="5398"/>
    <m/>
    <m/>
    <n v="14"/>
    <s v="Standard"/>
    <s v="ahalsaffar"/>
    <s v="ahmed.alsaffar@rta.ae"/>
  </r>
  <r>
    <s v="INC000001314809"/>
    <s v="User Service Request"/>
    <s v="Shaikha"/>
    <s v="Alhammadi"/>
    <d v="2026-02-11T14:01:44"/>
    <s v="Enterprise Command &amp; Control"/>
    <s v="RTA"/>
    <x v="1"/>
    <s v="New Laptop Request_ECC"/>
    <s v="Techm Osama Abdullatif"/>
    <s v="OnSite  EUS"/>
    <m/>
    <s v="USER TO CONFIRM"/>
    <m/>
    <s v="4-Minor/Localized"/>
    <s v="4-Low"/>
    <s v="Dubai"/>
    <s v="Desktop"/>
    <s v="Hardware Request"/>
    <s v="Laptop"/>
    <d v="2026-02-23T08:24:42"/>
    <s v="No"/>
    <s v="Within the Service Target"/>
    <s v="Email"/>
    <s v="Deployed the new laptop for the user as requested."/>
    <s v="Resolved"/>
    <s v="No"/>
    <s v="Techm_NRMohamed"/>
    <s v="Low"/>
    <s v="Desktop"/>
    <s v="New Joiner Request"/>
    <s v="Laptop Request"/>
    <s v="Resolved"/>
    <n v="12433"/>
    <m/>
    <n v="191592"/>
    <n v="7"/>
    <s v="Standard"/>
    <s v="skalhammadi"/>
    <s v="Shaikha.KAlhammadi@rta.ae"/>
  </r>
  <r>
    <s v="INC000001314805"/>
    <s v="User Service Request"/>
    <s v="Vanessa"/>
    <s v="Soriano"/>
    <d v="2026-02-11T13:58:18"/>
    <s v="Human Resources &amp; Development"/>
    <s v="RTA"/>
    <x v="0"/>
    <s v="Temporary Ipad/tablet  request"/>
    <s v="Techm Osama Abdullatif"/>
    <s v="OnSite  EUS"/>
    <m/>
    <s v="Automated Resolution Reported"/>
    <m/>
    <s v="4-Minor/Localized"/>
    <s v="4-Low"/>
    <s v="Dubai"/>
    <s v="Desktop"/>
    <s v="Temporary Hardware"/>
    <s v="IPAD"/>
    <d v="2026-02-19T11:24:38"/>
    <s v="No"/>
    <s v="Within the Service Target"/>
    <s v="Email"/>
    <s v="Provided the temporary iPads as requetsed"/>
    <s v="Closed"/>
    <s v="No"/>
    <s v="Techm_NRMohamed"/>
    <s v="Low"/>
    <s v="Desktop"/>
    <s v="Temporary Hardware"/>
    <s v="IPad"/>
    <s v="Closed"/>
    <s v="V0030410"/>
    <m/>
    <m/>
    <n v="12"/>
    <s v="Standard"/>
    <s v="trans_visoriano"/>
    <s v="Trans_Vanessa.Soriano@rta.ae"/>
  </r>
  <r>
    <s v="INC000001314788"/>
    <s v="User Service Request"/>
    <s v="Shaikha"/>
    <s v="Alrahmani"/>
    <d v="2026-02-11T13:36:57"/>
    <s v="Rail Right Of Way"/>
    <s v="RTA"/>
    <x v="6"/>
    <s v="Network Folder Change Access"/>
    <s v="Maitha Alhammadi"/>
    <s v="Service Desk"/>
    <m/>
    <s v="Automated Resolution Reported"/>
    <m/>
    <s v="4-Minor/Localized"/>
    <s v="4-Low"/>
    <s v="Dubai"/>
    <s v="Incident"/>
    <s v="Self-service"/>
    <s v="Mendix"/>
    <d v="2026-02-20T10:58:40"/>
    <s v="No"/>
    <s v="Within the Service Target"/>
    <s v="Self Service"/>
    <s v="Their is no responds from the user after send three reminders. hence to closing the ticket as per process."/>
    <s v="Closed"/>
    <s v="No"/>
    <s v="mendix"/>
    <s v="Low"/>
    <s v="Desktop"/>
    <s v="Profile"/>
    <s v="Network Folder Access"/>
    <s v="Closed"/>
    <n v="15381"/>
    <m/>
    <m/>
    <n v="4"/>
    <s v="Standard"/>
    <s v="shaalrahmani"/>
    <s v="Shaikha.HAlrahmani@rta.ae"/>
  </r>
  <r>
    <s v="INC000001314778"/>
    <s v="User Service Request"/>
    <s v="Noora"/>
    <s v="Aljaziri"/>
    <d v="2026-02-11T13:26:39"/>
    <s v="Customer Happiness"/>
    <s v="RTA"/>
    <x v="0"/>
    <s v="New Laptop Request"/>
    <s v="Ali Adam"/>
    <s v="OnSite  EUS"/>
    <m/>
    <s v="USER TO CONFIRM"/>
    <m/>
    <s v="4-Minor/Localized"/>
    <s v="4-Low"/>
    <s v="MUHAISNAH -MAIN BUILDING"/>
    <s v="Desktop"/>
    <s v="Hardware Request"/>
    <s v="Laptop"/>
    <d v="2026-02-23T17:14:51"/>
    <s v="No"/>
    <s v="Within the Service Target"/>
    <s v="Email"/>
    <e v="#NAME?"/>
    <s v="Resolved"/>
    <s v="No"/>
    <s v="Techm_NRMohamed"/>
    <s v="Low"/>
    <s v="Desktop"/>
    <s v="New Joiner Request"/>
    <s v="Laptop Request"/>
    <s v="Resolved"/>
    <n v="11050"/>
    <m/>
    <n v="191584"/>
    <n v="10"/>
    <s v="Standard"/>
    <s v="naaljaziri"/>
    <s v="Noora.Aljaziri@rta.ae"/>
  </r>
  <r>
    <s v="INC000001314660"/>
    <s v="User Service Restoration"/>
    <s v="Nezar"/>
    <s v="Elmeliegy"/>
    <d v="2026-02-11T11:12:17"/>
    <s v="Human Resources &amp; Development"/>
    <s v="RTA"/>
    <x v="0"/>
    <s v="LinkedIn Access issue"/>
    <s v="Ismael Ismael"/>
    <s v="Service Desk"/>
    <m/>
    <s v="Automated Resolution Reported"/>
    <m/>
    <s v="3-Moderate/Limited"/>
    <s v="3-Medium"/>
    <s v="Dubai"/>
    <s v="Desktop"/>
    <s v="Internet/Intranet Issues"/>
    <s v="Unable to access a specific URL(RE)"/>
    <d v="2026-02-19T13:29:53"/>
    <s v="No"/>
    <s v="Within the Service Target"/>
    <s v="Phone"/>
    <s v="User does not respond to phone calls or emails.  3 reminder emails were sent to user without response, hence ticket will be closed as per the process"/>
    <s v="Closed"/>
    <s v="No"/>
    <s v="techm_iaismael"/>
    <s v="Medium"/>
    <s v="Desktop"/>
    <s v="Internet / Intranet Issues"/>
    <s v="Unable To Access Specific URL"/>
    <s v="Closed"/>
    <n v="15817"/>
    <m/>
    <m/>
    <n v="4"/>
    <s v="Standard"/>
    <s v="nmelmeliegy"/>
    <s v="Nezar.Elmeliegy@rta.ae"/>
  </r>
  <r>
    <s v="INC000001314611"/>
    <s v="User Service Restoration"/>
    <s v="Khaled"/>
    <s v="Rashed Al Ali"/>
    <d v="2026-02-11T10:10:34"/>
    <s v="Drivers Licensing"/>
    <s v="RTA"/>
    <x v="7"/>
    <s v="Restoration of Screen Recording Functionality  is not working"/>
    <s v="Ali Adam"/>
    <s v="OnSite  EUS"/>
    <m/>
    <s v="USER TO CONFIRM"/>
    <m/>
    <s v="3-Moderate/Limited"/>
    <s v="3-Medium"/>
    <s v="Dubai Driving Liecens institute"/>
    <s v="Desktop"/>
    <s v="OS Issue"/>
    <s v="System File Missing Error"/>
    <d v="2026-02-24T14:06:50"/>
    <s v="No"/>
    <s v="Within the Service Target"/>
    <s v="Email"/>
    <e v="#NAME?"/>
    <s v="Resolved"/>
    <s v="No"/>
    <s v="Techm_NRMohamed"/>
    <s v="Medium"/>
    <s v="Desktop"/>
    <s v="OS Issue"/>
    <s v="OS Activation Issue"/>
    <s v="Resolved"/>
    <n v="3979"/>
    <m/>
    <m/>
    <n v="12"/>
    <s v="Standard"/>
    <s v="kralali"/>
    <s v="khaled.alali@rta.ae"/>
  </r>
  <r>
    <s v="INC000001314605"/>
    <s v="User Service Request"/>
    <s v="Alexis"/>
    <s v="Biller"/>
    <d v="2026-02-11T10:02:35"/>
    <s v="Information Technology"/>
    <s v="RTA"/>
    <x v="3"/>
    <s v="Software Installing Request"/>
    <s v="Techm Elsayed Mohamed"/>
    <s v="OnSite  EUS"/>
    <m/>
    <s v="USER TO CONFIRM"/>
    <m/>
    <s v="4-Minor/Localized"/>
    <s v="4-Low"/>
    <s v="Dubai"/>
    <s v="Desktop"/>
    <s v="RTA Non standard application  Request"/>
    <s v="Non-listed Application/Software"/>
    <d v="2026-02-25T11:36:54"/>
    <s v="No"/>
    <s v="Within the Service Target"/>
    <s v="Self Service"/>
    <s v="IntelliJ IDE has been installed as requested"/>
    <s v="Resolved"/>
    <s v="No"/>
    <s v="mendix"/>
    <s v="Low"/>
    <s v="Desktop"/>
    <s v="RTA Non standard application  Request"/>
    <s v="Non-listed Application/Software"/>
    <s v="Resolved"/>
    <s v="V0032718"/>
    <m/>
    <m/>
    <n v="14"/>
    <s v="Standard"/>
    <s v="techm_asbiller"/>
    <s v="Techm_Alexis.Biller@rta.ae"/>
  </r>
  <r>
    <s v="INC000001314409"/>
    <s v="User Service Request"/>
    <s v="Zaid"/>
    <s v="Lafi"/>
    <d v="2026-02-11T02:58:22"/>
    <s v="Parking"/>
    <s v="RTA"/>
    <x v="2"/>
    <s v="HDMI cable request_G+2"/>
    <s v="Techm Osama Abdullatif"/>
    <s v="OnSite  EUS"/>
    <m/>
    <s v="Automated Resolution Reported"/>
    <m/>
    <s v="4-Minor/Localized"/>
    <s v="4-Low"/>
    <s v="Dubai"/>
    <s v="Desktop"/>
    <s v="Audio and Video"/>
    <s v="Request for AV Devices (LED/LCD TVs &amp; audio)"/>
    <d v="2026-02-19T13:15:59"/>
    <s v="No"/>
    <s v="Within the Service Target"/>
    <s v="Email"/>
    <s v="provided the HDMI cable,  checked and works."/>
    <s v="Closed"/>
    <s v="No"/>
    <s v="Techm_OFMohamed"/>
    <s v="Low"/>
    <s v="Desktop"/>
    <s v="Peripherals"/>
    <s v="VGA Cables"/>
    <s v="Closed"/>
    <n v="15856"/>
    <m/>
    <m/>
    <n v="7"/>
    <s v="Standard"/>
    <s v="zalafi"/>
    <s v="Zaid.Lafi@rta.ae"/>
  </r>
  <r>
    <s v="INC000001314395"/>
    <s v="User Service Request"/>
    <s v="Bus"/>
    <s v="Maintenance"/>
    <d v="2026-02-11T01:57:35"/>
    <s v="Buses"/>
    <s v="RTA"/>
    <x v="4"/>
    <s v="Asset collection request_Oud Metha Bus Station - Maintenance Office"/>
    <s v="Techm Ahmed Mahmoud"/>
    <s v="OnSite  EUS"/>
    <m/>
    <s v="USER TO CONFIRM"/>
    <m/>
    <s v="4-Minor/Localized"/>
    <s v="4-Low"/>
    <s v="Dubai"/>
    <s v="Desktop"/>
    <s v="Asset collection"/>
    <s v="Asset collection"/>
    <d v="2026-02-24T09:39:20"/>
    <s v="No"/>
    <s v="Within the Service Target"/>
    <s v="Email"/>
    <s v="All approved RMF report keyboards and mouses have been successfully collected and returned to the IT store, and the inventory has been updated accordingly; therefore, hence resolving the ticket."/>
    <s v="Resolved"/>
    <s v="No"/>
    <s v="Techm_OFMohamed"/>
    <s v="Low"/>
    <s v="Desktop"/>
    <s v="Asset Collection"/>
    <s v="Asset Collection"/>
    <s v="Resolved"/>
    <m/>
    <m/>
    <n v="12475"/>
    <n v="4"/>
    <s v="Standard"/>
    <s v="BSMaintenance"/>
    <s v="Busstation.Maintenance@rta.ae"/>
  </r>
  <r>
    <s v="INC000001314225"/>
    <s v="User Service Request"/>
    <s v="Rikaz"/>
    <s v="Elbaradhi"/>
    <d v="2026-02-10T15:40:09"/>
    <s v="Innovation &amp; Pioneering"/>
    <s v="RTA"/>
    <x v="1"/>
    <s v="Keyboard"/>
    <s v="Nihad Mozayek"/>
    <s v="OnSite  EUS"/>
    <m/>
    <s v="No Further Action Required"/>
    <m/>
    <s v="4-Minor/Localized"/>
    <s v="4-Low"/>
    <s v="Dubai"/>
    <s v="Incident"/>
    <s v="Self-service"/>
    <s v="Mendix"/>
    <d v="2026-02-23T15:16:29"/>
    <s v="No"/>
    <s v="Within the Service Target"/>
    <s v="Self Service"/>
    <s v="Wired keyboard has been provided to the user"/>
    <s v="Resolved"/>
    <s v="No"/>
    <s v="mendix"/>
    <s v="Low"/>
    <s v="Desktop"/>
    <s v="Peripherals"/>
    <s v="Keyboard"/>
    <s v="Resolved"/>
    <n v="15908"/>
    <s v="Business Justifications"/>
    <n v="191679"/>
    <n v="11"/>
    <s v="Standard"/>
    <s v="rjelbaradhi"/>
    <s v="Rikaz.Elbaradhi@rta.ae"/>
  </r>
  <r>
    <s v="INC000001314203"/>
    <s v="User Service Request"/>
    <s v="Ilia"/>
    <s v="Volozhanin"/>
    <d v="2026-02-10T15:04:46"/>
    <s v="Security &amp; Monitoring"/>
    <s v="RTA"/>
    <x v="5"/>
    <s v="Software Installing Request"/>
    <s v="Zain Alabedein Skheih"/>
    <s v="Service Desk"/>
    <m/>
    <s v="No Further Action Required"/>
    <m/>
    <s v="4-Minor/Localized"/>
    <s v="4-Low"/>
    <s v="Dubai"/>
    <s v="Incident"/>
    <s v="Self-service"/>
    <s v="Mendix"/>
    <d v="2026-02-23T07:45:33"/>
    <s v="No"/>
    <s v="Within the Service Target"/>
    <s v="Self Service"/>
    <s v="3 reminders without respond, will proceed with ticket closure"/>
    <s v="Resolved"/>
    <s v="No"/>
    <s v="mendix"/>
    <s v="Low"/>
    <s v="Request"/>
    <s v="Software"/>
    <s v="Install"/>
    <s v="Resolved"/>
    <s v="V0033128"/>
    <m/>
    <m/>
    <n v="1"/>
    <s v="Standard"/>
    <s v="intertech_iivolozhan"/>
    <s v="Intertech_Ilia.Volozhanin@rta.ae"/>
  </r>
  <r>
    <s v="INC000001314134"/>
    <s v="User Service Request"/>
    <s v="Ramzi"/>
    <s v="Ammari"/>
    <d v="2026-02-10T13:51:05"/>
    <s v="Dubai Transport CEO"/>
    <s v="RTA"/>
    <x v="4"/>
    <s v="Keyboard"/>
    <s v="Ali Adam"/>
    <s v="OnSite  EUS"/>
    <m/>
    <s v="Automated Resolution Reported"/>
    <m/>
    <s v="4-Minor/Localized"/>
    <s v="4-Low"/>
    <s v="Dubai"/>
    <s v="Incident"/>
    <s v="Self-service"/>
    <s v="Mendix"/>
    <d v="2026-02-19T10:15:55"/>
    <s v="No"/>
    <s v="Within the Service Target"/>
    <s v="Self Service"/>
    <e v="#NAME?"/>
    <s v="Closed"/>
    <s v="No"/>
    <s v="mendix"/>
    <s v="Low"/>
    <s v="Desktop"/>
    <s v="Peripherals"/>
    <s v="Keyboard"/>
    <s v="Closed"/>
    <n v="15972"/>
    <s v="Business Justifications"/>
    <n v="191581"/>
    <n v="12"/>
    <s v="Standard"/>
    <s v="rmammari"/>
    <s v="Ramzi.Ammari@rta.ae"/>
  </r>
  <r>
    <s v="INC000001314125"/>
    <s v="User Service Request"/>
    <s v="Saeed"/>
    <s v="Ali"/>
    <d v="2026-02-10T13:38:26"/>
    <s v="Traffic"/>
    <s v="RTA"/>
    <x v="2"/>
    <s v="Software Installing Request"/>
    <s v="Techm Omer Idris"/>
    <s v="OnSite  EUS"/>
    <m/>
    <s v="USER TO CONFIRM"/>
    <m/>
    <s v="4-Minor/Localized"/>
    <s v="4-Low"/>
    <s v="UMM RAMOOL NEW HQ 7C"/>
    <s v="Desktop"/>
    <s v="RTA Non standard application  Request"/>
    <s v="Adobe Acrobat Professional(RE)"/>
    <d v="2026-02-23T09:38:47"/>
    <s v="No"/>
    <s v="Within the Service Target"/>
    <s v="Self Service"/>
    <s v="Adobe Acrobat Professional installed to user laptop"/>
    <s v="Resolved"/>
    <s v="No"/>
    <s v="mendix"/>
    <s v="Low"/>
    <s v="Desktop"/>
    <s v="RTA Non standard application  Request"/>
    <s v="Adobe Acrobat Professional"/>
    <s v="Resolved"/>
    <n v="7592"/>
    <m/>
    <m/>
    <n v="14"/>
    <s v="Standard"/>
    <s v="SMOAli"/>
    <s v="Saeed.Ali@rta.ae"/>
  </r>
  <r>
    <s v="INC000001314106"/>
    <s v="User Service Restoration"/>
    <s v="Huda"/>
    <s v="Alhashmi"/>
    <d v="2026-02-10T13:31:12"/>
    <s v="Smart Services"/>
    <s v="RTA"/>
    <x v="3"/>
    <s v="Laptop Mouse Issue &quot;Repeated Issue&quot; INC000001201897 &amp; INC000001138197"/>
    <s v="Techm Elsayed Mohamed"/>
    <s v="OnSite  EUS"/>
    <m/>
    <s v="Automated Resolution Reported"/>
    <m/>
    <s v="3-Moderate/Limited"/>
    <s v="3-Medium"/>
    <s v="Dubai"/>
    <s v="Desktop"/>
    <s v="OS Issue"/>
    <s v="Booting Issue"/>
    <d v="2026-02-19T12:52:52"/>
    <s v="No"/>
    <s v="Within the Service Target"/>
    <s v="Phone"/>
    <s v="Request # INC000001318648 has been submitted to replace the laptop"/>
    <s v="Closed"/>
    <s v="No"/>
    <s v="techm_ziskheih"/>
    <s v="Medium"/>
    <s v="Desktop"/>
    <s v="OS Issue"/>
    <s v="PC Slowness Issue"/>
    <s v="Closed"/>
    <n v="14511"/>
    <m/>
    <m/>
    <n v="13"/>
    <s v="Standard"/>
    <s v="HSAAlhashmi"/>
    <s v="Huda.SAlhashmi@rta.ae"/>
  </r>
  <r>
    <s v="INC000001313971"/>
    <s v="User Service Request"/>
    <s v="Ibrahim"/>
    <s v="Allayadath"/>
    <d v="2026-02-10T11:29:56"/>
    <s v="Information Technology"/>
    <s v="RTA"/>
    <x v="3"/>
    <s v="Request for 2 temporary laptops"/>
    <s v="Techm Elsayed Mohamed"/>
    <s v="OnSite  EUS"/>
    <m/>
    <s v="Automated Resolution Reported"/>
    <m/>
    <s v="4-Minor/Localized"/>
    <s v="4-Low"/>
    <s v="UMM RAMOOL NEW HQ 5A -ITD AND UAFC"/>
    <s v="Desktop"/>
    <s v="Temporary Hardware"/>
    <s v="Laptop"/>
    <d v="2026-02-20T09:36:31"/>
    <s v="No"/>
    <s v="Within the Service Target"/>
    <s v="Email"/>
    <s v="2 laptops used for 2 days and sent back to store"/>
    <s v="Closed"/>
    <s v="No"/>
    <s v="techm_maalneil"/>
    <s v="Low"/>
    <s v="Desktop"/>
    <s v="Temporary Hardware"/>
    <s v="Laptop"/>
    <s v="Closed"/>
    <n v="6259"/>
    <m/>
    <s v="191550 \ 191575 \ 12493"/>
    <n v="6"/>
    <s v="Standard"/>
    <s v="ikutty"/>
    <s v="Ibrahim.kuttyav@rta.ae"/>
  </r>
  <r>
    <s v="INC000001313837"/>
    <s v="User Service Request"/>
    <s v="Ahmed Amin"/>
    <s v="Mohammed Ahmed  Al Zarooni"/>
    <d v="2026-02-10T08:50:09"/>
    <s v="Strategic Planning"/>
    <s v="RTA"/>
    <x v="1"/>
    <s v="Wireless Mouse"/>
    <s v="Mohamed Al Taweel"/>
    <s v="OnSite  EUS"/>
    <m/>
    <s v="Automated Resolution Reported"/>
    <m/>
    <s v="4-Minor/Localized"/>
    <s v="4-Low"/>
    <s v="UMM RAMOOL NEW HQ 9A"/>
    <s v="Incident"/>
    <s v="Self-service"/>
    <s v="Mendix"/>
    <d v="2026-02-20T11:22:50"/>
    <s v="No"/>
    <s v="Within the Service Target"/>
    <s v="Self Service"/>
    <e v="#NAME?"/>
    <s v="Closed"/>
    <s v="No"/>
    <s v="mendix"/>
    <s v="Low"/>
    <s v="Desktop"/>
    <s v="Peripherals"/>
    <s v="Mouse"/>
    <s v="Closed"/>
    <n v="1328"/>
    <s v="RTA Higher Managment Approval"/>
    <n v="191683"/>
    <n v="11"/>
    <s v="Sensitive"/>
    <s v="aazarooni"/>
    <s v="ahmed.alzarooni@rta.ae"/>
  </r>
  <r>
    <s v="INC000001313720"/>
    <s v="User Service Request"/>
    <s v="Yaquob"/>
    <s v="Merza"/>
    <d v="2026-02-10T02:44:53"/>
    <s v="Passengers Transport Activities Monitoring"/>
    <s v="RTA"/>
    <x v="4"/>
    <s v="CSC Alert - Scan Failure Detected - 08022026-04"/>
    <s v="Techm Ahmed Mahmoud"/>
    <s v="OnSite  EUS"/>
    <m/>
    <s v="Automated Resolution Reported"/>
    <m/>
    <s v="4-Minor/Localized"/>
    <s v="4-Low"/>
    <s v="Dubai"/>
    <s v="Desktop"/>
    <s v="Proactive Monitoring"/>
    <s v="Proactive Action"/>
    <d v="2026-02-20T09:41:41"/>
    <s v="No"/>
    <s v="Within the Service Target"/>
    <s v="Email"/>
    <s v="As per the confirmation email received from the IT Store Team, the system RTA-PTA-TAM-053 has been officially collected according to the RMF for Request ID: INC000000885651.  Since the equipment is now in the custody of the IT Store and the verification process is complete, we are resolving this ticket."/>
    <s v="Closed"/>
    <s v="No"/>
    <s v="Techm_OFMohamed"/>
    <s v="Low"/>
    <s v="Desktop"/>
    <s v="Proactive Monitoring"/>
    <s v="Proactive Action"/>
    <s v="Closed"/>
    <n v="11730"/>
    <m/>
    <m/>
    <n v="1"/>
    <s v="Standard"/>
    <s v="yemerza"/>
    <s v="Yaquob.Merza@rta.ae"/>
  </r>
  <r>
    <s v="INC000001313719"/>
    <s v="User Service Request"/>
    <s v="Sahar Ahmed"/>
    <s v="Fikry"/>
    <d v="2026-02-10T02:33:58"/>
    <s v="Rail Planning &amp; Projects Development"/>
    <s v="RTA"/>
    <x v="6"/>
    <s v="New Laptop Request"/>
    <s v="Techm Omer Idris"/>
    <s v="OnSite  EUS"/>
    <m/>
    <s v="USER TO CONFIRM"/>
    <m/>
    <s v="4-Minor/Localized"/>
    <s v="4-Low"/>
    <s v="UMM RAMOOL NEW HQ 3C"/>
    <s v="Desktop"/>
    <s v="Hardware Request"/>
    <s v="Laptop"/>
    <d v="2026-02-23T09:35:46"/>
    <s v="No"/>
    <s v="Within the Service Target"/>
    <s v="Email"/>
    <s v="- GIVEN the Laptop LENOVO THINKPAD X13 2 IN 1 G5  - Installed the RTA Image of Windows 11 Enterprise  - Installed Lenovo System Updates  - Downloaded and installed critical BIOS update  - Configured Microsoft Outlook   - Downloaded and installed Microsoft teams  - IT Assets database have been updated"/>
    <s v="Resolved"/>
    <s v="No"/>
    <s v="Techm_OFMohamed"/>
    <s v="Low"/>
    <s v="Desktop"/>
    <s v="New Joiner Request"/>
    <s v="Laptop Request"/>
    <s v="Resolved"/>
    <n v="2608"/>
    <m/>
    <s v="191544 \ 191569"/>
    <n v="7"/>
    <s v="Standard"/>
    <s v="safikry"/>
    <s v="sahar.fikry@rta.ae"/>
  </r>
  <r>
    <s v="INC000001313460"/>
    <s v="User Service Request"/>
    <s v="Khalid"/>
    <s v="Zari"/>
    <d v="2026-02-09T14:51:41"/>
    <s v="Buses"/>
    <s v="RTA"/>
    <x v="4"/>
    <s v="Laptop_Abu Hail Bus station"/>
    <s v="Techm Ahmed Mahmoud"/>
    <s v="OnSite  EUS"/>
    <m/>
    <s v="USER TO CONFIRM"/>
    <m/>
    <s v="4-Minor/Localized"/>
    <s v="4-Low"/>
    <s v="AL RUWAYYA -AL RUWAYYA BUS DEPOT"/>
    <s v="Incident"/>
    <s v="Self-service"/>
    <s v="Mendix"/>
    <d v="2026-02-25T09:52:07"/>
    <s v="No"/>
    <s v="Within the Service Target"/>
    <s v="Self Service"/>
    <s v="The laptop has been fully configured and successfully deployed to the user, with the user profile created and all necessary applications properly set up to ensure the system is working fine. All software environment settings have been verified for compatibility, and the device is now operational and ready for the user's daily tasks without any further issues. CMDB updated as well, hence resolving the ticket."/>
    <s v="Resolved"/>
    <s v="No"/>
    <s v="mendix"/>
    <s v="Low"/>
    <s v="Desktop"/>
    <s v="Hardware Request"/>
    <s v="Laptop"/>
    <s v="Resolved"/>
    <n v="1055"/>
    <m/>
    <n v="191582"/>
    <n v="10"/>
    <s v="Standard"/>
    <s v="kizari"/>
    <s v="Khalid.Zari@RTA.ae"/>
  </r>
  <r>
    <s v="INC000001313451"/>
    <s v="User Service Request"/>
    <s v="Salim"/>
    <s v="Alhammadi"/>
    <d v="2026-02-09T14:40:42"/>
    <s v="Marketing &amp; Corporate Communication"/>
    <s v="RTA"/>
    <x v="0"/>
    <s v="Keyboard"/>
    <s v="Ali Adam"/>
    <s v="OnSite  EUS"/>
    <m/>
    <s v="Automated Resolution Reported"/>
    <m/>
    <s v="4-Minor/Localized"/>
    <s v="4-Low"/>
    <s v="Dubai"/>
    <s v="Incident"/>
    <s v="Self-service"/>
    <s v="Mendix"/>
    <d v="2026-02-19T10:15:19"/>
    <s v="No"/>
    <s v="Within the Service Target"/>
    <s v="Self Service"/>
    <e v="#NAME?"/>
    <s v="Closed"/>
    <s v="No"/>
    <s v="mendix"/>
    <s v="Low"/>
    <s v="Desktop"/>
    <s v="Peripherals"/>
    <s v="Keyboard"/>
    <s v="Closed"/>
    <n v="15966"/>
    <s v="Business Justifications"/>
    <n v="191580"/>
    <n v="11"/>
    <s v="Standard"/>
    <s v="smoalhammadi"/>
    <s v="Salim.MAlhammadi@rta.ae"/>
  </r>
  <r>
    <s v="INC000001313362"/>
    <s v="User Service Restoration"/>
    <s v="Amro Moustafa"/>
    <s v="Salah"/>
    <d v="2026-02-09T13:30:16"/>
    <s v="Customer Happiness"/>
    <s v="RTA"/>
    <x v="0"/>
    <s v="??? ?????? ?????? ?????????? ?? ??????"/>
    <s v="Ismael Ismael"/>
    <s v="Service Desk"/>
    <m/>
    <s v="Automated Resolution Reported"/>
    <m/>
    <s v="3-Moderate/Limited"/>
    <s v="3-Medium"/>
    <s v="New HQ-Block A Ground Floor"/>
    <s v="Incident"/>
    <s v="Self-service"/>
    <s v="Mendix"/>
    <d v="2026-02-20T08:30:35"/>
    <s v="No"/>
    <s v="Within the Service Target"/>
    <s v="Self Service"/>
    <s v="User doesn't respond to phone calls or emails.   3 reminder emails were sent to user without response, hence ticket will be closed as per the process"/>
    <s v="Closed"/>
    <s v="No"/>
    <s v="mendix"/>
    <s v="Medium"/>
    <s v="Desktop"/>
    <s v="Mail Client Issue"/>
    <s v="Unable To Send / Receive Mails"/>
    <s v="Closed"/>
    <n v="3135"/>
    <m/>
    <m/>
    <n v="10"/>
    <s v="Standard"/>
    <s v="asalah"/>
    <s v="amro.salah@rta.ae"/>
  </r>
  <r>
    <s v="INC000001313322"/>
    <s v="User Service Request"/>
    <s v="Moamen"/>
    <s v="Abdullh"/>
    <d v="2026-02-09T13:02:22"/>
    <s v="Buildings &amp; Facilities"/>
    <s v="RTA"/>
    <x v="0"/>
    <s v="Asset transfer"/>
    <s v="Nihad Mozayek"/>
    <s v="OnSite  EUS"/>
    <m/>
    <s v="No Further Action Required"/>
    <m/>
    <s v="4-Minor/Localized"/>
    <s v="4-Low"/>
    <m/>
    <s v="Desktop"/>
    <s v="Physical Verification"/>
    <s v="CMDB update"/>
    <d v="2026-02-24T11:56:20"/>
    <s v="No"/>
    <s v="Within the Service Target"/>
    <s v="Email"/>
    <s v="iPad has been provided to the new user. CMDB updated"/>
    <s v="Resolved"/>
    <s v="No"/>
    <s v="techm_maalneil"/>
    <s v="Low"/>
    <s v="Desktop"/>
    <s v="Physical Verification"/>
    <s v="CMDB update"/>
    <s v="Resolved"/>
    <n v="15025"/>
    <m/>
    <m/>
    <n v="5"/>
    <s v="Standard"/>
    <s v="mmabdullh"/>
    <s v="Moamen.Abdullh@rta.ae"/>
  </r>
  <r>
    <s v="INC000001313288"/>
    <s v="User Service Request"/>
    <s v="Mohammad"/>
    <s v="Bastaki"/>
    <d v="2026-02-09T12:37:05"/>
    <s v="Commercial &amp; Investment"/>
    <s v="RTA"/>
    <x v="1"/>
    <s v="Asset retag request"/>
    <s v="Mohamed Al Taweel"/>
    <s v="OnSite  EUS"/>
    <m/>
    <s v="USER TO CONFIRM"/>
    <m/>
    <s v="2-Significant/Large"/>
    <s v="2-High"/>
    <s v="UMM RAMOOL NEW HQ 1A - METRO ARBITRATION TEAM"/>
    <s v="Desktop"/>
    <s v="Physical Verification"/>
    <s v="CMDB update"/>
    <d v="2026-02-23T09:16:06"/>
    <s v="Yes"/>
    <s v="Within the Service Target"/>
    <s v="Email"/>
    <s v="The asset has been successfully transferred to the appropriate users, and the remaining asset belonging to the user will be returned to the warehouse based on ticket number INC000001314441"/>
    <s v="Resolved"/>
    <s v="Yes"/>
    <s v="Techm_NRMohamed"/>
    <s v="High"/>
    <s v="Desktop"/>
    <s v="Resigned user"/>
    <s v="Asset Re-Tag"/>
    <s v="Resolved"/>
    <n v="10030"/>
    <m/>
    <m/>
    <n v="3"/>
    <s v="Sensitive"/>
    <s v="moabastaki"/>
    <s v="Mohammad.Bastaki@RTA.ae"/>
  </r>
  <r>
    <s v="INC000001313271"/>
    <s v="User Service Restoration"/>
    <s v="Muhammad"/>
    <s v="Nihaluddin"/>
    <d v="2026-02-09T12:18:29"/>
    <s v="Technology Strategy &amp; Governance"/>
    <s v="RTA"/>
    <x v="3"/>
    <s v="Windows Hello PIN and Fingerprint option disappear"/>
    <s v="Techm Elsayed Mohamed"/>
    <s v="OnSite  EUS"/>
    <m/>
    <s v="Automated Resolution Reported"/>
    <m/>
    <s v="3-Moderate/Limited"/>
    <s v="3-Medium"/>
    <s v="Dubai"/>
    <s v="Incident"/>
    <s v="Self-service"/>
    <s v="Mendix"/>
    <d v="2026-02-19T09:10:18"/>
    <s v="No"/>
    <s v="Within the Service Target"/>
    <s v="Self Service"/>
    <s v="Resolved by removing the account from MS Authenticator App and reconfigure the fingerprint without adding pin or adding the authenticator account"/>
    <s v="Closed"/>
    <s v="No"/>
    <s v="mendix"/>
    <s v="Medium"/>
    <s v="Desktop"/>
    <s v="Configuration"/>
    <s v="Profile Configuration"/>
    <s v="Closed"/>
    <n v="15920"/>
    <m/>
    <m/>
    <n v="2"/>
    <s v="Standard"/>
    <s v="mdnihaluddin"/>
    <s v="Muhammad.Nihaluddin@rta.ae"/>
  </r>
  <r>
    <s v="INC000001313249"/>
    <s v="User Service Request"/>
    <s v="Hussain"/>
    <s v="Fadhlani"/>
    <d v="2026-02-09T11:42:05"/>
    <s v="Planning &amp; Business Development"/>
    <s v="RTA"/>
    <x v="4"/>
    <s v="External Monitor"/>
    <s v="Ali Adam"/>
    <s v="OnSite  EUS"/>
    <m/>
    <s v="USER TO CONFIRM"/>
    <m/>
    <s v="4-Minor/Localized"/>
    <s v="4-Low"/>
    <s v="Dubai"/>
    <s v="Incident"/>
    <s v="Self-service"/>
    <s v="Mendix"/>
    <d v="2026-02-23T17:13:21"/>
    <s v="No"/>
    <s v="Within the Service Target"/>
    <s v="Self Service"/>
    <e v="#NAME?"/>
    <s v="Resolved"/>
    <s v="No"/>
    <s v="mendix"/>
    <s v="Low"/>
    <s v="Desktop"/>
    <s v="Peripherals"/>
    <s v="Monitor"/>
    <s v="Resolved"/>
    <n v="13827"/>
    <s v="Medical Condition / Medical report"/>
    <n v="191676"/>
    <n v="13"/>
    <s v="Standard"/>
    <s v="HABFadhlani"/>
    <s v="Hussain.AFadhlani@rta.ae"/>
  </r>
  <r>
    <s v="INC000001313237"/>
    <s v="User Service Request"/>
    <s v="Nishad"/>
    <s v="Muhamed"/>
    <d v="2026-02-09T11:34:29"/>
    <s v="Rail Right Of Way"/>
    <s v="RTA"/>
    <x v="6"/>
    <s v="Temporary Laptop request"/>
    <s v="Techm Omer Idris"/>
    <s v="OnSite  EUS"/>
    <m/>
    <s v="USER TO CONFIRM"/>
    <m/>
    <s v="4-Minor/Localized"/>
    <s v="4-Low"/>
    <s v="UMM RAMOOL NEW HQ 4C"/>
    <s v="Desktop"/>
    <s v="Temporary Hardware"/>
    <s v="Laptop"/>
    <d v="2026-02-23T12:28:38"/>
    <s v="No"/>
    <s v="Within the Service Target"/>
    <s v="Self Service"/>
    <s v="Temporary Laptop has been provided to user"/>
    <s v="Resolved"/>
    <s v="No"/>
    <s v="mendix"/>
    <s v="Low"/>
    <s v="Desktop"/>
    <s v="Temporary Hardware"/>
    <s v="Laptop"/>
    <s v="Resolved"/>
    <n v="2839"/>
    <m/>
    <n v="191579"/>
    <n v="12"/>
    <s v="Standard"/>
    <s v="ncmohamed"/>
    <s v="nishad.mohamed@rta.ae"/>
  </r>
  <r>
    <s v="INC000001313167"/>
    <s v="User Service Request"/>
    <s v="Mohammad"/>
    <s v="Alsaleh"/>
    <d v="2026-02-09T10:25:39"/>
    <s v="Dubai Traffic &amp; Roads CEO"/>
    <s v="RTA"/>
    <x v="2"/>
    <s v="Software Installing Request"/>
    <s v="Techm Omer Idris"/>
    <s v="OnSite  EUS"/>
    <m/>
    <s v="USER TO CONFIRM"/>
    <m/>
    <s v="4-Minor/Localized"/>
    <s v="4-Low"/>
    <s v="Dubai"/>
    <s v="Desktop"/>
    <s v="RTA Non standard application  Request"/>
    <s v="Non-listed Application/Software"/>
    <d v="2026-02-24T07:37:32"/>
    <s v="No"/>
    <s v="Within the Service Target"/>
    <s v="Self Service"/>
    <s v="Adobe Acrobat Professional installed to user Laptop"/>
    <s v="Resolved"/>
    <s v="No"/>
    <s v="mendix"/>
    <s v="Low"/>
    <s v="Desktop"/>
    <s v="RTA Non standard application  Request"/>
    <s v="Adobe Acrobat Professional"/>
    <s v="Resolved"/>
    <n v="15792"/>
    <m/>
    <m/>
    <n v="14"/>
    <s v="Standard"/>
    <s v="maalsaleh"/>
    <s v="Mohammad.Alsaleh@rta.ae"/>
  </r>
  <r>
    <s v="INC000001313120"/>
    <s v="User Service Restoration"/>
    <s v="Alia"/>
    <s v="Ahli"/>
    <d v="2026-02-09T09:50:10"/>
    <s v="Drivers Licensing"/>
    <s v="RTA"/>
    <x v="7"/>
    <s v="Windows Updates Issue"/>
    <s v="Mohamed Alajlani"/>
    <s v="Service Desk"/>
    <m/>
    <s v="USER TO CONFIRM"/>
    <m/>
    <s v="3-Moderate/Limited"/>
    <s v="3-Medium"/>
    <s v="Dubai"/>
    <s v="Desktop"/>
    <s v="OS Issue"/>
    <s v="Startup Error Message"/>
    <d v="2026-02-24T08:16:49"/>
    <s v="No"/>
    <s v="Within the Service Target"/>
    <s v="Phone"/>
    <s v="3 Reminders has been sent to user with no response, as per process ticket will be closed. Should you need any assistance in the meantime please call us on the following number Tel: +971(4) 290-5858-Option 4 We assure you of our best attention at all times"/>
    <s v="Resolved"/>
    <s v="No"/>
    <s v="techm_myalajlani"/>
    <s v="Medium"/>
    <s v="Desktop"/>
    <s v="OS Issue"/>
    <s v="Startup Error Message"/>
    <s v="Resolved"/>
    <n v="14725"/>
    <m/>
    <m/>
    <n v="4"/>
    <s v="Standard"/>
    <s v="AJUAhli"/>
    <s v="Alia.Ahli@rta.ae"/>
  </r>
  <r>
    <s v="INC000001313066"/>
    <s v="User Service Request"/>
    <s v="Abbas"/>
    <s v="Abdulla"/>
    <d v="2026-02-09T08:59:51"/>
    <s v="Administration Services"/>
    <s v="RTA"/>
    <x v="0"/>
    <s v="Desktop replacement with laptop"/>
    <s v="Solaiman Alhussni"/>
    <s v="OnSite  EUS"/>
    <m/>
    <s v="USER TO CONFIRM"/>
    <m/>
    <s v="4-Minor/Localized"/>
    <s v="4-Low"/>
    <s v="UMM RAMOOL NEW HQ 9A"/>
    <s v="Incident"/>
    <s v="Self-service"/>
    <s v="Mendix"/>
    <d v="2026-02-24T10:25:38"/>
    <s v="No"/>
    <s v="Within the Service Target"/>
    <s v="Self Service"/>
    <s v="the Desktop has been replaced with a New Laptop successfully"/>
    <s v="Resolved"/>
    <s v="No"/>
    <s v="mendix"/>
    <s v="Low"/>
    <s v="Desktop"/>
    <s v="Replacement"/>
    <s v="Desktop Replacement With Laptop"/>
    <s v="Resolved"/>
    <n v="10239"/>
    <m/>
    <s v="191566 \ 12519"/>
    <n v="21"/>
    <s v="Standard"/>
    <s v="Amyabdulla"/>
    <s v="Abbas.Abdulla@rta.ae"/>
  </r>
  <r>
    <s v="INC000001313065"/>
    <s v="User Service Request"/>
    <s v="Tariq"/>
    <s v="Khuwaidam"/>
    <d v="2026-02-09T09:00:00"/>
    <s v="Vehicles Licensing"/>
    <s v="RTA"/>
    <x v="7"/>
    <s v="FOLLOW UP - Employee transfer as of Thursday, 23/10/2025"/>
    <s v="Nihad Mozayek"/>
    <s v="OnSite  EUS"/>
    <m/>
    <s v="No Further Action Required"/>
    <m/>
    <s v="4-Minor/Localized"/>
    <s v="4-Low"/>
    <s v="Dubai"/>
    <s v="Desktop"/>
    <s v="Physical Verification"/>
    <s v="CMDB update"/>
    <d v="2026-02-25T09:44:31"/>
    <s v="No"/>
    <s v="Within the Service Target"/>
    <s v="Email"/>
    <s v="CMDB updated. CMDB updated. CMDB updated."/>
    <s v="Resolved"/>
    <s v="No"/>
    <s v="AR_ESCALATOR"/>
    <s v="Low"/>
    <s v="Desktop"/>
    <s v="Physical Verification"/>
    <s v="CMDB update"/>
    <s v="Resolved"/>
    <n v="12306"/>
    <m/>
    <m/>
    <n v="6"/>
    <s v="Standard"/>
    <s v="TJKhuwaidam"/>
    <s v="Tariq.Khuwaidam@rta.ae"/>
  </r>
  <r>
    <s v="INC000001313010"/>
    <s v="User Service Request"/>
    <s v="Omar"/>
    <s v="Laymouna"/>
    <d v="2026-02-09T08:06:20"/>
    <s v="Information Technology"/>
    <s v="RTA"/>
    <x v="3"/>
    <s v="Laptop_G+2"/>
    <s v="Techm Osama Abdullatif"/>
    <s v="OnSite  EUS"/>
    <m/>
    <s v="USER TO CONFIRM"/>
    <m/>
    <s v="4-Minor/Localized"/>
    <s v="4-Low"/>
    <s v="Dubai"/>
    <s v="Incident"/>
    <s v="Self-service"/>
    <s v="Mendix"/>
    <d v="2026-02-23T08:28:27"/>
    <s v="No"/>
    <s v="Within the Service Target"/>
    <s v="Self Service"/>
    <s v="Deployed the laptop for the new joiner as requested."/>
    <s v="Resolved"/>
    <s v="No"/>
    <s v="mendix"/>
    <s v="Low"/>
    <s v="Desktop"/>
    <s v="New Joiner Request"/>
    <s v="Laptop Request"/>
    <s v="Resolved"/>
    <s v="V0034606"/>
    <m/>
    <n v="191526"/>
    <n v="8"/>
    <s v="Standard"/>
    <s v="meds_ohlaymouna"/>
    <s v="Meds_Omar.Laymouna@rta.ae"/>
  </r>
  <r>
    <s v="INC000001313005"/>
    <s v="User Service Request"/>
    <s v="Ebrahim"/>
    <s v="Yuseff"/>
    <d v="2026-02-09T08:01:50"/>
    <s v="Buses"/>
    <s v="RTA"/>
    <x v="4"/>
    <s v="Software Installing Request"/>
    <s v="Techm Mazin Kinaish"/>
    <s v="OnSite  EUS"/>
    <m/>
    <s v="USER TO CONFIRM"/>
    <m/>
    <s v="4-Minor/Localized"/>
    <s v="4-Low"/>
    <s v="Al Aweer Depot"/>
    <s v="Desktop"/>
    <s v="RTA Non standard application  Request"/>
    <s v="Non-listed Application/Software"/>
    <d v="2026-02-25T09:42:49"/>
    <s v="No"/>
    <s v="Within the Service Target"/>
    <s v="Self Service"/>
    <s v="Power PI desktop installed to user"/>
    <s v="Resolved"/>
    <s v="No"/>
    <s v="mendix"/>
    <s v="Low"/>
    <s v="Desktop"/>
    <s v="RTA Non standard application  Request"/>
    <s v="Non-listed Application/Software"/>
    <s v="Resolved"/>
    <n v="2489"/>
    <m/>
    <m/>
    <n v="15"/>
    <s v="Standard"/>
    <s v="emyuseff"/>
    <s v="Ebrahim.Yuseff@rta.ae"/>
  </r>
  <r>
    <s v="INC000001312437"/>
    <s v="User Service Request"/>
    <s v="Hani"/>
    <s v="Alharthy"/>
    <d v="2026-02-06T23:12:22"/>
    <s v="Intelligent Traffic System"/>
    <s v="RTA"/>
    <x v="2"/>
    <s v="Outlook configuration - migrated to 365"/>
    <s v="Techm Wahbaelrahman Hassan"/>
    <s v="Service Desk"/>
    <m/>
    <s v="USER TO CONFIRM"/>
    <m/>
    <s v="4-Minor/Localized"/>
    <s v="4-Low"/>
    <s v="Dubai"/>
    <s v="Desktop"/>
    <s v="Mail"/>
    <s v="Outlook Reconfiguration(RE)"/>
    <d v="2026-02-24T10:05:53"/>
    <s v="No"/>
    <s v="Within the Service Target"/>
    <s v="Phone"/>
    <s v="User has confirmed MS Authenticator app account has been configured and user able to connect to outlook."/>
    <s v="Resolved"/>
    <s v="No"/>
    <s v="Techm_AMHamed"/>
    <s v="Low"/>
    <s v="Desktop"/>
    <s v="Mail"/>
    <s v="Outlook Reconfiguration(RE)"/>
    <s v="Resolved"/>
    <n v="12681"/>
    <m/>
    <m/>
    <n v="9"/>
    <s v="Standard"/>
    <s v="HSAlharthy"/>
    <s v="Hani.Alharthy@rta.ae"/>
  </r>
  <r>
    <s v="INC000001312002"/>
    <s v="User Service Request"/>
    <s v="Cyber Security Center"/>
    <s v="Alerts"/>
    <d v="2026-02-06T13:58:23"/>
    <s v="Information Security"/>
    <s v="RTA"/>
    <x v="3"/>
    <s v="CSC Alert: VPN user (&quot;MSALTAMIMI&quot;) access from outside the approved country - 06022026-03"/>
    <s v="Ismael Ismael"/>
    <s v="Service Desk"/>
    <m/>
    <s v="Automated Resolution Reported"/>
    <m/>
    <s v="4-Minor/Localized"/>
    <s v="4-Low"/>
    <s v="Dubai"/>
    <s v="Desktop"/>
    <s v="Proactive Monitoring"/>
    <s v="Proactive Action"/>
    <d v="2026-02-19T11:48:17"/>
    <s v="No"/>
    <s v="Within the Service Target"/>
    <s v="Email"/>
    <s v="CSC confirmed to close the ticket"/>
    <s v="Closed"/>
    <s v="No"/>
    <s v="Techm_NRMohamed"/>
    <s v="Low"/>
    <s v="Desktop"/>
    <s v="Proactive Monitoring"/>
    <s v="Proactive Action"/>
    <s v="Closed"/>
    <m/>
    <m/>
    <m/>
    <n v="1"/>
    <s v="Standard"/>
    <s v="socalerts"/>
    <s v="CSC.alert@rta.ae"/>
  </r>
  <r>
    <s v="INC000001311997"/>
    <s v="User Service Request"/>
    <s v="Marwan"/>
    <s v="Abdulrahman"/>
    <d v="2026-02-06T13:51:47"/>
    <s v="Rail Right Of Way"/>
    <s v="RTA"/>
    <x v="6"/>
    <s v="New Laptop Request"/>
    <s v="Techm Omer Idris"/>
    <s v="OnSite  EUS"/>
    <m/>
    <s v="USER TO CONFIRM"/>
    <m/>
    <s v="4-Minor/Localized"/>
    <s v="4-Low"/>
    <s v="Dubai"/>
    <s v="Desktop"/>
    <s v="Hardware Request"/>
    <s v="Laptop"/>
    <d v="2026-02-23T09:37:20"/>
    <s v="No"/>
    <s v="Within the Service Target"/>
    <s v="Email"/>
    <s v="- GIVEN the Laptop LENOVO THINKPAD X13 2 IN 1 G5  - Installed the RTA Image of Windows 11 Enterprise  - Installed Lenovo System Updates  - Downloaded and installed critical BIOS update  - Configured Microsoft Outlook   - Downloaded and installed Microsoft teams  - IT Assets database have been updated"/>
    <s v="Resolved"/>
    <s v="No"/>
    <s v="Techm_NRMohamed"/>
    <s v="Low"/>
    <s v="Desktop"/>
    <s v="New Joiner Request"/>
    <s v="Laptop Request"/>
    <s v="Resolved"/>
    <n v="11464"/>
    <m/>
    <n v="191523"/>
    <n v="7"/>
    <s v="Standard"/>
    <s v="mmabdulrahman"/>
    <s v="Marwan.Abdulrahman@rta.ae"/>
  </r>
  <r>
    <s v="INC000001311996"/>
    <s v="User Service Request"/>
    <s v="Hala"/>
    <s v="Almakt"/>
    <d v="2026-02-06T13:46:17"/>
    <s v="Dubai Traffic &amp; Roads CEO"/>
    <s v="RTA"/>
    <x v="2"/>
    <s v="New Laptop Request"/>
    <s v="Techm Omer Idris"/>
    <s v="OnSite  EUS"/>
    <m/>
    <s v="USER TO CONFIRM"/>
    <m/>
    <s v="4-Minor/Localized"/>
    <s v="4-Low"/>
    <s v="UMM RAMOOL NEW HQ 6C"/>
    <s v="Desktop"/>
    <s v="Hardware Request"/>
    <s v="Laptop"/>
    <d v="2026-02-23T09:36:38"/>
    <s v="No"/>
    <s v="Within the Service Target"/>
    <s v="Email"/>
    <s v="- GIVEN the Laptop LENOVO THINKPAD X13 2 IN 1 G5  - Installed the RTA Image of Windows 11 Enterprise  - Installed Lenovo System Updates  - Downloaded and installed critical BIOS update  - Configured Microsoft Outlook   - Downloaded and installed Microsoft teams  - IT Assets database have been updated"/>
    <s v="Resolved"/>
    <s v="No"/>
    <s v="Techm_NRMohamed"/>
    <s v="Low"/>
    <s v="Desktop"/>
    <s v="New Joiner Request"/>
    <s v="Laptop Request"/>
    <s v="Resolved"/>
    <n v="10395"/>
    <m/>
    <n v="191525"/>
    <n v="10"/>
    <s v="Sensitive"/>
    <s v="haalmakt"/>
    <s v="Hala.Almakt@rta.ae"/>
  </r>
  <r>
    <s v="INC000001311963"/>
    <s v="User Service Request"/>
    <s v="Suroor"/>
    <s v="Alsuwaidi"/>
    <d v="2026-02-06T12:32:42"/>
    <s v="Vehicles Licensing"/>
    <s v="RTA"/>
    <x v="7"/>
    <s v="Laptop"/>
    <s v="Nihad Mozayek"/>
    <s v="OnSite  EUS"/>
    <m/>
    <s v="No Further Action Required"/>
    <m/>
    <s v="4-Minor/Localized"/>
    <s v="4-Low"/>
    <s v="Dubai"/>
    <s v="Incident"/>
    <s v="Self-service"/>
    <s v="Mendix"/>
    <d v="2026-02-23T08:25:45"/>
    <s v="No"/>
    <s v="Within the Service Target"/>
    <s v="Self Service"/>
    <s v="Laptop has been provided to the user. CMDB updated"/>
    <s v="Resolved"/>
    <s v="No"/>
    <s v="mendix"/>
    <s v="Low"/>
    <s v="Desktop"/>
    <s v="Hardware Request"/>
    <s v="Laptop"/>
    <s v="Resolved"/>
    <n v="15903"/>
    <m/>
    <n v="191602"/>
    <n v="10"/>
    <s v="Standard"/>
    <s v="sabalsuwaidi"/>
    <s v="Suroor.Alsuwaidi@rta.ae"/>
  </r>
  <r>
    <s v="INC000001311855"/>
    <s v="User Service Request"/>
    <s v="Sayed"/>
    <s v="Malik"/>
    <d v="2026-02-06T09:03:02"/>
    <s v="Traffic"/>
    <s v="RTA"/>
    <x v="2"/>
    <s v="Software Installing Request"/>
    <s v="Techm Omer Idris"/>
    <s v="OnSite  EUS"/>
    <m/>
    <s v="Automated Resolution Reported"/>
    <m/>
    <s v="4-Minor/Localized"/>
    <s v="4-Low"/>
    <s v="Dubai"/>
    <s v="Desktop"/>
    <s v="RTA Non standard application  Request"/>
    <s v="Autocad"/>
    <d v="2026-02-19T13:12:24"/>
    <s v="No"/>
    <s v="Within the Service Target"/>
    <s v="Self Service"/>
    <s v="AutoCad 2026 has been installed to user workstation"/>
    <s v="Closed"/>
    <s v="No"/>
    <s v="mendix"/>
    <s v="Low"/>
    <s v="Desktop"/>
    <s v="RTA Non standard application  Request"/>
    <s v="AutoCAD"/>
    <s v="Closed"/>
    <n v="15651"/>
    <m/>
    <m/>
    <n v="12"/>
    <s v="Standard"/>
    <s v="samalik"/>
    <s v="Sayed.Malik@rta.ae"/>
  </r>
  <r>
    <s v="INC000001311854"/>
    <s v="User Service Request"/>
    <s v="Ibrahim"/>
    <s v="Kutty K. Hydrose Kutty"/>
    <d v="2026-02-06T08:59:29"/>
    <s v="Traffic"/>
    <s v="RTA"/>
    <x v="2"/>
    <s v="Software Installing Request"/>
    <s v="Techm Omer Idris"/>
    <s v="OnSite  EUS"/>
    <m/>
    <s v="Automated Resolution Reported"/>
    <m/>
    <s v="4-Minor/Localized"/>
    <s v="4-Low"/>
    <s v="UMM RAMOOL NEW HQ 7C"/>
    <s v="Desktop"/>
    <s v="RTA Non standard application  Request"/>
    <s v="Non-listed Application/Software"/>
    <d v="2026-02-19T09:05:07"/>
    <s v="No"/>
    <s v="Within the Service Target"/>
    <s v="Self Service"/>
    <s v="AutoCAD 2026 has been installed to user workstation"/>
    <s v="Closed"/>
    <s v="No"/>
    <s v="mendix"/>
    <s v="Low"/>
    <s v="Desktop"/>
    <s v="RTA Non standard application  Request"/>
    <s v="AutoCAD"/>
    <s v="Closed"/>
    <n v="636"/>
    <m/>
    <m/>
    <n v="12"/>
    <s v="Standard"/>
    <s v="IKKutty"/>
    <s v="Ibrahim.kutty@rta.ae"/>
  </r>
  <r>
    <s v="INC000001311759"/>
    <s v="User Service Request"/>
    <s v="Meera"/>
    <s v="Alsuwaidi"/>
    <d v="2026-02-06T02:36:14"/>
    <s v="Strategic Planning"/>
    <s v="RTA"/>
    <x v="1"/>
    <s v="Asset return request for resigned user"/>
    <s v="Mohamed Al Taweel"/>
    <s v="OnSite  EUS"/>
    <m/>
    <s v="No Further Action Required"/>
    <m/>
    <s v="4-Minor/Localized"/>
    <s v="4-Low"/>
    <s v="UMM RAMOOL - HQ block C"/>
    <s v="Desktop"/>
    <s v="Resigned user"/>
    <s v="Asset return"/>
    <d v="2026-02-23T08:48:40"/>
    <s v="No"/>
    <s v="Within the Service Target"/>
    <s v="Email"/>
    <e v="#NAME?"/>
    <s v="Resolved"/>
    <s v="No"/>
    <s v="Techm_AMElboshy"/>
    <s v="Low"/>
    <s v="Desktop"/>
    <s v="Resigned user"/>
    <s v="Asset Return"/>
    <s v="Resolved"/>
    <n v="12318"/>
    <m/>
    <n v="12471"/>
    <n v="10"/>
    <s v="Standard"/>
    <s v="MEAAlsuwaidi"/>
    <s v="Meera.Alsuwaidi@rta.ae"/>
  </r>
  <r>
    <s v="INC000001311687"/>
    <s v="User Service Restoration"/>
    <s v="Amna"/>
    <s v="Abdulla"/>
    <d v="2026-02-05T20:08:22"/>
    <s v="Human Resources &amp; Development"/>
    <s v="RTA"/>
    <x v="0"/>
    <s v="????????"/>
    <s v="Ali Adam"/>
    <s v="OnSite  EUS"/>
    <m/>
    <s v="Automated Resolution Reported"/>
    <m/>
    <s v="3-Moderate/Limited"/>
    <s v="3-Medium"/>
    <s v="Dubai"/>
    <s v="Incident"/>
    <s v="Self-service"/>
    <s v="Mendix"/>
    <d v="2026-02-19T10:12:08"/>
    <s v="No"/>
    <s v="Within the Service Target"/>
    <s v="Self Service"/>
    <e v="#NAME?"/>
    <s v="Closed"/>
    <s v="No"/>
    <s v="mendix"/>
    <s v="Medium"/>
    <s v="Desktop"/>
    <s v="OS Issue"/>
    <s v="Device Driver Issue"/>
    <s v="Closed"/>
    <n v="13396"/>
    <m/>
    <m/>
    <n v="8"/>
    <s v="Standard"/>
    <s v="AJUAbdulla"/>
    <s v="Amna.JAbdulla@rta.ae"/>
  </r>
  <r>
    <s v="INC000001311574"/>
    <s v="User Service Request"/>
    <s v="Arunkumar"/>
    <s v="Manisekar"/>
    <d v="2026-02-05T14:22:30"/>
    <s v="Information Technology"/>
    <s v="RTA"/>
    <x v="3"/>
    <s v="Data transfer and asset return"/>
    <s v="Techm Elsayed Mohamed"/>
    <s v="OnSite  EUS"/>
    <m/>
    <s v="USER TO CONFIRM"/>
    <m/>
    <s v="4-Minor/Localized"/>
    <s v="4-Low"/>
    <s v="Dubai"/>
    <s v="Application"/>
    <s v="Application Services"/>
    <s v="Add / Revoke Privilege"/>
    <d v="2026-02-25T14:14:45"/>
    <s v="No"/>
    <s v="Within the Service Target"/>
    <s v="Email"/>
    <s v="The data transferred to the new laptop and the old laptop returned to store"/>
    <s v="Resolved"/>
    <s v="No"/>
    <s v="techm_maalneil"/>
    <s v="Low"/>
    <s v="Desktop"/>
    <s v="Asset Collection"/>
    <s v="Asset Collection"/>
    <s v="Resolved"/>
    <n v="15962"/>
    <m/>
    <n v="12470"/>
    <n v="10"/>
    <s v="Standard"/>
    <s v="ammanisekar"/>
    <s v="Arunkumar.Manisekar@rta.ae"/>
  </r>
  <r>
    <s v="INC000001311327"/>
    <s v="User Service Request"/>
    <s v="khalil"/>
    <s v="Aldebsi"/>
    <d v="2026-02-05T09:00:12"/>
    <s v="Vehicles Licensing"/>
    <s v="RTA"/>
    <x v="7"/>
    <s v="Resigned user Asset collection"/>
    <s v="Nihad Mozayek"/>
    <s v="OnSite  EUS"/>
    <m/>
    <s v="No Further Action Required"/>
    <m/>
    <s v="4-Minor/Localized"/>
    <s v="4-Low"/>
    <s v="Dubai"/>
    <s v="Desktop"/>
    <s v="Resigned user"/>
    <s v="Asset return"/>
    <d v="2026-02-24T11:38:44"/>
    <s v="No"/>
    <s v="Within the Service Target"/>
    <s v="Phone"/>
    <s v="Laptop returned to the store. Monitor re-tagged to another user. CMDB updated"/>
    <s v="Resolved"/>
    <s v="No"/>
    <s v="Techm_HHAljayeh"/>
    <s v="Low"/>
    <s v="Desktop"/>
    <s v="Resigned user"/>
    <s v="Asset Return"/>
    <s v="Resolved"/>
    <n v="11892"/>
    <m/>
    <n v="12456"/>
    <n v="8"/>
    <s v="Standard"/>
    <s v="kraldebsi"/>
    <s v="khalil.Aldebsi@rta.ae"/>
  </r>
  <r>
    <s v="INC000001310938"/>
    <s v="User Service Request"/>
    <s v="Prasad"/>
    <s v="Jarpula"/>
    <d v="2026-02-04T15:34:03"/>
    <s v="Information Technology"/>
    <s v="RTA"/>
    <x v="3"/>
    <s v="External Monitor"/>
    <s v="Techm Elsayed Mohamed"/>
    <s v="OnSite  EUS"/>
    <m/>
    <s v="USER TO CONFIRM"/>
    <m/>
    <s v="4-Minor/Localized"/>
    <s v="4-Low"/>
    <s v="Dubai"/>
    <s v="Incident"/>
    <s v="Self-service"/>
    <s v="Mendix"/>
    <d v="2026-02-23T14:02:01"/>
    <s v="No"/>
    <s v="Within the Service Target"/>
    <s v="Self Service"/>
    <e v="#NAME?"/>
    <s v="Resolved"/>
    <s v="No"/>
    <s v="mendix"/>
    <s v="Low"/>
    <s v="Desktop"/>
    <s v="Peripherals"/>
    <s v="Monitor"/>
    <s v="Resolved"/>
    <s v="V0033130"/>
    <s v="ITSD Section Manager Approval"/>
    <n v="191546"/>
    <n v="17"/>
    <s v="Standard"/>
    <s v="bahwan_pjjarpula"/>
    <s v="Bahwan_Prasad.Jarpula@rta.ae"/>
  </r>
  <r>
    <s v="INC000001310904"/>
    <s v="User Service Request"/>
    <s v="Ayoub"/>
    <s v="Alialmazem"/>
    <d v="2026-02-04T14:35:54"/>
    <s v="Passengers Transport Activities Monitoring"/>
    <s v="RTA"/>
    <x v="4"/>
    <s v="Asset collection_PTA"/>
    <s v="Techm Ahmad Khantomany"/>
    <s v="OnSite  EUS"/>
    <m/>
    <s v="USER TO CONFIRM"/>
    <m/>
    <s v="4-Minor/Localized"/>
    <s v="4-Low"/>
    <s v="MUHAISNAH -PTP BUILDING"/>
    <s v="Desktop"/>
    <s v="Asset collection"/>
    <s v="Asset collection"/>
    <d v="2026-02-25T10:37:48"/>
    <s v="No"/>
    <s v="Within the Service Target"/>
    <s v="Email"/>
    <s v="Asset returned partially, CMDB updated."/>
    <s v="Resolved"/>
    <s v="No"/>
    <s v="techm_maalneil"/>
    <s v="Low"/>
    <s v="Desktop"/>
    <s v="Asset Collection"/>
    <s v="Asset Collection"/>
    <s v="Resolved"/>
    <n v="11342"/>
    <m/>
    <n v="12501"/>
    <n v="11"/>
    <s v="Standard"/>
    <s v="amalialmazem"/>
    <s v="Ayoub.Alialmazem@rta.ae"/>
  </r>
  <r>
    <s v="INC000001310365"/>
    <s v="User Service Restoration"/>
    <s v="Abdallah"/>
    <s v="Albloushi"/>
    <d v="2026-02-03T21:59:46"/>
    <s v="Passengers Transport Activities Monitoring"/>
    <s v="RTA"/>
    <x v="4"/>
    <s v="PC Login issue"/>
    <s v="Techm Nabeesu Mohamed"/>
    <s v="Service Desk"/>
    <m/>
    <s v="USER TO CONFIRM"/>
    <m/>
    <s v="3-Moderate/Limited"/>
    <s v="3-Medium"/>
    <s v="Dubai"/>
    <s v="Desktop"/>
    <s v="Login Issue"/>
    <s v="Wrong Credentials"/>
    <d v="2026-02-24T12:03:04"/>
    <s v="No"/>
    <s v="Within the Service Target"/>
    <s v="Phone"/>
    <s v="There is no respond from user after sent three remainder  hence closing the ticket"/>
    <s v="Resolved"/>
    <s v="No"/>
    <s v="Techm_AMElboshy"/>
    <s v="Medium"/>
    <s v="Desktop"/>
    <s v="Login Issue"/>
    <s v="Wrong Credentials"/>
    <s v="Resolved"/>
    <n v="12848"/>
    <m/>
    <m/>
    <n v="4"/>
    <s v="Standard"/>
    <s v="AMOAlbloushi"/>
    <s v="Abdallah.Albloushi@rta.ae"/>
  </r>
  <r>
    <s v="INC000001310292"/>
    <s v="User Service Request"/>
    <s v="Basem"/>
    <s v="Torky"/>
    <d v="2026-02-03T17:49:19"/>
    <s v="Smart Services"/>
    <s v="RTA"/>
    <x v="3"/>
    <s v="Laptop replacement request"/>
    <s v="Techm Elsayed Mohamed"/>
    <s v="OnSite  EUS"/>
    <m/>
    <s v="USER TO CONFIRM"/>
    <m/>
    <s v="4-Minor/Localized"/>
    <s v="4-Low"/>
    <s v="Dubai"/>
    <s v="Desktop"/>
    <s v="Replacement"/>
    <s v="Laptop replacement with Laptop"/>
    <d v="2026-02-23T14:02:52"/>
    <s v="No"/>
    <s v="Within the Service Target"/>
    <s v="Email"/>
    <e v="#NAME?"/>
    <s v="Resolved"/>
    <s v="No"/>
    <s v="Techm_AMElboshy"/>
    <s v="Low"/>
    <s v="Desktop"/>
    <s v="Replacement"/>
    <s v="Laptop Replacement With Laptop"/>
    <s v="Resolved"/>
    <n v="14802"/>
    <m/>
    <s v="191502 \ 12506"/>
    <n v="16"/>
    <s v="Standard"/>
    <s v="batorky"/>
    <s v="Basem.Torky@rta.ae"/>
  </r>
  <r>
    <s v="INC000001310045"/>
    <s v="User Service Request"/>
    <s v="Noor"/>
    <s v="Alsaeed"/>
    <d v="2026-02-03T11:22:47"/>
    <s v="Information Technology"/>
    <s v="RTA"/>
    <x v="3"/>
    <s v="External Monitor"/>
    <s v="Techm Elsayed Mohamed"/>
    <s v="OnSite  EUS"/>
    <m/>
    <s v="USER TO CONFIRM"/>
    <m/>
    <s v="4-Minor/Localized"/>
    <s v="4-Low"/>
    <s v="Dubai"/>
    <s v="Incident"/>
    <s v="Self-service"/>
    <s v="Mendix"/>
    <d v="2026-02-23T14:01:16"/>
    <s v="No"/>
    <s v="Within the Service Target"/>
    <s v="Self Service"/>
    <e v="#NAME?"/>
    <s v="Resolved"/>
    <s v="No"/>
    <s v="mendix"/>
    <s v="Low"/>
    <s v="Desktop"/>
    <s v="Peripherals"/>
    <s v="Monitor"/>
    <s v="Resolved"/>
    <s v="V0030770"/>
    <s v="ITSD Section Manager Approval"/>
    <n v="191548"/>
    <n v="10"/>
    <s v="Standard"/>
    <s v="okool_njalsaeed"/>
    <s v="Okool_Noor.Alsaeed@rta.ae"/>
  </r>
  <r>
    <s v="INC000001310041"/>
    <s v="User Service Request"/>
    <s v="Kadirvel"/>
    <s v="Appukutti"/>
    <d v="2026-02-03T11:20:02"/>
    <s v="Information Technology"/>
    <s v="RTA"/>
    <x v="3"/>
    <s v="External Monitor"/>
    <s v="Techm Elsayed Mohamed"/>
    <s v="OnSite  EUS"/>
    <m/>
    <s v="USER TO CONFIRM"/>
    <m/>
    <s v="4-Minor/Localized"/>
    <s v="4-Low"/>
    <s v="Dubai"/>
    <s v="Incident"/>
    <s v="Self-service"/>
    <s v="Mendix"/>
    <d v="2026-02-23T14:00:31"/>
    <s v="No"/>
    <s v="Within the Service Target"/>
    <s v="Self Service"/>
    <e v="#NAME?"/>
    <s v="Resolved"/>
    <s v="No"/>
    <s v="mendix"/>
    <s v="Low"/>
    <s v="Desktop"/>
    <s v="Peripherals"/>
    <s v="Monitor"/>
    <s v="Resolved"/>
    <s v="V0032781"/>
    <s v="ITSD Section Manager Approval"/>
    <n v="191549"/>
    <n v="15"/>
    <s v="Standard"/>
    <s v="bahwan_kaappukutti"/>
    <s v="Bahwan_Kadirvel.Appukutti@rta.ae"/>
  </r>
  <r>
    <s v="INC000001309894"/>
    <s v="User Service Request"/>
    <s v="Abdulrahman"/>
    <s v="Raeisi"/>
    <d v="2026-02-03T10:23:13"/>
    <s v="Development &amp; Corporate Performance"/>
    <s v="RTA"/>
    <x v="1"/>
    <s v="Temporary Laptop request"/>
    <s v="Mohamed Nishad Usman"/>
    <s v="OnSite  EUS"/>
    <m/>
    <s v="USER TO CONFIRM"/>
    <m/>
    <s v="4-Minor/Localized"/>
    <s v="4-Low"/>
    <s v="Dubai"/>
    <s v="Incident"/>
    <s v="Self-service"/>
    <s v="Mendix"/>
    <d v="2026-02-23T12:40:21"/>
    <s v="No"/>
    <s v="Within the Service Target"/>
    <s v="Self Service"/>
    <s v="Temporary laptop has been provided to the user, confogured user profile"/>
    <s v="Resolved"/>
    <s v="No"/>
    <s v="mendix"/>
    <s v="Low"/>
    <s v="Desktop"/>
    <s v="Temporary Hardware"/>
    <s v="Laptop"/>
    <s v="Resolved"/>
    <n v="13428"/>
    <m/>
    <n v="191503"/>
    <n v="17"/>
    <s v="Standard"/>
    <s v="AMRaeisi"/>
    <s v="Abdulrahman.Raeisi@rta.ae"/>
  </r>
  <r>
    <s v="INC000001309857"/>
    <s v="User Service Request"/>
    <s v="Mohammad"/>
    <s v="Alam"/>
    <d v="2026-02-03T09:31:18"/>
    <s v="Licensing Systems"/>
    <s v="RTA"/>
    <x v="7"/>
    <s v="Software Installing Request"/>
    <s v="Techm Nabeesu Mohamed"/>
    <s v="Service Desk"/>
    <m/>
    <s v="USER TO CONFIRM"/>
    <m/>
    <s v="4-Minor/Localized"/>
    <s v="4-Low"/>
    <s v="Dubai"/>
    <s v="Desktop"/>
    <s v="RTA Non standard application  Request"/>
    <s v="Non-listed Application/Software"/>
    <d v="2026-02-24T14:02:44"/>
    <s v="No"/>
    <s v="Within the Service Target"/>
    <s v="Self Service"/>
    <s v="As per last update from security team ,user department should raise new RISK in GRC system to install the software and same already SMD looped concerned engineer from SMD to advise.  (As per the provided response, Security risk assessment has to be conducted inclduing the requested point treatment plan.)  Currently ,we are closing the ticket, once RISK will be raised, please let us know the new RISK No# to raise new ticket for the request ."/>
    <s v="Resolved"/>
    <s v="No"/>
    <s v="mendix"/>
    <s v="Low"/>
    <s v="Desktop"/>
    <s v="RTA Non standard application  Request"/>
    <s v="Non-listed Application/Software"/>
    <s v="Resolved"/>
    <s v="V0029921"/>
    <m/>
    <m/>
    <n v="15"/>
    <s v="Standard"/>
    <s v="techvista_maalam"/>
    <s v="Techvista_Mohammad.Alam@rta.ae"/>
  </r>
  <r>
    <s v="INC000001309724"/>
    <s v="User Service Restoration"/>
    <s v="Mohamed"/>
    <s v="Attia"/>
    <d v="2026-02-02T23:50:23"/>
    <s v="Customer Happiness"/>
    <s v="RTA"/>
    <x v="0"/>
    <s v="Laptop slowness issue"/>
    <s v="Techm Wahbaelrahman Hassan"/>
    <s v="Service Desk"/>
    <m/>
    <s v="USER TO CONFIRM"/>
    <m/>
    <s v="3-Moderate/Limited"/>
    <s v="3-Medium"/>
    <m/>
    <s v="Desktop"/>
    <s v="OS Issue"/>
    <s v="PC Slowness Issue"/>
    <d v="2026-02-24T12:43:41"/>
    <s v="No"/>
    <s v="Within the Service Target"/>
    <s v="Phone"/>
    <s v="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
    <s v="Resolved"/>
    <s v="No"/>
    <s v="Techm_OFMohamed"/>
    <s v="Medium"/>
    <s v="Desktop"/>
    <s v="OS Issue"/>
    <s v="PC Slowness Issue"/>
    <s v="Resolved"/>
    <s v="V0011783"/>
    <m/>
    <m/>
    <n v="9"/>
    <s v="Standard"/>
    <s v="avaya_maattia"/>
    <s v="Avaya_Mohamed.Attia@rta.ae"/>
  </r>
  <r>
    <s v="INC000001309024"/>
    <s v="User Service Request"/>
    <s v="Hussein"/>
    <s v="Suleiman"/>
    <d v="2026-02-02T00:26:21"/>
    <s v="Administration Services"/>
    <s v="RTA"/>
    <x v="0"/>
    <s v="Nexthink: Proactive Report _Check battery"/>
    <s v="Solaiman Alhussni"/>
    <s v="OnSite  EUS"/>
    <m/>
    <s v="USER TO CONFIRM"/>
    <m/>
    <s v="4-Minor/Localized"/>
    <s v="4-Low"/>
    <s v="Dubai"/>
    <s v="Desktop"/>
    <s v="Proactive Monitoring"/>
    <s v="Proactive Action"/>
    <d v="2026-02-24T11:03:06"/>
    <s v="No"/>
    <s v="Within the Service Target"/>
    <s v="Email"/>
    <s v="Laptop battery has been replaced successfully"/>
    <s v="Resolved"/>
    <s v="No"/>
    <s v="Techm_OFMohamed"/>
    <s v="Low"/>
    <s v="Desktop"/>
    <s v="Proactive Monitoring"/>
    <s v="Proactive Action"/>
    <s v="Resolved"/>
    <n v="14581"/>
    <m/>
    <n v="191430"/>
    <n v="19"/>
    <s v="Standard"/>
    <s v="HASuleiman"/>
    <s v="Hussein.Suleiman@rta.ae"/>
  </r>
  <r>
    <s v="INC000001307784"/>
    <s v="User Service Restoration"/>
    <s v="Zakarya"/>
    <s v="Isleem"/>
    <d v="2026-01-29T13:26:59"/>
    <s v="Information Technology"/>
    <s v="RTA"/>
    <x v="3"/>
    <s v="VPN Issue"/>
    <s v="Aryam Juma Mohammad Albasata Albasata"/>
    <s v="Service Desk"/>
    <m/>
    <s v="USER TO CONFIRM"/>
    <m/>
    <s v="3-Moderate/Limited"/>
    <s v="3-Medium"/>
    <s v="Dubai"/>
    <s v="Desktop"/>
    <s v="Configuration"/>
    <s v="VPN Troubleshooting"/>
    <d v="2026-02-24T10:31:54"/>
    <s v="No"/>
    <s v="Within the Service Target"/>
    <s v="Phone"/>
    <s v="Dear IT Support,   I can see that the user's MFA is not set. Please guide the user to configure the authenticator.  Please follow the below steps after connecting the laptop to an open network like Mobile Hotspot or Home WiFi to configure the MFA.   _x0009_1. Launch Chrome and paste the following link in the address bar:           https://ettisal.rta.ae/vpn  _x0009_2. Enter your username and password. _x0009_3. A QR code will be displayed on the screen. _x0009_4. Open the Oracle Authenticator app on your mobile device. _x0009_5. Tap the + icon         6. Scan the QR code, enter the 6-digit code, and click Sign In. (Ignore the error message that gets displayed after the Sign In)"/>
    <s v="Resolved"/>
    <s v="No"/>
    <s v="techm_ajalbasata"/>
    <s v="Medium"/>
    <s v="Desktop"/>
    <s v="Configuration"/>
    <s v="VPN Troubleshooting"/>
    <s v="Resolved"/>
    <s v="V0032677"/>
    <m/>
    <m/>
    <n v="11"/>
    <s v="Standard"/>
    <s v="okool_zhisleem"/>
    <s v="Okool_Zakarya.Isleem@rta.ae"/>
  </r>
  <r>
    <s v="INC000001306905"/>
    <s v="User Service Request"/>
    <s v="Jamal"/>
    <s v="Alhashemi"/>
    <d v="2026-01-28T12:59:13"/>
    <s v="Security &amp; Monitoring"/>
    <s v="RTA"/>
    <x v="5"/>
    <s v="Request to provide 5 laptops for Security Operations Center"/>
    <s v="Solaiman Alhussni"/>
    <s v="OnSite  EUS"/>
    <m/>
    <s v="Automated Resolution Reported"/>
    <m/>
    <s v="4-Minor/Localized"/>
    <s v="4-Low"/>
    <s v="Dubai"/>
    <s v="Desktop"/>
    <s v="Hardware Request"/>
    <s v="Laptop"/>
    <d v="2026-02-20T08:26:09"/>
    <s v="No"/>
    <s v="Within the Service Target"/>
    <s v="Email"/>
    <s v="the 5 Laptops have been handed over to Abdelwaheed Gafar"/>
    <s v="Closed"/>
    <s v="No"/>
    <s v="Techm_NRMohamed"/>
    <s v="Low"/>
    <s v="Desktop"/>
    <s v="Hardware Request"/>
    <s v="Laptop"/>
    <s v="Closed"/>
    <n v="15729"/>
    <s v="Memo/Budget"/>
    <n v="191358"/>
    <n v="6"/>
    <s v="Standard"/>
    <s v="jhalhashemi"/>
    <s v="Jamal.Alhashemi@rta.ae"/>
  </r>
  <r>
    <s v="INC000001306863"/>
    <s v="User Service Request"/>
    <s v="Diyaaeldin"/>
    <s v="Mohammed"/>
    <d v="2026-01-28T12:16:39"/>
    <s v="Human Resources &amp; Development"/>
    <s v="RTA"/>
    <x v="0"/>
    <s v="Temporary Laptop replacement"/>
    <s v="Ali Adam"/>
    <s v="OnSite  EUS"/>
    <m/>
    <s v="USER TO CONFIRM"/>
    <m/>
    <s v="4-Minor/Localized"/>
    <s v="4-Low"/>
    <s v="UMM RAMOOL NEW HQ 2A"/>
    <s v="Incident"/>
    <s v="Self-service"/>
    <s v="Mendix"/>
    <d v="2026-02-25T08:31:49"/>
    <s v="No"/>
    <s v="Within the Service Target"/>
    <s v="Self Service"/>
    <s v="a new related  follow-up ticket will be logged on the approved collection/ revised expiry date."/>
    <s v="Resolved"/>
    <s v="No"/>
    <s v="mendix"/>
    <s v="Low"/>
    <s v="Desktop"/>
    <s v="Others"/>
    <s v="Follow-up/Extension"/>
    <s v="Resolved"/>
    <n v="10473"/>
    <m/>
    <s v="191457 \ 12495"/>
    <n v="20"/>
    <s v="Standard"/>
    <s v="damohammed"/>
    <s v="Diyaaeldin.Mohammed@rta.ae"/>
  </r>
  <r>
    <s v="INC000001305314"/>
    <s v="User Service Request"/>
    <s v="Layla"/>
    <s v="Al Ammari"/>
    <d v="2026-01-26T12:18:35"/>
    <s v="Rail Agency Quality, Health, Safety &amp; Sustainability Office"/>
    <s v="RTA"/>
    <x v="6"/>
    <s v="Asset collection for the resigned user."/>
    <s v="Nihad Mozayek"/>
    <s v="OnSite  EUS"/>
    <m/>
    <s v="No Further Action Required"/>
    <m/>
    <s v="4-Minor/Localized"/>
    <s v="4-Low"/>
    <s v="UMM RAMOOL -BLOCK A"/>
    <s v="Desktop"/>
    <s v="Asset collection"/>
    <s v="Asset collection"/>
    <d v="2026-02-24T11:32:58"/>
    <s v="No"/>
    <s v="Within the Service Target"/>
    <s v="Phone"/>
    <s v="Asset returned to the store. CMDB updated"/>
    <s v="Resolved"/>
    <s v="No"/>
    <s v="techm_iaismael"/>
    <s v="Low"/>
    <s v="Desktop"/>
    <s v="Resigned user"/>
    <s v="Asset Return"/>
    <s v="Resolved"/>
    <n v="3480"/>
    <m/>
    <n v="12446"/>
    <n v="11"/>
    <s v="Standard"/>
    <s v="LAAlammari"/>
    <s v="layla.ammari@rta.ae"/>
  </r>
  <r>
    <s v="INC000001305267"/>
    <s v="User Service Request"/>
    <s v="Mohammad"/>
    <s v="Badran"/>
    <d v="2026-01-26T11:33:12"/>
    <s v="Security &amp; Monitoring"/>
    <s v="RTA"/>
    <x v="5"/>
    <s v="Hardware Replacement - Monitor"/>
    <s v="Solaiman Alhussni"/>
    <s v="OnSite  EUS"/>
    <m/>
    <s v="USER TO CONFIRM"/>
    <m/>
    <s v="4-Minor/Localized"/>
    <s v="4-Low"/>
    <s v="UMM RAMOOL - NEW HQ"/>
    <s v="Incident"/>
    <s v="Self-service"/>
    <s v="Mendix"/>
    <d v="2026-02-25T07:44:56"/>
    <s v="No"/>
    <s v="Within the Service Target"/>
    <s v="Self Service"/>
    <s v="The monitor has been replaced successfully, and it is now functioning properly."/>
    <s v="Resolved"/>
    <s v="No"/>
    <s v="mendix"/>
    <s v="Low"/>
    <s v="Desktop"/>
    <s v="Replacement"/>
    <s v="Monitor Replacement With Monitor"/>
    <s v="Resolved"/>
    <n v="8534"/>
    <m/>
    <s v="191343 \ 12488"/>
    <n v="17"/>
    <s v="Standard"/>
    <s v="mabadran"/>
    <s v="mohammad.badran@rta.ae"/>
  </r>
  <r>
    <s v="INC000001304131"/>
    <s v="User Service Restoration"/>
    <s v="Abdulrahman"/>
    <s v="Albaloushi"/>
    <d v="2026-01-23T09:17:57"/>
    <s v="Parking"/>
    <s v="RTA"/>
    <x v="2"/>
    <s v="PC Slowness Issue_G+2"/>
    <s v="Techm Osama Abdullatif"/>
    <s v="OnSite  EUS"/>
    <m/>
    <s v="USER TO CONFIRM"/>
    <m/>
    <s v="3-Moderate/Limited"/>
    <s v="3-Medium"/>
    <s v="Dubai"/>
    <s v="Desktop"/>
    <s v="OS Issue"/>
    <s v="PC Slowness Issue"/>
    <d v="2026-02-23T08:36:21"/>
    <s v="No"/>
    <s v="Within the Service Target"/>
    <s v="Phone"/>
    <e v="#NAME?"/>
    <s v="Resolved"/>
    <s v="No"/>
    <s v="techm_myalajlani"/>
    <s v="Medium"/>
    <s v="Desktop"/>
    <s v="OS Issue"/>
    <s v="PC Slowness Issue"/>
    <s v="Resolved"/>
    <n v="2042"/>
    <m/>
    <n v="191529"/>
    <n v="18"/>
    <s v="Standard"/>
    <s v="AAAlbaloushi"/>
    <s v="Abdulrahman.Albaloushi@rta.ae"/>
  </r>
  <r>
    <s v="INC000001303458"/>
    <s v="User Service Request"/>
    <s v="Ahmad"/>
    <s v="Alahmad"/>
    <d v="2026-01-22T12:09:11"/>
    <s v="Buses"/>
    <s v="RTA"/>
    <x v="4"/>
    <s v="Laptop replacement_G+2"/>
    <s v="Techm Osama Abdullatif"/>
    <s v="OnSite  EUS"/>
    <m/>
    <s v="USER TO CONFIRM"/>
    <m/>
    <s v="4-Minor/Localized"/>
    <s v="4-Low"/>
    <s v="Dubai"/>
    <s v="Incident"/>
    <s v="Self-service"/>
    <s v="Mendix"/>
    <d v="2026-02-24T09:34:52"/>
    <s v="No"/>
    <s v="Within the Service Target"/>
    <s v="Self Service"/>
    <s v="Replaced the laptop for the user as requested."/>
    <s v="Resolved"/>
    <s v="No"/>
    <s v="mendix"/>
    <s v="Low"/>
    <s v="Desktop"/>
    <s v="Replacement"/>
    <s v="Laptop Replacement With Laptop"/>
    <s v="Resolved"/>
    <s v="V0025194"/>
    <m/>
    <s v="191400 \ 12489"/>
    <n v="21"/>
    <s v="Standard"/>
    <s v="srsl_akalahmad"/>
    <s v="Srsl_Ahmad.Alahmad@rta.ae"/>
  </r>
  <r>
    <s v="INC000001302276"/>
    <s v="User Service Request"/>
    <s v="Salma"/>
    <s v="Arabi"/>
    <d v="2026-01-20T15:34:35"/>
    <s v="Development &amp; Corporate Performance"/>
    <s v="RTA"/>
    <x v="1"/>
    <s v="Network Folder/ Files / Email Restoration"/>
    <s v="Mohamed Nishad Usman"/>
    <s v="OnSite  EUS"/>
    <m/>
    <s v="USER TO CONFIRM"/>
    <m/>
    <s v="4-Minor/Localized"/>
    <s v="4-Low"/>
    <s v="Dubai"/>
    <s v="Incident"/>
    <s v="Self-service"/>
    <s v="Mendix"/>
    <d v="2026-02-24T13:21:38"/>
    <s v="No"/>
    <s v="Within the Service Target"/>
    <s v="Self Service"/>
    <s v="User infomred that the issue has been resolved and can close the request"/>
    <s v="Resolved"/>
    <s v="No"/>
    <s v="mendix"/>
    <s v="Low"/>
    <s v="Backup Services"/>
    <s v="Backup Restoration"/>
    <s v="Request for Restore Emails/Files/Folders"/>
    <s v="Resolved"/>
    <n v="15222"/>
    <m/>
    <m/>
    <n v="17"/>
    <s v="Standard"/>
    <s v="syarabi"/>
    <s v="Salma.Arabi@rta.ae"/>
  </r>
  <r>
    <s v="INC000001301894"/>
    <s v="User Service Request"/>
    <s v="Muhammad"/>
    <s v="Khan"/>
    <d v="2026-01-20T10:20:55"/>
    <s v="Information Technology"/>
    <s v="RTA"/>
    <x v="3"/>
    <s v="RAS Jan 2025 - Device is disconnected  RTA-I144835 RTA-I178237"/>
    <s v="Nihad Mozayek"/>
    <s v="OnSite  EUS"/>
    <m/>
    <s v="Automated Resolution Reported"/>
    <m/>
    <s v="4-Minor/Localized"/>
    <s v="4-Low"/>
    <s v=",NEW HQ UMM RAMOOL"/>
    <s v="Desktop"/>
    <s v="Asset collection"/>
    <s v="Asset collection"/>
    <d v="2026-02-19T11:01:23"/>
    <s v="No"/>
    <s v="Within the Service Target"/>
    <s v="Direct Input"/>
    <s v="Both users informed that they use the monitors. No need to return to the store"/>
    <s v="Closed"/>
    <s v="No"/>
    <s v="cadd_mskhan"/>
    <s v="Low"/>
    <s v="Desktop"/>
    <s v="Asset Collection"/>
    <s v="Asset Collection"/>
    <s v="Closed"/>
    <s v="V0012792"/>
    <m/>
    <m/>
    <n v="1"/>
    <s v="Standard"/>
    <s v="cadd_mskhan"/>
    <s v="Cadd_Muhammad.Khan@rta.ae"/>
  </r>
  <r>
    <s v="INC000001301102"/>
    <s v="User Service Request"/>
    <s v="Omer"/>
    <s v="Yassin"/>
    <d v="2026-01-19T09:00:00"/>
    <s v="Security &amp; Monitoring"/>
    <s v="RTA"/>
    <x v="5"/>
    <s v="FOLLOW UP - Software Installing Request"/>
    <s v="Solaiman Alhussni"/>
    <s v="OnSite  EUS"/>
    <m/>
    <s v="USER TO CONFIRM"/>
    <m/>
    <s v="4-Minor/Localized"/>
    <s v="4-Low"/>
    <s v="Dubai"/>
    <s v="Desktop"/>
    <s v="RTA Non standard application  Request"/>
    <s v="Non-listed Application/Software"/>
    <d v="2026-02-25T07:43:24"/>
    <s v="No"/>
    <s v="Within the Service Target"/>
    <s v="Self Service"/>
    <s v="this Ticket will be close ,as a new related follow-up ticket will be logged on the approved collection/ revised expiry date."/>
    <s v="Resolved"/>
    <s v="No"/>
    <s v="AR_ESCALATOR"/>
    <s v="Low"/>
    <s v="Desktop"/>
    <s v="RTA Non standard application  Request"/>
    <s v="Non-listed Application/Software"/>
    <s v="Resolved"/>
    <s v="V004983"/>
    <m/>
    <m/>
    <n v="13"/>
    <s v="Standard"/>
    <s v="World_OMYassin"/>
    <s v="World_Omer.Yassin@rta.ae"/>
  </r>
  <r>
    <s v="INC000001299304"/>
    <s v="User Service Request"/>
    <s v="Ebrahim"/>
    <s v="Saleh Qasem"/>
    <d v="2026-01-14T19:21:01"/>
    <s v="Human Resources &amp; Development"/>
    <s v="RTA"/>
    <x v="0"/>
    <s v="Upgrade to Windows 11 Request"/>
    <s v="Upendar Kontemukkula"/>
    <s v="SCCM-Nexthink Support"/>
    <m/>
    <s v="No Further Action Required"/>
    <m/>
    <s v="4-Minor/Localized"/>
    <s v="4-Low"/>
    <s v="Dubai"/>
    <s v="Desktop"/>
    <s v="RTA Standard Application installation Request"/>
    <s v="Windows 10 upgrade"/>
    <d v="2026-02-24T10:19:24"/>
    <s v="No"/>
    <s v="Within the Service Target"/>
    <s v="Email"/>
    <s v="Thank you for the update, i will go ahead and close the incident as per user confirmation."/>
    <s v="Resolved"/>
    <s v="No"/>
    <s v="techm_mbsiragelnour"/>
    <s v="Low"/>
    <s v="Desktop"/>
    <s v="RTA Standard Application installation Request"/>
    <s v="Windows 10 Upgrade"/>
    <s v="Resolved"/>
    <s v="V0030409"/>
    <m/>
    <m/>
    <n v="6"/>
    <s v="Standard"/>
    <s v="trans_emsalehqasem"/>
    <s v="Trans_Ebrahim.Salehqasem@rta.ae"/>
  </r>
  <r>
    <s v="INC000001299234"/>
    <s v="User Service Request"/>
    <s v="Alsahra Pooli"/>
    <s v="Mohideen Sadam Hussain-contractor"/>
    <d v="2026-01-14T15:23:06"/>
    <s v="Buildings &amp; Facilities"/>
    <s v="RTA"/>
    <x v="0"/>
    <s v="Desktop replacement with Laptop"/>
    <s v="Nihad Mozayek"/>
    <s v="OnSite  EUS"/>
    <m/>
    <s v="No Further Action Required"/>
    <m/>
    <s v="4-Minor/Localized"/>
    <s v="4-Low"/>
    <m/>
    <s v="Incident"/>
    <s v="Self-service"/>
    <s v="Mendix"/>
    <d v="2026-02-23T12:31:42"/>
    <s v="No"/>
    <s v="Within the Service Target"/>
    <s v="Self Service"/>
    <s v="Laptop has been provided to the user. Desktop returned to the store. CMDB updated"/>
    <s v="Resolved"/>
    <s v="No"/>
    <s v="mendix"/>
    <s v="Low"/>
    <s v="Desktop"/>
    <s v="Replacement"/>
    <s v="Desktop Replacement With Laptop"/>
    <s v="Resolved"/>
    <s v="V0012908"/>
    <m/>
    <s v="191232 \ 12505"/>
    <n v="17"/>
    <s v="Standard"/>
    <s v="alsahra_pssadamhussa"/>
    <s v="Alsahra_Poolimohamedmohideen.Sadamhussain@rta.ae"/>
  </r>
  <r>
    <s v="INC000001298782"/>
    <s v="User Service Request"/>
    <s v="Asif"/>
    <s v="Kannu"/>
    <d v="2026-01-14T08:19:16"/>
    <s v="Traffic"/>
    <s v="RTA"/>
    <x v="2"/>
    <s v="Software Installing Request"/>
    <s v="Techm Nabeesu Mohamed"/>
    <s v="Service Desk"/>
    <m/>
    <s v="USER TO CONFIRM"/>
    <m/>
    <s v="4-Minor/Localized"/>
    <s v="4-Low"/>
    <m/>
    <s v="Desktop"/>
    <s v="RTA Non standard application  Request"/>
    <s v="Non-listed Application/Software"/>
    <d v="2026-02-24T10:54:43"/>
    <s v="No"/>
    <s v="Within the Service Target"/>
    <s v="Self Service"/>
    <s v="We regret to inform you that currently SMD approved to install the software on server machine only not client laptop  Hence closing the ticket"/>
    <s v="Resolved"/>
    <s v="No"/>
    <s v="mendix"/>
    <s v="Low"/>
    <s v="Desktop"/>
    <s v="RTA Non standard application  Request"/>
    <s v="Non-listed Application/Software"/>
    <s v="Resolved"/>
    <n v="15026"/>
    <m/>
    <m/>
    <n v="26"/>
    <s v="Standard"/>
    <s v="aakannu"/>
    <s v="Asif.Kannu@rta.ae"/>
  </r>
  <r>
    <s v="INC000001296323"/>
    <s v="User Service Request"/>
    <s v="Amal"/>
    <s v="Alshamsi"/>
    <d v="2026-01-09T09:25:31"/>
    <s v="Vehicles Licensing"/>
    <s v="RTA"/>
    <x v="7"/>
    <s v="Desktop replacement_Deira Plate Factory - Cutting room"/>
    <s v="Techm Ahmed Mahmoud"/>
    <s v="OnSite  EUS"/>
    <m/>
    <s v="USER TO CONFIRM"/>
    <m/>
    <s v="4-Minor/Localized"/>
    <s v="4-Low"/>
    <s v="Dubai Police Licensing"/>
    <s v="Incident"/>
    <s v="Self-service"/>
    <s v="Mendix"/>
    <d v="2026-02-24T09:33:16"/>
    <s v="No"/>
    <s v="Within the Service Target"/>
    <s v="Self Service"/>
    <s v="The system has been successfully replaced with a new desktop, and all data migration from the previous unit is complete. The CMDB has been updated to reflect the new hardware details, and the old system has been collected and returned to the IT store; therefore, this ticket is now resolved."/>
    <s v="Resolved"/>
    <s v="No"/>
    <s v="mendix"/>
    <s v="Low"/>
    <s v="Desktop"/>
    <s v="Replacement"/>
    <s v="Desktop Replacement With Desktop"/>
    <s v="Resolved"/>
    <n v="11091"/>
    <m/>
    <s v="191204 \ 12483"/>
    <n v="19"/>
    <s v="Standard"/>
    <s v="abualshamsi"/>
    <s v="Amal.BAlshamsi@rta.ae"/>
  </r>
  <r>
    <s v="INC000001295701"/>
    <s v="User Service Request"/>
    <s v="Abdulrahman"/>
    <s v="Almukhayet"/>
    <d v="2026-01-08T09:47:10"/>
    <s v="Rail Operations"/>
    <s v="RTA"/>
    <x v="6"/>
    <s v="3 Laptops request"/>
    <s v="Techm Omer Idris"/>
    <s v="OnSite  EUS"/>
    <m/>
    <s v="Automated Resolution Reported"/>
    <m/>
    <s v="4-Minor/Localized"/>
    <s v="4-Low"/>
    <s v="Dubai"/>
    <s v="Desktop"/>
    <s v="Hardware Request"/>
    <s v="Laptop"/>
    <d v="2026-02-20T08:43:01"/>
    <s v="No"/>
    <s v="Within the Service Target"/>
    <s v="Self Service"/>
    <s v="Three Lenovo Thinkpad T14 Gen1 has been provided to the consultants   The consultants are as follows:  •_x0009_Neil Richard Morris-Contractor Arup_Neil.Morris@rta.ae •_x0009_Rakesh Arvind Patel-Contractor Arup_Rakesh.Patel@rta.ae •_x0009_Benoit Maurice Lery-Contractor Arup_Benoit.Lery@rta.ae"/>
    <s v="Closed"/>
    <s v="No"/>
    <s v="mendix"/>
    <s v="Low"/>
    <s v="Desktop"/>
    <s v="Hardware Request"/>
    <s v="Laptop"/>
    <s v="Closed"/>
    <n v="15084"/>
    <m/>
    <n v="191188"/>
    <n v="13"/>
    <s v="Standard"/>
    <s v="aabalmukhayet"/>
    <s v="Abdulrahman.AAlmukhayet@rta.ae"/>
  </r>
  <r>
    <s v="INC000001295682"/>
    <s v="User Service Restoration"/>
    <s v="Arif"/>
    <s v="Al Shehi"/>
    <d v="2026-01-08T09:33:26"/>
    <s v="Planning &amp; Business Development"/>
    <s v="RTA"/>
    <x v="4"/>
    <s v="unable to access passenger_activities_pta@rta.ae"/>
    <s v="Ali Adam"/>
    <s v="OnSite  EUS"/>
    <m/>
    <s v="USER TO CONFIRM"/>
    <m/>
    <s v="3-Moderate/Limited"/>
    <s v="3-Medium"/>
    <s v="UMM RAMOOL NEW HQ 2C - MARKETING AND CORPORATE COMMUNICATION"/>
    <s v="Incident"/>
    <s v="Self-service"/>
    <s v="Mendix"/>
    <d v="2026-02-23T17:11:53"/>
    <s v="No"/>
    <s v="Within the Service Target"/>
    <s v="Self Service"/>
    <s v="- Access to passenger_activities_pta@rta.ae has been granted. - Below 2 shared mailboxes has been removed successfully.: CTA Team, Licensing Emergency Team"/>
    <s v="Resolved"/>
    <s v="No"/>
    <s v="mendix"/>
    <s v="Medium"/>
    <s v="Desktop"/>
    <s v="Mail Box Issue"/>
    <s v="Mailbox Issue - Server Level"/>
    <s v="Resolved"/>
    <n v="4718"/>
    <m/>
    <m/>
    <n v="34"/>
    <s v="Standard"/>
    <s v="arashehi"/>
    <s v="Arif.Alshehi@rta.ae"/>
  </r>
  <r>
    <s v="INC000001294384"/>
    <s v="User Service Restoration"/>
    <s v="Fatma"/>
    <s v="Al Falasi"/>
    <d v="2026-01-06T11:03:57"/>
    <s v="Information Technology"/>
    <s v="RTA"/>
    <x v="3"/>
    <s v="Unable to update BIOS in the T14 Gen5 AMD laptop"/>
    <s v="Techm Elsayed Mohamed"/>
    <s v="OnSite  EUS"/>
    <m/>
    <s v="Automated Resolution Reported"/>
    <m/>
    <s v="3-Moderate/Limited"/>
    <s v="3-Medium"/>
    <s v="UMM RAMOOL"/>
    <s v="Desktop"/>
    <s v="PC Hardware Issue"/>
    <s v="BIOS Issue"/>
    <d v="2026-02-19T12:54:47"/>
    <s v="No"/>
    <s v="Within the Service Target"/>
    <s v="Email"/>
    <e v="#NAME?"/>
    <s v="Closed"/>
    <s v="No"/>
    <s v="Techm_NRMohamed"/>
    <s v="Medium"/>
    <s v="Desktop"/>
    <s v="PC Hardware Issue"/>
    <s v="BIOS Issue"/>
    <s v="Closed"/>
    <n v="12173"/>
    <m/>
    <s v="191043 /  191055"/>
    <n v="13"/>
    <s v="Standard"/>
    <s v="fjalfalasi"/>
    <s v="Fatma.Alfalasi@rta.ae"/>
  </r>
  <r>
    <s v="INC000001293220"/>
    <s v="User Service Restoration"/>
    <s v="Avaya Tarek Mohamed"/>
    <s v="Abdallah"/>
    <d v="2026-01-04T20:42:50"/>
    <s v="Customer Happiness"/>
    <s v="RTA"/>
    <x v="0"/>
    <s v="Issue post window 11 Migration"/>
    <s v="Upendar Kontemukkula"/>
    <s v="SCCM-Nexthink Support"/>
    <m/>
    <s v="No Further Action Required"/>
    <m/>
    <s v="3-Moderate/Limited"/>
    <s v="3-Medium"/>
    <s v="Dubai"/>
    <s v="Desktop"/>
    <s v="Configuration"/>
    <s v="Profile Configuration"/>
    <d v="2026-02-23T16:56:32"/>
    <s v="No"/>
    <s v="Within the Service Target"/>
    <s v="Phone"/>
    <s v="Latest Jan 2026 month patch has been pushed to the affected device and we are observing the status.."/>
    <s v="Resolved"/>
    <s v="No"/>
    <s v="Techm_OFMohamed"/>
    <s v="Medium"/>
    <s v="Desktop"/>
    <s v="Configuration"/>
    <s v="Profile Configuration"/>
    <s v="Resolved"/>
    <s v="V002669"/>
    <m/>
    <m/>
    <n v="1"/>
    <s v="Standard"/>
    <s v="Avaya_TRAbdallah"/>
    <s v="Avaya_Tarekmohamed.Abdallah@rta.ae"/>
  </r>
  <r>
    <s v="INC000001290141"/>
    <s v="User Service Restoration"/>
    <s v="Zia Ul Haq"/>
    <s v="Sarwar"/>
    <d v="2025-12-29T15:42:03"/>
    <s v="Transportation Systems"/>
    <s v="RTA"/>
    <x v="4"/>
    <s v="Broken screen_G+2"/>
    <s v="Techm Ahmad Khantomany"/>
    <s v="OnSite  EUS"/>
    <m/>
    <s v="USER TO CONFIRM"/>
    <m/>
    <s v="3-Moderate/Limited"/>
    <s v="3-Medium"/>
    <s v="Muhaisnah - OCC ROOM"/>
    <s v="Desktop"/>
    <s v="OS Issue"/>
    <s v="Booting Issue"/>
    <d v="2026-02-23T12:08:50"/>
    <s v="No"/>
    <s v="Service Targets Breached"/>
    <s v="Phone"/>
    <s v="Broken screen returned to store, CMDB UPDATED for the returned asset. New Monitor provided as it was recommended by AMC team. CMDB UPDATED."/>
    <s v="Resolved"/>
    <s v="No"/>
    <s v="Techm_GAHamad"/>
    <s v="Medium"/>
    <s v="Desktop"/>
    <s v="PC Hardware Issue"/>
    <s v="Monitor Not Working"/>
    <s v="Resolved"/>
    <n v="2590"/>
    <m/>
    <s v="191534 \ 12504"/>
    <n v="21"/>
    <s v="Standard"/>
    <s v="zsarwar"/>
    <s v="Zia.Sarwar@rta.ae"/>
  </r>
  <r>
    <s v="INC000001283394"/>
    <s v="User Service Request"/>
    <s v="Protiviti Prashant"/>
    <s v="Sharma"/>
    <d v="2025-12-18T02:01:05"/>
    <s v="Information Technology"/>
    <s v="RTA"/>
    <x v="3"/>
    <s v="Asset Refreshment Plan -2025_Laptop Dec-Week 2_G+2"/>
    <s v="Techm Osama Abdullatif"/>
    <s v="OnSite  EUS"/>
    <m/>
    <s v="USER TO CONFIRM"/>
    <m/>
    <s v="4-Minor/Localized"/>
    <s v="4-Low"/>
    <s v=",NEW HQ UMM RAMOOL"/>
    <s v="Desktop"/>
    <s v="Replacement"/>
    <s v="Laptop replacement with Laptop"/>
    <d v="2026-02-23T08:38:24"/>
    <s v="No"/>
    <s v="Within the Service Target"/>
    <s v="Email"/>
    <s v="- Due to user workload, he is not able to provide the laptop for replacement,  - Agreed to close the ticket, and once he finish the current projects he will raise a repalcement request.  - Coorcdianted with concerned teamthe new laptop was collected and returned to store."/>
    <s v="Resolved"/>
    <s v="No"/>
    <s v="Techm_AMElboshy"/>
    <s v="Low"/>
    <s v="Desktop"/>
    <s v="Replacement"/>
    <s v="Laptop Replacement With Laptop"/>
    <s v="Resolved"/>
    <s v="V006372"/>
    <m/>
    <s v="190754 \ 12465"/>
    <n v="16"/>
    <s v="Standard"/>
    <s v="Protiviti_PSSharma"/>
    <s v="Protiviti_Prashant.Sharma@rta.ae"/>
  </r>
  <r>
    <s v="INC000001278734"/>
    <s v="User Service Request"/>
    <s v="Ahmad"/>
    <s v="Al Shamsi"/>
    <d v="2025-12-10T08:34:50"/>
    <s v="Finance"/>
    <s v="RTA"/>
    <x v="0"/>
    <s v="Temporary Laptop replacement"/>
    <s v="Ali Adam"/>
    <s v="OnSite  EUS"/>
    <m/>
    <s v="USER TO CONFIRM"/>
    <m/>
    <s v="4-Minor/Localized"/>
    <s v="4-Low"/>
    <s v="UMM RAMOOL - NEW HQ"/>
    <s v="Incident"/>
    <s v="Self-service"/>
    <s v="Mendix"/>
    <d v="2026-02-25T08:32:49"/>
    <s v="No"/>
    <s v="Within the Service Target"/>
    <s v="Self Service"/>
    <s v="a new related  follow-up ticket will be logged on the approved collection/ revised expiry date."/>
    <s v="Resolved"/>
    <s v="No"/>
    <s v="mendix"/>
    <s v="Low"/>
    <s v="Desktop"/>
    <s v="Others"/>
    <s v="Follow-up/Extension"/>
    <s v="Resolved"/>
    <n v="2833"/>
    <m/>
    <s v="190913 \ 12469"/>
    <n v="25"/>
    <s v="Standard"/>
    <s v="ahshamsi"/>
    <s v="Ahmad.AlShamsi@rta.a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1">
    <pivotField dataField="1" showAll="0"/>
    <pivotField showAll="0"/>
    <pivotField showAll="0"/>
    <pivotField showAll="0"/>
    <pivotField showAll="0"/>
    <pivotField numFmtId="22" showAll="0"/>
    <pivotField showAll="0"/>
    <pivotField showAll="0"/>
    <pivotField axis="axisRow" showAll="0" sortType="descending">
      <items count="10">
        <item x="0"/>
        <item x="4"/>
        <item x="2"/>
        <item x="3"/>
        <item x="8"/>
        <item x="5"/>
        <item x="6"/>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0">
    <i>
      <x/>
    </i>
    <i>
      <x v="5"/>
    </i>
    <i>
      <x v="8"/>
    </i>
    <i>
      <x v="1"/>
    </i>
    <i>
      <x v="7"/>
    </i>
    <i>
      <x v="3"/>
    </i>
    <i>
      <x v="6"/>
    </i>
    <i>
      <x v="2"/>
    </i>
    <i>
      <x v="4"/>
    </i>
    <i t="grand">
      <x/>
    </i>
  </rowItems>
  <colItems count="1">
    <i/>
  </colItems>
  <dataFields count="1">
    <dataField name="Count of In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0">
    <pivotField dataField="1" showAll="0"/>
    <pivotField showAll="0"/>
    <pivotField showAll="0"/>
    <pivotField showAll="0"/>
    <pivotField numFmtId="22" showAll="0"/>
    <pivotField showAll="0"/>
    <pivotField showAll="0"/>
    <pivotField axis="axisRow" showAll="0" sortType="descending">
      <items count="10">
        <item x="0"/>
        <item x="3"/>
        <item x="5"/>
        <item x="7"/>
        <item x="8"/>
        <item x="4"/>
        <item x="6"/>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0">
    <i>
      <x/>
    </i>
    <i>
      <x v="5"/>
    </i>
    <i>
      <x v="1"/>
    </i>
    <i>
      <x v="8"/>
    </i>
    <i>
      <x v="7"/>
    </i>
    <i>
      <x v="3"/>
    </i>
    <i>
      <x v="6"/>
    </i>
    <i>
      <x v="2"/>
    </i>
    <i>
      <x v="4"/>
    </i>
    <i t="grand">
      <x/>
    </i>
  </rowItems>
  <colItems count="1">
    <i/>
  </colItems>
  <dataFields count="1">
    <dataField name="Count of In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2:G13"/>
  <sheetViews>
    <sheetView workbookViewId="0">
      <selection activeCell="D19" sqref="D19"/>
    </sheetView>
  </sheetViews>
  <sheetFormatPr defaultRowHeight="14"/>
  <cols>
    <col min="1" max="1" width="38.75" bestFit="1" customWidth="1"/>
    <col min="2" max="2" width="21.58203125" bestFit="1" customWidth="1"/>
  </cols>
  <sheetData>
    <row r="2" spans="1:7">
      <c r="F2" t="s">
        <v>3780</v>
      </c>
      <c r="G2" t="s">
        <v>3781</v>
      </c>
    </row>
    <row r="3" spans="1:7">
      <c r="A3" s="2" t="s">
        <v>3774</v>
      </c>
      <c r="B3" t="s">
        <v>3773</v>
      </c>
      <c r="E3" s="3" t="s">
        <v>3665</v>
      </c>
      <c r="F3">
        <v>112</v>
      </c>
      <c r="G3">
        <v>123</v>
      </c>
    </row>
    <row r="4" spans="1:7">
      <c r="A4" s="3" t="s">
        <v>3665</v>
      </c>
      <c r="B4">
        <v>112</v>
      </c>
      <c r="E4" s="3" t="s">
        <v>3669</v>
      </c>
      <c r="F4">
        <v>82</v>
      </c>
      <c r="G4">
        <v>88</v>
      </c>
    </row>
    <row r="5" spans="1:7">
      <c r="A5" s="3" t="s">
        <v>3669</v>
      </c>
      <c r="B5">
        <v>82</v>
      </c>
      <c r="E5" s="3" t="s">
        <v>3671</v>
      </c>
      <c r="F5">
        <v>75</v>
      </c>
      <c r="G5">
        <v>79</v>
      </c>
    </row>
    <row r="6" spans="1:7">
      <c r="A6" s="3" t="s">
        <v>3671</v>
      </c>
      <c r="B6">
        <v>75</v>
      </c>
      <c r="E6" s="3" t="s">
        <v>3668</v>
      </c>
      <c r="F6">
        <v>67</v>
      </c>
      <c r="G6">
        <v>79</v>
      </c>
    </row>
    <row r="7" spans="1:7">
      <c r="A7" s="3" t="s">
        <v>3668</v>
      </c>
      <c r="B7">
        <v>67</v>
      </c>
      <c r="E7" s="3" t="s">
        <v>3666</v>
      </c>
      <c r="F7">
        <v>55</v>
      </c>
      <c r="G7">
        <v>57</v>
      </c>
    </row>
    <row r="8" spans="1:7">
      <c r="A8" s="3" t="s">
        <v>3666</v>
      </c>
      <c r="B8">
        <v>55</v>
      </c>
      <c r="E8" s="3" t="s">
        <v>3667</v>
      </c>
      <c r="F8">
        <v>45</v>
      </c>
      <c r="G8">
        <v>48</v>
      </c>
    </row>
    <row r="9" spans="1:7">
      <c r="A9" s="3" t="s">
        <v>3667</v>
      </c>
      <c r="B9">
        <v>45</v>
      </c>
      <c r="E9" s="3" t="s">
        <v>3670</v>
      </c>
      <c r="F9">
        <v>19</v>
      </c>
      <c r="G9">
        <v>25</v>
      </c>
    </row>
    <row r="10" spans="1:7">
      <c r="A10" s="3" t="s">
        <v>3670</v>
      </c>
      <c r="B10">
        <v>19</v>
      </c>
      <c r="E10" s="3" t="s">
        <v>3772</v>
      </c>
      <c r="F10">
        <v>17</v>
      </c>
      <c r="G10">
        <v>22</v>
      </c>
    </row>
    <row r="11" spans="1:7">
      <c r="A11" s="3" t="s">
        <v>3772</v>
      </c>
      <c r="B11">
        <v>17</v>
      </c>
      <c r="E11" s="3" t="s">
        <v>96</v>
      </c>
      <c r="F11">
        <v>7</v>
      </c>
      <c r="G11">
        <v>7</v>
      </c>
    </row>
    <row r="12" spans="1:7">
      <c r="A12" s="3" t="s">
        <v>96</v>
      </c>
      <c r="B12">
        <v>7</v>
      </c>
    </row>
    <row r="13" spans="1:7">
      <c r="A13" s="3" t="s">
        <v>3775</v>
      </c>
      <c r="B13">
        <v>479</v>
      </c>
    </row>
  </sheetData>
  <pageMargins left="0.7" right="0.7" top="0.75" bottom="0.75" header="0.3" footer="0.3"/>
  <pageSetup orientation="portrait" r:id="rId2"/>
  <headerFooter>
    <oddFooter>&amp;L&amp;"Calibri,Regular"&amp;12&amp;K000000This information has been &amp;B&amp;K000000Classified | &amp;KFF9900Confidential&amp;B&amp;K000000. Do not distribute outside the organization under any circumstances. For more information, please review the information security policy.</oddFooter>
    <evenFooter>&amp;L&amp;"Calibri,Regular"&amp;12&amp;K000000This information has been &amp;B&amp;K000000Classified | &amp;KFF9900Confidential&amp;B&amp;K000000. Do not distribute outside the organization under any circumstances. For more information, please review the information security policy.</evenFooter>
    <firstFooter>&amp;L&amp;"Calibri,Regular"&amp;12&amp;K000000This information has been &amp;B&amp;K000000Classified | &amp;KFF9900Confidential&amp;B&amp;K000000. Do not distribute outside the organization under any circumstances. For more information, please review the information security policy.</first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AE480"/>
  <sheetViews>
    <sheetView tabSelected="1" workbookViewId="0">
      <selection activeCell="J2" sqref="J2"/>
    </sheetView>
  </sheetViews>
  <sheetFormatPr defaultRowHeight="14"/>
  <sheetData>
    <row r="1" spans="1:31">
      <c r="A1" t="s">
        <v>1</v>
      </c>
      <c r="B1" t="s">
        <v>0</v>
      </c>
      <c r="C1" t="s">
        <v>2</v>
      </c>
      <c r="D1" t="s">
        <v>3</v>
      </c>
      <c r="E1" t="s">
        <v>6</v>
      </c>
      <c r="F1" t="s">
        <v>5</v>
      </c>
      <c r="G1" t="s">
        <v>4</v>
      </c>
      <c r="H1" t="s">
        <v>3522</v>
      </c>
      <c r="I1" t="s">
        <v>3673</v>
      </c>
      <c r="J1" t="s">
        <v>7</v>
      </c>
      <c r="K1" t="s">
        <v>8</v>
      </c>
      <c r="L1" t="s">
        <v>9</v>
      </c>
      <c r="M1" t="s">
        <v>10</v>
      </c>
      <c r="N1" t="s">
        <v>11</v>
      </c>
      <c r="O1" t="s">
        <v>12</v>
      </c>
      <c r="P1" t="s">
        <v>16</v>
      </c>
      <c r="Q1" t="s">
        <v>19</v>
      </c>
      <c r="R1" t="s">
        <v>13</v>
      </c>
      <c r="S1" t="s">
        <v>3090</v>
      </c>
      <c r="T1" t="s">
        <v>15</v>
      </c>
      <c r="U1" t="s">
        <v>18</v>
      </c>
      <c r="V1" t="s">
        <v>3093</v>
      </c>
      <c r="W1" t="s">
        <v>3092</v>
      </c>
      <c r="X1" t="s">
        <v>3091</v>
      </c>
      <c r="Y1" t="s">
        <v>3523</v>
      </c>
      <c r="Z1" t="s">
        <v>3524</v>
      </c>
      <c r="AA1" t="s">
        <v>14</v>
      </c>
      <c r="AB1" t="s">
        <v>20</v>
      </c>
      <c r="AC1" t="s">
        <v>21</v>
      </c>
      <c r="AD1" t="s">
        <v>22</v>
      </c>
      <c r="AE1" t="s">
        <v>23</v>
      </c>
    </row>
    <row r="2" spans="1:31">
      <c r="A2" t="s">
        <v>40</v>
      </c>
      <c r="B2" t="s">
        <v>34</v>
      </c>
      <c r="C2" t="s">
        <v>41</v>
      </c>
      <c r="D2" t="s">
        <v>42</v>
      </c>
      <c r="E2" t="s">
        <v>43</v>
      </c>
      <c r="F2" s="1">
        <v>46078.955925925926</v>
      </c>
      <c r="G2" t="s">
        <v>26</v>
      </c>
      <c r="H2" t="s">
        <v>776</v>
      </c>
      <c r="I2" t="s">
        <v>3665</v>
      </c>
      <c r="J2" t="s">
        <v>44</v>
      </c>
      <c r="K2" t="s">
        <v>45</v>
      </c>
      <c r="L2" t="s">
        <v>46</v>
      </c>
      <c r="M2" t="s">
        <v>47</v>
      </c>
      <c r="N2" t="s">
        <v>48</v>
      </c>
      <c r="O2" t="s">
        <v>30</v>
      </c>
      <c r="P2" s="1">
        <v>46078.957488425927</v>
      </c>
      <c r="Q2" s="1">
        <v>46078.957199074073</v>
      </c>
      <c r="R2" t="s">
        <v>38</v>
      </c>
      <c r="S2" t="s">
        <v>3098</v>
      </c>
      <c r="T2" t="s">
        <v>31</v>
      </c>
      <c r="U2" t="s">
        <v>49</v>
      </c>
      <c r="V2" t="s">
        <v>46</v>
      </c>
      <c r="W2" t="s">
        <v>47</v>
      </c>
      <c r="X2" t="s">
        <v>48</v>
      </c>
      <c r="Y2">
        <v>15896</v>
      </c>
      <c r="Z2" t="s">
        <v>3530</v>
      </c>
      <c r="AA2" t="s">
        <v>3526</v>
      </c>
      <c r="AB2" t="s">
        <v>32</v>
      </c>
      <c r="AC2" t="s">
        <v>50</v>
      </c>
      <c r="AD2" t="s">
        <v>51</v>
      </c>
      <c r="AE2" t="s">
        <v>33</v>
      </c>
    </row>
    <row r="3" spans="1:31">
      <c r="A3" t="s">
        <v>52</v>
      </c>
      <c r="B3" t="s">
        <v>34</v>
      </c>
      <c r="C3" t="s">
        <v>53</v>
      </c>
      <c r="D3" t="s">
        <v>54</v>
      </c>
      <c r="E3" t="s">
        <v>56</v>
      </c>
      <c r="F3" s="1">
        <v>46078.954895833333</v>
      </c>
      <c r="G3" t="s">
        <v>55</v>
      </c>
      <c r="H3" t="s">
        <v>776</v>
      </c>
      <c r="I3" t="s">
        <v>3666</v>
      </c>
      <c r="J3" t="s">
        <v>44</v>
      </c>
      <c r="K3" t="s">
        <v>45</v>
      </c>
      <c r="L3" t="s">
        <v>46</v>
      </c>
      <c r="M3" t="s">
        <v>57</v>
      </c>
      <c r="N3" t="s">
        <v>58</v>
      </c>
      <c r="O3" t="s">
        <v>30</v>
      </c>
      <c r="P3" s="1">
        <v>46078.956724537034</v>
      </c>
      <c r="Q3" s="1">
        <v>46078.956701388888</v>
      </c>
      <c r="R3" t="s">
        <v>38</v>
      </c>
      <c r="S3" t="s">
        <v>3101</v>
      </c>
      <c r="T3" t="s">
        <v>31</v>
      </c>
      <c r="U3" t="s">
        <v>49</v>
      </c>
      <c r="V3" t="s">
        <v>46</v>
      </c>
      <c r="W3" t="s">
        <v>57</v>
      </c>
      <c r="X3" t="s">
        <v>58</v>
      </c>
      <c r="Y3">
        <v>14513</v>
      </c>
      <c r="Z3" t="s">
        <v>3530</v>
      </c>
      <c r="AA3" t="s">
        <v>3526</v>
      </c>
      <c r="AB3" t="s">
        <v>32</v>
      </c>
      <c r="AC3" t="s">
        <v>59</v>
      </c>
      <c r="AD3" t="s">
        <v>60</v>
      </c>
      <c r="AE3" t="s">
        <v>33</v>
      </c>
    </row>
    <row r="4" spans="1:31">
      <c r="A4" t="s">
        <v>105</v>
      </c>
      <c r="B4" t="s">
        <v>34</v>
      </c>
      <c r="C4" t="s">
        <v>106</v>
      </c>
      <c r="D4" t="s">
        <v>107</v>
      </c>
      <c r="E4" t="s">
        <v>109</v>
      </c>
      <c r="F4" s="1">
        <v>46078.790694444448</v>
      </c>
      <c r="G4" t="s">
        <v>108</v>
      </c>
      <c r="H4" t="s">
        <v>776</v>
      </c>
      <c r="I4" t="s">
        <v>3666</v>
      </c>
      <c r="J4" t="s">
        <v>44</v>
      </c>
      <c r="K4" t="s">
        <v>45</v>
      </c>
      <c r="L4" t="s">
        <v>46</v>
      </c>
      <c r="M4" t="s">
        <v>110</v>
      </c>
      <c r="N4" t="s">
        <v>111</v>
      </c>
      <c r="O4" t="s">
        <v>30</v>
      </c>
      <c r="P4" s="1">
        <v>46078.792523148149</v>
      </c>
      <c r="Q4" s="1">
        <v>46078.791747685187</v>
      </c>
      <c r="R4" t="s">
        <v>38</v>
      </c>
      <c r="S4" t="s">
        <v>3102</v>
      </c>
      <c r="T4" t="s">
        <v>31</v>
      </c>
      <c r="U4" t="s">
        <v>49</v>
      </c>
      <c r="V4" t="s">
        <v>46</v>
      </c>
      <c r="W4" t="s">
        <v>110</v>
      </c>
      <c r="X4" t="s">
        <v>111</v>
      </c>
      <c r="Y4" t="s">
        <v>3537</v>
      </c>
      <c r="Z4" t="s">
        <v>3530</v>
      </c>
      <c r="AA4" t="s">
        <v>3526</v>
      </c>
      <c r="AB4" t="s">
        <v>32</v>
      </c>
      <c r="AC4" t="s">
        <v>112</v>
      </c>
      <c r="AD4" t="s">
        <v>113</v>
      </c>
      <c r="AE4" t="s">
        <v>33</v>
      </c>
    </row>
    <row r="5" spans="1:31" hidden="1">
      <c r="A5" t="s">
        <v>130</v>
      </c>
      <c r="B5" t="s">
        <v>34</v>
      </c>
      <c r="C5" t="s">
        <v>73</v>
      </c>
      <c r="D5" t="s">
        <v>131</v>
      </c>
      <c r="E5" t="s">
        <v>133</v>
      </c>
      <c r="F5" s="1">
        <v>46078.686724537038</v>
      </c>
      <c r="G5" t="s">
        <v>132</v>
      </c>
      <c r="H5" t="s">
        <v>776</v>
      </c>
      <c r="I5" t="s">
        <v>3665</v>
      </c>
      <c r="J5" t="s">
        <v>134</v>
      </c>
      <c r="K5" t="s">
        <v>135</v>
      </c>
      <c r="L5" t="s">
        <v>46</v>
      </c>
      <c r="M5" t="s">
        <v>136</v>
      </c>
      <c r="N5" t="s">
        <v>136</v>
      </c>
      <c r="O5" t="s">
        <v>30</v>
      </c>
      <c r="P5" s="1">
        <v>46079.405775462961</v>
      </c>
      <c r="R5" t="s">
        <v>90</v>
      </c>
      <c r="T5" t="s">
        <v>31</v>
      </c>
      <c r="U5" t="s">
        <v>137</v>
      </c>
      <c r="V5" t="s">
        <v>46</v>
      </c>
      <c r="W5" t="s">
        <v>3339</v>
      </c>
      <c r="X5" t="s">
        <v>3339</v>
      </c>
      <c r="Y5" t="s">
        <v>3538</v>
      </c>
      <c r="Z5" t="s">
        <v>3525</v>
      </c>
      <c r="AA5" t="s">
        <v>3539</v>
      </c>
      <c r="AB5" t="s">
        <v>32</v>
      </c>
      <c r="AC5" t="s">
        <v>138</v>
      </c>
      <c r="AD5" t="s">
        <v>139</v>
      </c>
      <c r="AE5" t="s">
        <v>33</v>
      </c>
    </row>
    <row r="6" spans="1:31" hidden="1">
      <c r="A6" t="s">
        <v>174</v>
      </c>
      <c r="B6" t="s">
        <v>34</v>
      </c>
      <c r="C6" t="s">
        <v>175</v>
      </c>
      <c r="D6" t="s">
        <v>176</v>
      </c>
      <c r="E6" t="s">
        <v>178</v>
      </c>
      <c r="F6" s="1">
        <v>46078.620011574072</v>
      </c>
      <c r="G6" t="s">
        <v>177</v>
      </c>
      <c r="H6" t="s">
        <v>776</v>
      </c>
      <c r="I6" t="s">
        <v>3772</v>
      </c>
      <c r="J6" t="s">
        <v>44</v>
      </c>
      <c r="K6" t="s">
        <v>179</v>
      </c>
      <c r="L6" t="s">
        <v>162</v>
      </c>
      <c r="M6" t="s">
        <v>163</v>
      </c>
      <c r="N6" t="s">
        <v>164</v>
      </c>
      <c r="O6" t="s">
        <v>30</v>
      </c>
      <c r="P6" s="1">
        <v>46079.370775462965</v>
      </c>
      <c r="R6" t="s">
        <v>90</v>
      </c>
      <c r="S6" t="s">
        <v>3542</v>
      </c>
      <c r="T6" t="s">
        <v>180</v>
      </c>
      <c r="U6" t="s">
        <v>104</v>
      </c>
      <c r="Y6">
        <v>7457</v>
      </c>
      <c r="Z6" t="s">
        <v>3536</v>
      </c>
      <c r="AA6" t="s">
        <v>3541</v>
      </c>
      <c r="AB6" t="s">
        <v>181</v>
      </c>
      <c r="AC6" t="s">
        <v>182</v>
      </c>
      <c r="AD6" t="s">
        <v>183</v>
      </c>
      <c r="AE6" t="s">
        <v>33</v>
      </c>
    </row>
    <row r="7" spans="1:31" hidden="1">
      <c r="A7" t="s">
        <v>193</v>
      </c>
      <c r="B7" t="s">
        <v>24</v>
      </c>
      <c r="C7" t="s">
        <v>194</v>
      </c>
      <c r="D7" t="s">
        <v>195</v>
      </c>
      <c r="E7" t="s">
        <v>196</v>
      </c>
      <c r="F7" s="1">
        <v>46078.609849537039</v>
      </c>
      <c r="G7" t="s">
        <v>101</v>
      </c>
      <c r="H7" t="s">
        <v>776</v>
      </c>
      <c r="I7" t="s">
        <v>3667</v>
      </c>
      <c r="J7" t="s">
        <v>651</v>
      </c>
      <c r="K7" t="s">
        <v>772</v>
      </c>
      <c r="L7" t="s">
        <v>46</v>
      </c>
      <c r="M7" t="s">
        <v>197</v>
      </c>
      <c r="N7" t="s">
        <v>198</v>
      </c>
      <c r="O7" t="s">
        <v>86</v>
      </c>
      <c r="P7" s="1">
        <v>46079.421331018515</v>
      </c>
      <c r="R7" t="s">
        <v>64</v>
      </c>
      <c r="T7" t="s">
        <v>31</v>
      </c>
      <c r="U7" t="s">
        <v>190</v>
      </c>
      <c r="Y7">
        <v>14725</v>
      </c>
      <c r="Z7" t="s">
        <v>3530</v>
      </c>
      <c r="AB7" t="s">
        <v>32</v>
      </c>
      <c r="AC7" t="s">
        <v>199</v>
      </c>
      <c r="AD7" t="s">
        <v>200</v>
      </c>
      <c r="AE7" t="s">
        <v>33</v>
      </c>
    </row>
    <row r="8" spans="1:31">
      <c r="A8" t="s">
        <v>202</v>
      </c>
      <c r="B8" t="s">
        <v>24</v>
      </c>
      <c r="C8" t="s">
        <v>203</v>
      </c>
      <c r="D8" t="s">
        <v>204</v>
      </c>
      <c r="E8" t="s">
        <v>187</v>
      </c>
      <c r="F8" s="1">
        <v>46078.593263888892</v>
      </c>
      <c r="G8" t="s">
        <v>62</v>
      </c>
      <c r="H8" t="s">
        <v>776</v>
      </c>
      <c r="I8" t="s">
        <v>3668</v>
      </c>
      <c r="J8" t="s">
        <v>44</v>
      </c>
      <c r="K8" t="s">
        <v>205</v>
      </c>
      <c r="L8" t="s">
        <v>46</v>
      </c>
      <c r="M8" t="s">
        <v>188</v>
      </c>
      <c r="N8" t="s">
        <v>189</v>
      </c>
      <c r="O8" t="s">
        <v>86</v>
      </c>
      <c r="P8" s="1">
        <v>46079.342060185183</v>
      </c>
      <c r="Q8" s="1">
        <v>46079.34171296296</v>
      </c>
      <c r="R8" t="s">
        <v>38</v>
      </c>
      <c r="S8" t="s">
        <v>3543</v>
      </c>
      <c r="T8" t="s">
        <v>31</v>
      </c>
      <c r="U8" t="s">
        <v>206</v>
      </c>
      <c r="V8" t="s">
        <v>46</v>
      </c>
      <c r="W8" t="s">
        <v>188</v>
      </c>
      <c r="X8" t="s">
        <v>189</v>
      </c>
      <c r="Y8" t="s">
        <v>3544</v>
      </c>
      <c r="Z8" t="s">
        <v>3525</v>
      </c>
      <c r="AA8" t="s">
        <v>3526</v>
      </c>
      <c r="AB8" t="s">
        <v>32</v>
      </c>
      <c r="AC8" t="s">
        <v>207</v>
      </c>
      <c r="AD8" t="s">
        <v>208</v>
      </c>
      <c r="AE8" t="s">
        <v>33</v>
      </c>
    </row>
    <row r="9" spans="1:31">
      <c r="A9" t="s">
        <v>219</v>
      </c>
      <c r="B9" t="s">
        <v>34</v>
      </c>
      <c r="C9" t="s">
        <v>220</v>
      </c>
      <c r="D9" t="s">
        <v>221</v>
      </c>
      <c r="E9" t="s">
        <v>109</v>
      </c>
      <c r="F9" s="1">
        <v>46078.581655092596</v>
      </c>
      <c r="G9" t="s">
        <v>222</v>
      </c>
      <c r="H9" t="s">
        <v>776</v>
      </c>
      <c r="I9" t="s">
        <v>3666</v>
      </c>
      <c r="J9" t="s">
        <v>44</v>
      </c>
      <c r="K9" t="s">
        <v>205</v>
      </c>
      <c r="L9" t="s">
        <v>46</v>
      </c>
      <c r="M9" t="s">
        <v>110</v>
      </c>
      <c r="N9" t="s">
        <v>111</v>
      </c>
      <c r="O9" t="s">
        <v>30</v>
      </c>
      <c r="P9" s="1">
        <v>46078.583113425928</v>
      </c>
      <c r="Q9" s="1">
        <v>46078.581956018519</v>
      </c>
      <c r="R9" t="s">
        <v>38</v>
      </c>
      <c r="S9" t="s">
        <v>3105</v>
      </c>
      <c r="T9" t="s">
        <v>31</v>
      </c>
      <c r="U9" t="s">
        <v>206</v>
      </c>
      <c r="V9" t="s">
        <v>46</v>
      </c>
      <c r="W9" t="s">
        <v>110</v>
      </c>
      <c r="X9" t="s">
        <v>111</v>
      </c>
      <c r="Y9">
        <v>15885</v>
      </c>
      <c r="Z9" t="s">
        <v>3530</v>
      </c>
      <c r="AA9" t="s">
        <v>3526</v>
      </c>
      <c r="AB9" t="s">
        <v>32</v>
      </c>
      <c r="AC9" t="s">
        <v>223</v>
      </c>
      <c r="AD9" t="s">
        <v>224</v>
      </c>
      <c r="AE9" t="s">
        <v>33</v>
      </c>
    </row>
    <row r="10" spans="1:31" hidden="1">
      <c r="A10" t="s">
        <v>228</v>
      </c>
      <c r="B10" t="s">
        <v>34</v>
      </c>
      <c r="C10" t="s">
        <v>229</v>
      </c>
      <c r="D10" t="s">
        <v>170</v>
      </c>
      <c r="E10" t="s">
        <v>230</v>
      </c>
      <c r="F10" s="1">
        <v>46078.577013888891</v>
      </c>
      <c r="G10" t="s">
        <v>168</v>
      </c>
      <c r="H10" t="s">
        <v>776</v>
      </c>
      <c r="I10" t="s">
        <v>3669</v>
      </c>
      <c r="J10" t="s">
        <v>134</v>
      </c>
      <c r="K10" t="s">
        <v>231</v>
      </c>
      <c r="L10" t="s">
        <v>46</v>
      </c>
      <c r="M10" t="s">
        <v>136</v>
      </c>
      <c r="N10" t="s">
        <v>136</v>
      </c>
      <c r="O10" t="s">
        <v>30</v>
      </c>
      <c r="P10" s="1">
        <v>46078.578842592593</v>
      </c>
      <c r="R10" t="s">
        <v>64</v>
      </c>
      <c r="T10" t="s">
        <v>31</v>
      </c>
      <c r="U10" t="s">
        <v>190</v>
      </c>
      <c r="V10" t="s">
        <v>46</v>
      </c>
      <c r="W10" t="s">
        <v>3339</v>
      </c>
      <c r="X10" t="s">
        <v>3339</v>
      </c>
      <c r="Y10">
        <v>15371</v>
      </c>
      <c r="Z10" t="s">
        <v>3530</v>
      </c>
      <c r="AB10" t="s">
        <v>32</v>
      </c>
      <c r="AC10" t="s">
        <v>232</v>
      </c>
      <c r="AD10" t="s">
        <v>233</v>
      </c>
      <c r="AE10" t="s">
        <v>33</v>
      </c>
    </row>
    <row r="11" spans="1:31" hidden="1">
      <c r="A11" t="s">
        <v>250</v>
      </c>
      <c r="B11" t="s">
        <v>34</v>
      </c>
      <c r="C11" t="s">
        <v>251</v>
      </c>
      <c r="D11" t="s">
        <v>25</v>
      </c>
      <c r="E11" t="s">
        <v>252</v>
      </c>
      <c r="F11" s="1">
        <v>46078.560162037036</v>
      </c>
      <c r="G11" t="s">
        <v>114</v>
      </c>
      <c r="H11" t="s">
        <v>776</v>
      </c>
      <c r="I11" t="s">
        <v>3669</v>
      </c>
      <c r="J11" t="s">
        <v>44</v>
      </c>
      <c r="K11" t="s">
        <v>253</v>
      </c>
      <c r="L11" t="s">
        <v>162</v>
      </c>
      <c r="M11" t="s">
        <v>163</v>
      </c>
      <c r="N11" t="s">
        <v>164</v>
      </c>
      <c r="O11" t="s">
        <v>30</v>
      </c>
      <c r="P11" s="1">
        <v>46078.673229166663</v>
      </c>
      <c r="R11" t="s">
        <v>64</v>
      </c>
      <c r="T11" t="s">
        <v>31</v>
      </c>
      <c r="U11" t="s">
        <v>104</v>
      </c>
      <c r="Y11">
        <v>6245</v>
      </c>
      <c r="Z11" t="s">
        <v>3536</v>
      </c>
      <c r="AB11" t="s">
        <v>32</v>
      </c>
      <c r="AC11" t="s">
        <v>254</v>
      </c>
      <c r="AD11" t="s">
        <v>255</v>
      </c>
      <c r="AE11" t="s">
        <v>33</v>
      </c>
    </row>
    <row r="12" spans="1:31" hidden="1">
      <c r="A12" t="s">
        <v>269</v>
      </c>
      <c r="B12" t="s">
        <v>24</v>
      </c>
      <c r="C12" t="s">
        <v>270</v>
      </c>
      <c r="D12" t="s">
        <v>271</v>
      </c>
      <c r="E12" t="s">
        <v>272</v>
      </c>
      <c r="F12" s="1">
        <v>46078.575833333336</v>
      </c>
      <c r="G12" t="s">
        <v>210</v>
      </c>
      <c r="H12" t="s">
        <v>776</v>
      </c>
      <c r="I12" t="s">
        <v>3667</v>
      </c>
      <c r="J12" t="s">
        <v>134</v>
      </c>
      <c r="K12" t="s">
        <v>273</v>
      </c>
      <c r="L12" t="s">
        <v>46</v>
      </c>
      <c r="M12" t="s">
        <v>274</v>
      </c>
      <c r="N12" t="s">
        <v>275</v>
      </c>
      <c r="O12" t="s">
        <v>86</v>
      </c>
      <c r="P12" s="1">
        <v>46079.410740740743</v>
      </c>
      <c r="R12" t="s">
        <v>90</v>
      </c>
      <c r="T12" t="s">
        <v>31</v>
      </c>
      <c r="U12" t="s">
        <v>206</v>
      </c>
      <c r="Y12" t="s">
        <v>3547</v>
      </c>
      <c r="Z12" t="s">
        <v>3530</v>
      </c>
      <c r="AA12" t="s">
        <v>3539</v>
      </c>
      <c r="AB12" t="s">
        <v>32</v>
      </c>
      <c r="AC12" t="s">
        <v>276</v>
      </c>
      <c r="AD12" t="s">
        <v>277</v>
      </c>
      <c r="AE12" t="s">
        <v>33</v>
      </c>
    </row>
    <row r="13" spans="1:31" hidden="1">
      <c r="A13" t="s">
        <v>286</v>
      </c>
      <c r="B13" t="s">
        <v>34</v>
      </c>
      <c r="C13" t="s">
        <v>287</v>
      </c>
      <c r="D13" t="s">
        <v>288</v>
      </c>
      <c r="E13" t="s">
        <v>289</v>
      </c>
      <c r="F13" s="1">
        <v>46078.547083333331</v>
      </c>
      <c r="G13" t="s">
        <v>26</v>
      </c>
      <c r="H13" t="s">
        <v>776</v>
      </c>
      <c r="I13" t="s">
        <v>3665</v>
      </c>
      <c r="J13" t="s">
        <v>44</v>
      </c>
      <c r="K13" t="s">
        <v>290</v>
      </c>
      <c r="L13" t="s">
        <v>27</v>
      </c>
      <c r="M13" t="s">
        <v>89</v>
      </c>
      <c r="N13" t="s">
        <v>89</v>
      </c>
      <c r="O13" t="s">
        <v>30</v>
      </c>
      <c r="P13" s="1">
        <v>46079.287499999999</v>
      </c>
      <c r="R13" t="s">
        <v>90</v>
      </c>
      <c r="T13" t="s">
        <v>31</v>
      </c>
      <c r="U13" t="s">
        <v>227</v>
      </c>
      <c r="Y13">
        <v>11813</v>
      </c>
      <c r="Z13" t="s">
        <v>3525</v>
      </c>
      <c r="AA13" t="s">
        <v>3541</v>
      </c>
      <c r="AB13" t="s">
        <v>32</v>
      </c>
      <c r="AC13" t="s">
        <v>291</v>
      </c>
      <c r="AD13" t="s">
        <v>292</v>
      </c>
      <c r="AE13" t="s">
        <v>33</v>
      </c>
    </row>
    <row r="14" spans="1:31" hidden="1">
      <c r="A14" t="s">
        <v>295</v>
      </c>
      <c r="B14" t="s">
        <v>34</v>
      </c>
      <c r="C14" t="s">
        <v>296</v>
      </c>
      <c r="D14" t="s">
        <v>297</v>
      </c>
      <c r="E14" t="s">
        <v>299</v>
      </c>
      <c r="F14" s="1">
        <v>46078.543310185189</v>
      </c>
      <c r="G14" t="s">
        <v>298</v>
      </c>
      <c r="H14" t="s">
        <v>776</v>
      </c>
      <c r="I14" t="s">
        <v>3669</v>
      </c>
      <c r="J14" t="s">
        <v>44</v>
      </c>
      <c r="K14" t="s">
        <v>300</v>
      </c>
      <c r="L14" t="s">
        <v>46</v>
      </c>
      <c r="M14" t="s">
        <v>110</v>
      </c>
      <c r="N14" t="s">
        <v>301</v>
      </c>
      <c r="O14" t="s">
        <v>30</v>
      </c>
      <c r="P14" s="1">
        <v>46078.556030092594</v>
      </c>
      <c r="R14" t="s">
        <v>64</v>
      </c>
      <c r="S14" t="s">
        <v>3548</v>
      </c>
      <c r="T14" t="s">
        <v>31</v>
      </c>
      <c r="U14" t="s">
        <v>227</v>
      </c>
      <c r="V14" t="s">
        <v>46</v>
      </c>
      <c r="W14" t="s">
        <v>110</v>
      </c>
      <c r="X14" t="s">
        <v>3252</v>
      </c>
      <c r="Y14">
        <v>9907</v>
      </c>
      <c r="Z14" t="s">
        <v>3525</v>
      </c>
      <c r="AB14" t="s">
        <v>32</v>
      </c>
      <c r="AC14" t="s">
        <v>302</v>
      </c>
      <c r="AD14" t="s">
        <v>303</v>
      </c>
      <c r="AE14" t="s">
        <v>33</v>
      </c>
    </row>
    <row r="15" spans="1:31">
      <c r="A15" t="s">
        <v>310</v>
      </c>
      <c r="B15" t="s">
        <v>24</v>
      </c>
      <c r="C15" t="s">
        <v>311</v>
      </c>
      <c r="D15" t="s">
        <v>99</v>
      </c>
      <c r="E15" t="s">
        <v>312</v>
      </c>
      <c r="F15" s="1">
        <v>46078.53670138889</v>
      </c>
      <c r="G15" t="s">
        <v>245</v>
      </c>
      <c r="H15" t="s">
        <v>776</v>
      </c>
      <c r="I15" t="s">
        <v>3665</v>
      </c>
      <c r="J15" t="s">
        <v>44</v>
      </c>
      <c r="K15" t="s">
        <v>253</v>
      </c>
      <c r="L15" t="s">
        <v>46</v>
      </c>
      <c r="M15" t="s">
        <v>313</v>
      </c>
      <c r="N15" t="s">
        <v>314</v>
      </c>
      <c r="O15" t="s">
        <v>86</v>
      </c>
      <c r="P15" s="1">
        <v>46078.572500000002</v>
      </c>
      <c r="Q15" s="1">
        <v>46078.572430555556</v>
      </c>
      <c r="R15" t="s">
        <v>38</v>
      </c>
      <c r="S15" t="s">
        <v>3106</v>
      </c>
      <c r="T15" t="s">
        <v>31</v>
      </c>
      <c r="U15" t="s">
        <v>243</v>
      </c>
      <c r="V15" t="s">
        <v>46</v>
      </c>
      <c r="W15" t="s">
        <v>313</v>
      </c>
      <c r="X15" t="s">
        <v>314</v>
      </c>
      <c r="Y15">
        <v>15906</v>
      </c>
      <c r="Z15" t="s">
        <v>3525</v>
      </c>
      <c r="AA15" t="s">
        <v>3526</v>
      </c>
      <c r="AB15" t="s">
        <v>32</v>
      </c>
      <c r="AC15" t="s">
        <v>315</v>
      </c>
      <c r="AD15" t="s">
        <v>316</v>
      </c>
      <c r="AE15" t="s">
        <v>33</v>
      </c>
    </row>
    <row r="16" spans="1:31" hidden="1">
      <c r="A16" t="s">
        <v>317</v>
      </c>
      <c r="B16" t="s">
        <v>34</v>
      </c>
      <c r="C16" t="s">
        <v>318</v>
      </c>
      <c r="D16" t="s">
        <v>319</v>
      </c>
      <c r="E16" t="s">
        <v>230</v>
      </c>
      <c r="F16" s="1">
        <v>46078.534502314818</v>
      </c>
      <c r="G16" t="s">
        <v>108</v>
      </c>
      <c r="H16" t="s">
        <v>776</v>
      </c>
      <c r="I16" t="s">
        <v>3666</v>
      </c>
      <c r="J16" t="s">
        <v>134</v>
      </c>
      <c r="K16" t="s">
        <v>320</v>
      </c>
      <c r="L16" t="s">
        <v>46</v>
      </c>
      <c r="M16" t="s">
        <v>136</v>
      </c>
      <c r="N16" t="s">
        <v>136</v>
      </c>
      <c r="O16" t="s">
        <v>30</v>
      </c>
      <c r="P16" s="1">
        <v>46079.343009259261</v>
      </c>
      <c r="R16" t="s">
        <v>90</v>
      </c>
      <c r="T16" t="s">
        <v>31</v>
      </c>
      <c r="U16" t="s">
        <v>227</v>
      </c>
      <c r="V16" t="s">
        <v>46</v>
      </c>
      <c r="W16" t="s">
        <v>3339</v>
      </c>
      <c r="X16" t="s">
        <v>3339</v>
      </c>
      <c r="Y16" t="s">
        <v>3549</v>
      </c>
      <c r="Z16" t="s">
        <v>3525</v>
      </c>
      <c r="AA16" t="s">
        <v>3541</v>
      </c>
      <c r="AB16" t="s">
        <v>32</v>
      </c>
      <c r="AC16" t="s">
        <v>321</v>
      </c>
      <c r="AD16" t="s">
        <v>322</v>
      </c>
      <c r="AE16" t="s">
        <v>33</v>
      </c>
    </row>
    <row r="17" spans="1:31" hidden="1">
      <c r="A17" t="s">
        <v>341</v>
      </c>
      <c r="B17" t="s">
        <v>34</v>
      </c>
      <c r="C17" t="s">
        <v>175</v>
      </c>
      <c r="D17" t="s">
        <v>170</v>
      </c>
      <c r="E17" t="s">
        <v>95</v>
      </c>
      <c r="F17" s="1">
        <v>46078.528726851851</v>
      </c>
      <c r="G17" t="s">
        <v>283</v>
      </c>
      <c r="H17" t="s">
        <v>776</v>
      </c>
      <c r="I17" t="s">
        <v>3670</v>
      </c>
      <c r="J17" t="s">
        <v>134</v>
      </c>
      <c r="K17" t="s">
        <v>273</v>
      </c>
      <c r="L17" t="s">
        <v>162</v>
      </c>
      <c r="M17" t="s">
        <v>163</v>
      </c>
      <c r="N17" t="s">
        <v>164</v>
      </c>
      <c r="O17" t="s">
        <v>30</v>
      </c>
      <c r="P17" s="1">
        <v>46078.530752314815</v>
      </c>
      <c r="R17" t="s">
        <v>64</v>
      </c>
      <c r="T17" t="s">
        <v>31</v>
      </c>
      <c r="U17" t="s">
        <v>104</v>
      </c>
      <c r="Y17">
        <v>14569</v>
      </c>
      <c r="Z17" t="s">
        <v>3536</v>
      </c>
      <c r="AB17" t="s">
        <v>32</v>
      </c>
      <c r="AC17" t="s">
        <v>342</v>
      </c>
      <c r="AD17" t="s">
        <v>343</v>
      </c>
      <c r="AE17" t="s">
        <v>33</v>
      </c>
    </row>
    <row r="18" spans="1:31" hidden="1">
      <c r="A18" t="s">
        <v>344</v>
      </c>
      <c r="B18" t="s">
        <v>34</v>
      </c>
      <c r="C18" t="s">
        <v>73</v>
      </c>
      <c r="D18" t="s">
        <v>131</v>
      </c>
      <c r="E18" t="s">
        <v>345</v>
      </c>
      <c r="F18" s="1">
        <v>46078.528379629628</v>
      </c>
      <c r="G18" t="s">
        <v>132</v>
      </c>
      <c r="H18" t="s">
        <v>776</v>
      </c>
      <c r="I18" t="s">
        <v>3665</v>
      </c>
      <c r="J18" t="s">
        <v>134</v>
      </c>
      <c r="K18" t="s">
        <v>135</v>
      </c>
      <c r="L18" t="s">
        <v>162</v>
      </c>
      <c r="M18" t="s">
        <v>163</v>
      </c>
      <c r="N18" t="s">
        <v>164</v>
      </c>
      <c r="O18" t="s">
        <v>30</v>
      </c>
      <c r="P18" s="1">
        <v>46079.287499999999</v>
      </c>
      <c r="R18" t="s">
        <v>90</v>
      </c>
      <c r="T18" t="s">
        <v>31</v>
      </c>
      <c r="U18" t="s">
        <v>104</v>
      </c>
      <c r="Y18" t="s">
        <v>3538</v>
      </c>
      <c r="Z18" t="s">
        <v>3536</v>
      </c>
      <c r="AA18" t="s">
        <v>3539</v>
      </c>
      <c r="AB18" t="s">
        <v>32</v>
      </c>
      <c r="AC18" t="s">
        <v>138</v>
      </c>
      <c r="AD18" t="s">
        <v>139</v>
      </c>
      <c r="AE18" t="s">
        <v>33</v>
      </c>
    </row>
    <row r="19" spans="1:31">
      <c r="A19" t="s">
        <v>362</v>
      </c>
      <c r="B19" t="s">
        <v>24</v>
      </c>
      <c r="C19" t="s">
        <v>363</v>
      </c>
      <c r="D19" t="s">
        <v>142</v>
      </c>
      <c r="E19" t="s">
        <v>364</v>
      </c>
      <c r="F19" s="1">
        <v>46078.512835648151</v>
      </c>
      <c r="G19" t="s">
        <v>74</v>
      </c>
      <c r="H19" t="s">
        <v>776</v>
      </c>
      <c r="I19" t="s">
        <v>3665</v>
      </c>
      <c r="J19" t="s">
        <v>44</v>
      </c>
      <c r="K19" t="s">
        <v>253</v>
      </c>
      <c r="L19" t="s">
        <v>46</v>
      </c>
      <c r="M19" t="s">
        <v>365</v>
      </c>
      <c r="N19" t="s">
        <v>366</v>
      </c>
      <c r="O19" t="s">
        <v>86</v>
      </c>
      <c r="P19" s="1">
        <v>46078.561331018522</v>
      </c>
      <c r="Q19" s="1">
        <v>46078.561319444445</v>
      </c>
      <c r="R19" t="s">
        <v>38</v>
      </c>
      <c r="S19" t="s">
        <v>3107</v>
      </c>
      <c r="T19" t="s">
        <v>31</v>
      </c>
      <c r="U19" t="s">
        <v>367</v>
      </c>
      <c r="V19" t="s">
        <v>46</v>
      </c>
      <c r="W19" t="s">
        <v>365</v>
      </c>
      <c r="X19" t="s">
        <v>366</v>
      </c>
      <c r="Y19">
        <v>15899</v>
      </c>
      <c r="Z19" t="s">
        <v>3530</v>
      </c>
      <c r="AA19" t="s">
        <v>3526</v>
      </c>
      <c r="AB19" t="s">
        <v>32</v>
      </c>
      <c r="AC19" t="s">
        <v>368</v>
      </c>
      <c r="AD19" t="s">
        <v>369</v>
      </c>
      <c r="AE19" t="s">
        <v>33</v>
      </c>
    </row>
    <row r="20" spans="1:31">
      <c r="A20" t="s">
        <v>370</v>
      </c>
      <c r="B20" t="s">
        <v>24</v>
      </c>
      <c r="C20" t="s">
        <v>371</v>
      </c>
      <c r="D20" t="s">
        <v>372</v>
      </c>
      <c r="E20" t="s">
        <v>373</v>
      </c>
      <c r="F20" s="1">
        <v>46078.504259259258</v>
      </c>
      <c r="G20" t="s">
        <v>150</v>
      </c>
      <c r="H20" t="s">
        <v>776</v>
      </c>
      <c r="I20" t="s">
        <v>3671</v>
      </c>
      <c r="J20" t="s">
        <v>44</v>
      </c>
      <c r="K20" t="s">
        <v>179</v>
      </c>
      <c r="L20" t="s">
        <v>46</v>
      </c>
      <c r="M20" t="s">
        <v>374</v>
      </c>
      <c r="N20" t="s">
        <v>375</v>
      </c>
      <c r="O20" t="s">
        <v>86</v>
      </c>
      <c r="P20" s="1">
        <v>46078.505729166667</v>
      </c>
      <c r="Q20" s="1">
        <v>46078.504976851851</v>
      </c>
      <c r="R20" t="s">
        <v>38</v>
      </c>
      <c r="S20" t="e">
        <f>- MS teams has been reinstalled - issue is resolved</f>
        <v>#NAME?</v>
      </c>
      <c r="T20" t="s">
        <v>31</v>
      </c>
      <c r="U20" t="s">
        <v>350</v>
      </c>
      <c r="V20" t="s">
        <v>46</v>
      </c>
      <c r="W20" t="s">
        <v>374</v>
      </c>
      <c r="X20" t="s">
        <v>375</v>
      </c>
      <c r="Y20">
        <v>15882</v>
      </c>
      <c r="Z20" t="s">
        <v>3530</v>
      </c>
      <c r="AA20" t="s">
        <v>3526</v>
      </c>
      <c r="AB20" t="s">
        <v>32</v>
      </c>
      <c r="AC20" t="s">
        <v>376</v>
      </c>
      <c r="AD20" t="s">
        <v>377</v>
      </c>
      <c r="AE20" t="s">
        <v>33</v>
      </c>
    </row>
    <row r="21" spans="1:31">
      <c r="A21" t="s">
        <v>378</v>
      </c>
      <c r="B21" t="s">
        <v>34</v>
      </c>
      <c r="C21" t="s">
        <v>220</v>
      </c>
      <c r="D21" t="s">
        <v>91</v>
      </c>
      <c r="E21" t="s">
        <v>379</v>
      </c>
      <c r="F21" s="1">
        <v>46078.504699074074</v>
      </c>
      <c r="G21" t="s">
        <v>118</v>
      </c>
      <c r="H21" t="s">
        <v>776</v>
      </c>
      <c r="I21" t="s">
        <v>3666</v>
      </c>
      <c r="J21" t="s">
        <v>44</v>
      </c>
      <c r="K21" t="s">
        <v>253</v>
      </c>
      <c r="L21" t="s">
        <v>46</v>
      </c>
      <c r="M21" t="s">
        <v>379</v>
      </c>
      <c r="N21" t="s">
        <v>379</v>
      </c>
      <c r="O21" t="s">
        <v>30</v>
      </c>
      <c r="P21" s="1">
        <v>46079.400601851848</v>
      </c>
      <c r="Q21" s="1">
        <v>46079.400578703702</v>
      </c>
      <c r="R21" t="s">
        <v>38</v>
      </c>
      <c r="S21" t="s">
        <v>3553</v>
      </c>
      <c r="T21" t="s">
        <v>31</v>
      </c>
      <c r="U21" t="s">
        <v>367</v>
      </c>
      <c r="V21" t="s">
        <v>46</v>
      </c>
      <c r="W21" t="s">
        <v>379</v>
      </c>
      <c r="X21" t="s">
        <v>379</v>
      </c>
      <c r="Y21">
        <v>2850</v>
      </c>
      <c r="Z21" t="s">
        <v>3530</v>
      </c>
      <c r="AA21" t="s">
        <v>3526</v>
      </c>
      <c r="AB21" t="s">
        <v>32</v>
      </c>
      <c r="AC21" t="s">
        <v>380</v>
      </c>
      <c r="AD21" t="s">
        <v>381</v>
      </c>
      <c r="AE21" t="s">
        <v>33</v>
      </c>
    </row>
    <row r="22" spans="1:31" hidden="1">
      <c r="A22" t="s">
        <v>385</v>
      </c>
      <c r="B22" t="s">
        <v>24</v>
      </c>
      <c r="C22" t="s">
        <v>352</v>
      </c>
      <c r="D22" t="s">
        <v>386</v>
      </c>
      <c r="E22" t="s">
        <v>387</v>
      </c>
      <c r="F22" s="1">
        <v>46078.497303240743</v>
      </c>
      <c r="G22" t="s">
        <v>153</v>
      </c>
      <c r="H22" t="s">
        <v>776</v>
      </c>
      <c r="I22" t="s">
        <v>3669</v>
      </c>
      <c r="J22" t="s">
        <v>134</v>
      </c>
      <c r="K22" t="s">
        <v>231</v>
      </c>
      <c r="L22" t="s">
        <v>46</v>
      </c>
      <c r="M22" t="s">
        <v>365</v>
      </c>
      <c r="N22" t="s">
        <v>388</v>
      </c>
      <c r="O22" t="s">
        <v>86</v>
      </c>
      <c r="P22" s="1">
        <v>46079.287488425929</v>
      </c>
      <c r="R22" t="s">
        <v>90</v>
      </c>
      <c r="T22" t="s">
        <v>31</v>
      </c>
      <c r="U22" t="s">
        <v>367</v>
      </c>
      <c r="Y22">
        <v>13086</v>
      </c>
      <c r="Z22" t="s">
        <v>3530</v>
      </c>
      <c r="AA22" t="s">
        <v>3541</v>
      </c>
      <c r="AB22" t="s">
        <v>32</v>
      </c>
      <c r="AC22" t="s">
        <v>389</v>
      </c>
      <c r="AD22" t="s">
        <v>390</v>
      </c>
      <c r="AE22" t="s">
        <v>33</v>
      </c>
    </row>
    <row r="23" spans="1:31">
      <c r="A23" t="s">
        <v>395</v>
      </c>
      <c r="B23" t="s">
        <v>34</v>
      </c>
      <c r="C23" t="s">
        <v>396</v>
      </c>
      <c r="D23" t="s">
        <v>397</v>
      </c>
      <c r="E23" t="s">
        <v>398</v>
      </c>
      <c r="F23" s="1">
        <v>46078.495219907411</v>
      </c>
      <c r="G23" t="s">
        <v>26</v>
      </c>
      <c r="H23" t="s">
        <v>776</v>
      </c>
      <c r="I23" t="s">
        <v>3665</v>
      </c>
      <c r="J23" t="s">
        <v>44</v>
      </c>
      <c r="K23" t="s">
        <v>300</v>
      </c>
      <c r="L23" t="s">
        <v>46</v>
      </c>
      <c r="M23" t="s">
        <v>47</v>
      </c>
      <c r="N23" t="s">
        <v>48</v>
      </c>
      <c r="O23" t="s">
        <v>30</v>
      </c>
      <c r="P23" s="1">
        <v>46078.495416666665</v>
      </c>
      <c r="Q23" s="1">
        <v>46078.495381944442</v>
      </c>
      <c r="R23" t="s">
        <v>38</v>
      </c>
      <c r="S23" t="s">
        <v>3108</v>
      </c>
      <c r="T23" t="s">
        <v>31</v>
      </c>
      <c r="U23" t="s">
        <v>399</v>
      </c>
      <c r="V23" t="s">
        <v>46</v>
      </c>
      <c r="W23" t="s">
        <v>47</v>
      </c>
      <c r="X23" t="s">
        <v>48</v>
      </c>
      <c r="Y23">
        <v>13872</v>
      </c>
      <c r="Z23" t="s">
        <v>3530</v>
      </c>
      <c r="AA23" t="s">
        <v>3526</v>
      </c>
      <c r="AB23" t="s">
        <v>32</v>
      </c>
      <c r="AC23" t="s">
        <v>400</v>
      </c>
      <c r="AD23" t="s">
        <v>401</v>
      </c>
      <c r="AE23" t="s">
        <v>33</v>
      </c>
    </row>
    <row r="24" spans="1:31">
      <c r="A24" t="s">
        <v>407</v>
      </c>
      <c r="B24" t="s">
        <v>34</v>
      </c>
      <c r="C24" t="s">
        <v>408</v>
      </c>
      <c r="D24" t="s">
        <v>409</v>
      </c>
      <c r="E24" t="s">
        <v>410</v>
      </c>
      <c r="F24" s="1">
        <v>46078.495185185187</v>
      </c>
      <c r="G24" t="s">
        <v>117</v>
      </c>
      <c r="H24" t="s">
        <v>776</v>
      </c>
      <c r="I24" t="s">
        <v>3668</v>
      </c>
      <c r="J24" t="s">
        <v>44</v>
      </c>
      <c r="K24" t="s">
        <v>411</v>
      </c>
      <c r="L24" t="s">
        <v>46</v>
      </c>
      <c r="M24" t="s">
        <v>110</v>
      </c>
      <c r="N24" t="s">
        <v>412</v>
      </c>
      <c r="O24" t="s">
        <v>86</v>
      </c>
      <c r="P24" s="1">
        <v>46078.497083333335</v>
      </c>
      <c r="Q24" s="1">
        <v>46078.496504629627</v>
      </c>
      <c r="R24" t="s">
        <v>38</v>
      </c>
      <c r="S24" t="s">
        <v>3109</v>
      </c>
      <c r="T24" t="s">
        <v>31</v>
      </c>
      <c r="U24" t="s">
        <v>413</v>
      </c>
      <c r="V24" t="s">
        <v>46</v>
      </c>
      <c r="W24" t="s">
        <v>110</v>
      </c>
      <c r="X24" t="s">
        <v>3110</v>
      </c>
      <c r="Y24">
        <v>12524</v>
      </c>
      <c r="Z24" t="s">
        <v>3530</v>
      </c>
      <c r="AA24" t="s">
        <v>3526</v>
      </c>
      <c r="AB24" t="s">
        <v>32</v>
      </c>
      <c r="AC24" t="s">
        <v>414</v>
      </c>
      <c r="AD24" t="s">
        <v>415</v>
      </c>
      <c r="AE24" t="s">
        <v>33</v>
      </c>
    </row>
    <row r="25" spans="1:31" hidden="1">
      <c r="A25" t="s">
        <v>417</v>
      </c>
      <c r="B25" t="s">
        <v>34</v>
      </c>
      <c r="C25" t="s">
        <v>418</v>
      </c>
      <c r="D25" t="s">
        <v>419</v>
      </c>
      <c r="E25" t="s">
        <v>421</v>
      </c>
      <c r="F25" s="1">
        <v>46078.490995370368</v>
      </c>
      <c r="G25" t="s">
        <v>420</v>
      </c>
      <c r="H25" t="s">
        <v>776</v>
      </c>
      <c r="I25" t="s">
        <v>3670</v>
      </c>
      <c r="J25" t="s">
        <v>134</v>
      </c>
      <c r="K25" t="s">
        <v>273</v>
      </c>
      <c r="L25" t="s">
        <v>162</v>
      </c>
      <c r="M25" t="s">
        <v>163</v>
      </c>
      <c r="N25" t="s">
        <v>164</v>
      </c>
      <c r="O25" t="s">
        <v>30</v>
      </c>
      <c r="P25" s="1">
        <v>46078.494016203702</v>
      </c>
      <c r="R25" t="s">
        <v>64</v>
      </c>
      <c r="T25" t="s">
        <v>31</v>
      </c>
      <c r="U25" t="s">
        <v>104</v>
      </c>
      <c r="Y25">
        <v>12993</v>
      </c>
      <c r="Z25" t="s">
        <v>3536</v>
      </c>
      <c r="AB25" t="s">
        <v>32</v>
      </c>
      <c r="AC25" t="s">
        <v>422</v>
      </c>
      <c r="AD25" t="s">
        <v>423</v>
      </c>
      <c r="AE25" t="s">
        <v>33</v>
      </c>
    </row>
    <row r="26" spans="1:31">
      <c r="A26" t="s">
        <v>427</v>
      </c>
      <c r="B26" t="s">
        <v>34</v>
      </c>
      <c r="C26" t="s">
        <v>428</v>
      </c>
      <c r="D26" t="s">
        <v>429</v>
      </c>
      <c r="E26" t="s">
        <v>430</v>
      </c>
      <c r="F26" s="1">
        <v>46078.489328703705</v>
      </c>
      <c r="G26" t="s">
        <v>283</v>
      </c>
      <c r="H26" t="s">
        <v>776</v>
      </c>
      <c r="I26" t="s">
        <v>3670</v>
      </c>
      <c r="J26" t="s">
        <v>44</v>
      </c>
      <c r="K26" t="s">
        <v>253</v>
      </c>
      <c r="L26" t="s">
        <v>46</v>
      </c>
      <c r="M26" t="s">
        <v>188</v>
      </c>
      <c r="N26" t="s">
        <v>431</v>
      </c>
      <c r="O26" t="s">
        <v>30</v>
      </c>
      <c r="P26" s="1">
        <v>46079.399918981479</v>
      </c>
      <c r="Q26" s="1">
        <v>46079.39984953704</v>
      </c>
      <c r="R26" t="s">
        <v>38</v>
      </c>
      <c r="S26" t="s">
        <v>3294</v>
      </c>
      <c r="T26" t="s">
        <v>31</v>
      </c>
      <c r="U26" t="s">
        <v>367</v>
      </c>
      <c r="V26" t="s">
        <v>46</v>
      </c>
      <c r="W26" t="s">
        <v>188</v>
      </c>
      <c r="X26" t="s">
        <v>431</v>
      </c>
      <c r="Y26">
        <v>4573</v>
      </c>
      <c r="Z26" t="s">
        <v>3530</v>
      </c>
      <c r="AA26" t="s">
        <v>3526</v>
      </c>
      <c r="AB26" t="s">
        <v>32</v>
      </c>
      <c r="AC26" t="s">
        <v>432</v>
      </c>
      <c r="AD26" t="s">
        <v>433</v>
      </c>
      <c r="AE26" t="s">
        <v>33</v>
      </c>
    </row>
    <row r="27" spans="1:31" hidden="1">
      <c r="A27" t="s">
        <v>436</v>
      </c>
      <c r="B27" t="s">
        <v>34</v>
      </c>
      <c r="C27" t="s">
        <v>97</v>
      </c>
      <c r="D27" t="s">
        <v>211</v>
      </c>
      <c r="E27" t="s">
        <v>437</v>
      </c>
      <c r="F27" s="1">
        <v>46078.487916666665</v>
      </c>
      <c r="G27" t="s">
        <v>173</v>
      </c>
      <c r="H27" t="s">
        <v>776</v>
      </c>
      <c r="I27" t="s">
        <v>3666</v>
      </c>
      <c r="J27" t="s">
        <v>44</v>
      </c>
      <c r="K27" t="s">
        <v>438</v>
      </c>
      <c r="L27" t="s">
        <v>27</v>
      </c>
      <c r="M27" t="s">
        <v>89</v>
      </c>
      <c r="N27" t="s">
        <v>89</v>
      </c>
      <c r="O27" t="s">
        <v>30</v>
      </c>
      <c r="P27" s="1">
        <v>46079.372395833336</v>
      </c>
      <c r="R27" t="s">
        <v>90</v>
      </c>
      <c r="T27" t="s">
        <v>31</v>
      </c>
      <c r="U27" t="s">
        <v>227</v>
      </c>
      <c r="Y27">
        <v>5262</v>
      </c>
      <c r="Z27" t="s">
        <v>3525</v>
      </c>
      <c r="AA27" t="s">
        <v>3541</v>
      </c>
      <c r="AB27" t="s">
        <v>32</v>
      </c>
      <c r="AC27" t="s">
        <v>213</v>
      </c>
      <c r="AD27" t="s">
        <v>214</v>
      </c>
      <c r="AE27" t="s">
        <v>33</v>
      </c>
    </row>
    <row r="28" spans="1:31" hidden="1">
      <c r="A28" t="s">
        <v>439</v>
      </c>
      <c r="B28" t="s">
        <v>34</v>
      </c>
      <c r="C28" t="s">
        <v>73</v>
      </c>
      <c r="D28" t="s">
        <v>142</v>
      </c>
      <c r="E28" t="s">
        <v>252</v>
      </c>
      <c r="F28" s="1">
        <v>46078.485694444447</v>
      </c>
      <c r="G28" t="s">
        <v>353</v>
      </c>
      <c r="H28" t="s">
        <v>776</v>
      </c>
      <c r="I28" t="s">
        <v>3671</v>
      </c>
      <c r="J28" t="s">
        <v>134</v>
      </c>
      <c r="K28" t="s">
        <v>477</v>
      </c>
      <c r="L28" t="s">
        <v>162</v>
      </c>
      <c r="M28" t="s">
        <v>163</v>
      </c>
      <c r="N28" t="s">
        <v>164</v>
      </c>
      <c r="O28" t="s">
        <v>30</v>
      </c>
      <c r="P28" s="1">
        <v>46079.420717592591</v>
      </c>
      <c r="R28" t="s">
        <v>64</v>
      </c>
      <c r="T28" t="s">
        <v>31</v>
      </c>
      <c r="U28" t="s">
        <v>104</v>
      </c>
      <c r="Y28">
        <v>15981</v>
      </c>
      <c r="Z28" t="s">
        <v>3536</v>
      </c>
      <c r="AB28" t="s">
        <v>32</v>
      </c>
      <c r="AC28" t="s">
        <v>354</v>
      </c>
      <c r="AD28" t="s">
        <v>355</v>
      </c>
      <c r="AE28" t="s">
        <v>33</v>
      </c>
    </row>
    <row r="29" spans="1:31">
      <c r="A29" t="s">
        <v>440</v>
      </c>
      <c r="B29" t="s">
        <v>24</v>
      </c>
      <c r="C29" t="s">
        <v>402</v>
      </c>
      <c r="D29" t="s">
        <v>441</v>
      </c>
      <c r="E29" t="s">
        <v>442</v>
      </c>
      <c r="F29" s="1">
        <v>46078.489930555559</v>
      </c>
      <c r="G29" t="s">
        <v>168</v>
      </c>
      <c r="H29" t="s">
        <v>776</v>
      </c>
      <c r="I29" t="s">
        <v>3669</v>
      </c>
      <c r="J29" t="s">
        <v>44</v>
      </c>
      <c r="K29" t="s">
        <v>300</v>
      </c>
      <c r="L29" t="s">
        <v>46</v>
      </c>
      <c r="M29" t="s">
        <v>443</v>
      </c>
      <c r="N29" t="s">
        <v>444</v>
      </c>
      <c r="O29" t="s">
        <v>86</v>
      </c>
      <c r="P29" s="1">
        <v>46078.494143518517</v>
      </c>
      <c r="Q29" s="1">
        <v>46078.491875</v>
      </c>
      <c r="R29" t="s">
        <v>38</v>
      </c>
      <c r="S29" t="s">
        <v>3111</v>
      </c>
      <c r="T29" t="s">
        <v>31</v>
      </c>
      <c r="U29" t="s">
        <v>399</v>
      </c>
      <c r="V29" t="s">
        <v>46</v>
      </c>
      <c r="W29" t="s">
        <v>3113</v>
      </c>
      <c r="X29" t="s">
        <v>3112</v>
      </c>
      <c r="Y29">
        <v>13457</v>
      </c>
      <c r="Z29" t="s">
        <v>3530</v>
      </c>
      <c r="AA29" t="s">
        <v>3526</v>
      </c>
      <c r="AB29" t="s">
        <v>32</v>
      </c>
      <c r="AC29" t="s">
        <v>445</v>
      </c>
      <c r="AD29" t="s">
        <v>446</v>
      </c>
      <c r="AE29" t="s">
        <v>33</v>
      </c>
    </row>
    <row r="30" spans="1:31">
      <c r="A30" t="s">
        <v>456</v>
      </c>
      <c r="B30" t="s">
        <v>34</v>
      </c>
      <c r="C30" t="s">
        <v>457</v>
      </c>
      <c r="D30" t="s">
        <v>458</v>
      </c>
      <c r="E30" t="s">
        <v>459</v>
      </c>
      <c r="F30" s="1">
        <v>46078.479004629633</v>
      </c>
      <c r="G30" t="s">
        <v>62</v>
      </c>
      <c r="H30" t="s">
        <v>776</v>
      </c>
      <c r="I30" t="s">
        <v>3668</v>
      </c>
      <c r="J30" t="s">
        <v>44</v>
      </c>
      <c r="K30" t="s">
        <v>179</v>
      </c>
      <c r="L30" t="s">
        <v>46</v>
      </c>
      <c r="M30" t="s">
        <v>110</v>
      </c>
      <c r="N30" t="s">
        <v>460</v>
      </c>
      <c r="O30" t="s">
        <v>30</v>
      </c>
      <c r="P30" s="1">
        <v>46078.47923611111</v>
      </c>
      <c r="Q30" s="1">
        <v>46078.479212962964</v>
      </c>
      <c r="R30" t="s">
        <v>38</v>
      </c>
      <c r="S30" t="s">
        <v>3114</v>
      </c>
      <c r="T30" t="s">
        <v>31</v>
      </c>
      <c r="U30" t="s">
        <v>350</v>
      </c>
      <c r="V30" t="s">
        <v>46</v>
      </c>
      <c r="W30" t="s">
        <v>110</v>
      </c>
      <c r="X30" t="s">
        <v>3110</v>
      </c>
      <c r="Y30">
        <v>15898</v>
      </c>
      <c r="Z30" t="s">
        <v>3530</v>
      </c>
      <c r="AA30" t="s">
        <v>3526</v>
      </c>
      <c r="AB30" t="s">
        <v>32</v>
      </c>
      <c r="AC30" t="s">
        <v>461</v>
      </c>
      <c r="AD30" t="s">
        <v>462</v>
      </c>
      <c r="AE30" t="s">
        <v>33</v>
      </c>
    </row>
    <row r="31" spans="1:31" hidden="1">
      <c r="A31" t="s">
        <v>463</v>
      </c>
      <c r="B31" t="s">
        <v>24</v>
      </c>
      <c r="C31" t="s">
        <v>464</v>
      </c>
      <c r="D31" t="s">
        <v>465</v>
      </c>
      <c r="E31" t="s">
        <v>466</v>
      </c>
      <c r="F31" s="1">
        <v>46078.475810185184</v>
      </c>
      <c r="G31" t="s">
        <v>132</v>
      </c>
      <c r="H31" t="s">
        <v>776</v>
      </c>
      <c r="I31" t="s">
        <v>3665</v>
      </c>
      <c r="J31" t="s">
        <v>134</v>
      </c>
      <c r="K31" t="s">
        <v>135</v>
      </c>
      <c r="L31" t="s">
        <v>162</v>
      </c>
      <c r="M31" t="s">
        <v>163</v>
      </c>
      <c r="N31" t="s">
        <v>164</v>
      </c>
      <c r="O31" t="s">
        <v>86</v>
      </c>
      <c r="P31" s="1">
        <v>46079.409247685187</v>
      </c>
      <c r="Q31" s="1">
        <v>46079.409224537034</v>
      </c>
      <c r="R31" t="s">
        <v>38</v>
      </c>
      <c r="S31" t="s">
        <v>3557</v>
      </c>
      <c r="T31" t="s">
        <v>31</v>
      </c>
      <c r="U31" t="s">
        <v>104</v>
      </c>
      <c r="V31" t="s">
        <v>46</v>
      </c>
      <c r="W31" t="s">
        <v>582</v>
      </c>
      <c r="X31" t="s">
        <v>583</v>
      </c>
      <c r="Y31">
        <v>14346</v>
      </c>
      <c r="Z31" t="s">
        <v>3536</v>
      </c>
      <c r="AA31" t="s">
        <v>3526</v>
      </c>
      <c r="AB31" t="s">
        <v>32</v>
      </c>
      <c r="AC31" t="s">
        <v>467</v>
      </c>
      <c r="AD31" t="s">
        <v>468</v>
      </c>
      <c r="AE31" t="s">
        <v>33</v>
      </c>
    </row>
    <row r="32" spans="1:31" hidden="1">
      <c r="A32" t="s">
        <v>471</v>
      </c>
      <c r="B32" t="s">
        <v>34</v>
      </c>
      <c r="C32" t="s">
        <v>73</v>
      </c>
      <c r="D32" t="s">
        <v>142</v>
      </c>
      <c r="E32" t="s">
        <v>472</v>
      </c>
      <c r="F32" s="1">
        <v>46078.474317129629</v>
      </c>
      <c r="G32" t="s">
        <v>353</v>
      </c>
      <c r="H32" t="s">
        <v>776</v>
      </c>
      <c r="I32" t="s">
        <v>3671</v>
      </c>
      <c r="J32" t="s">
        <v>44</v>
      </c>
      <c r="K32" t="s">
        <v>473</v>
      </c>
      <c r="L32" t="s">
        <v>162</v>
      </c>
      <c r="M32" t="s">
        <v>163</v>
      </c>
      <c r="N32" t="s">
        <v>164</v>
      </c>
      <c r="O32" t="s">
        <v>30</v>
      </c>
      <c r="P32" s="1">
        <v>46079.421365740738</v>
      </c>
      <c r="R32" t="s">
        <v>90</v>
      </c>
      <c r="S32" t="s">
        <v>3558</v>
      </c>
      <c r="T32" t="s">
        <v>31</v>
      </c>
      <c r="U32" t="s">
        <v>104</v>
      </c>
      <c r="Y32">
        <v>15981</v>
      </c>
      <c r="Z32" t="s">
        <v>3536</v>
      </c>
      <c r="AA32" t="s">
        <v>3539</v>
      </c>
      <c r="AB32" t="s">
        <v>32</v>
      </c>
      <c r="AC32" t="s">
        <v>354</v>
      </c>
      <c r="AD32" t="s">
        <v>355</v>
      </c>
      <c r="AE32" t="s">
        <v>33</v>
      </c>
    </row>
    <row r="33" spans="1:31" hidden="1">
      <c r="A33" t="s">
        <v>474</v>
      </c>
      <c r="B33" t="s">
        <v>34</v>
      </c>
      <c r="C33" t="s">
        <v>475</v>
      </c>
      <c r="D33" t="s">
        <v>476</v>
      </c>
      <c r="E33" t="s">
        <v>95</v>
      </c>
      <c r="F33" s="1">
        <v>46078.467523148145</v>
      </c>
      <c r="G33" t="s">
        <v>67</v>
      </c>
      <c r="H33" t="s">
        <v>776</v>
      </c>
      <c r="I33" t="s">
        <v>3671</v>
      </c>
      <c r="J33" t="s">
        <v>134</v>
      </c>
      <c r="K33" t="s">
        <v>675</v>
      </c>
      <c r="L33" t="s">
        <v>162</v>
      </c>
      <c r="M33" t="s">
        <v>163</v>
      </c>
      <c r="N33" t="s">
        <v>164</v>
      </c>
      <c r="O33" t="s">
        <v>30</v>
      </c>
      <c r="P33" s="1">
        <v>46079.419085648151</v>
      </c>
      <c r="R33" t="s">
        <v>90</v>
      </c>
      <c r="T33" t="s">
        <v>31</v>
      </c>
      <c r="U33" t="s">
        <v>104</v>
      </c>
      <c r="Y33">
        <v>749</v>
      </c>
      <c r="Z33" t="s">
        <v>3536</v>
      </c>
      <c r="AA33" t="s">
        <v>3555</v>
      </c>
      <c r="AB33" t="s">
        <v>32</v>
      </c>
      <c r="AC33" t="s">
        <v>478</v>
      </c>
      <c r="AD33" t="s">
        <v>479</v>
      </c>
      <c r="AE33" t="s">
        <v>33</v>
      </c>
    </row>
    <row r="34" spans="1:31">
      <c r="A34" t="s">
        <v>484</v>
      </c>
      <c r="B34" t="s">
        <v>24</v>
      </c>
      <c r="C34" t="s">
        <v>485</v>
      </c>
      <c r="D34" t="s">
        <v>486</v>
      </c>
      <c r="E34" t="s">
        <v>487</v>
      </c>
      <c r="F34" s="1">
        <v>46078.454432870371</v>
      </c>
      <c r="G34" t="s">
        <v>35</v>
      </c>
      <c r="H34" t="s">
        <v>776</v>
      </c>
      <c r="I34" t="s">
        <v>3772</v>
      </c>
      <c r="J34" t="s">
        <v>44</v>
      </c>
      <c r="K34" t="s">
        <v>300</v>
      </c>
      <c r="L34" t="s">
        <v>46</v>
      </c>
      <c r="M34" t="s">
        <v>454</v>
      </c>
      <c r="N34" t="s">
        <v>488</v>
      </c>
      <c r="O34" t="s">
        <v>86</v>
      </c>
      <c r="P34" s="1">
        <v>46078.45590277778</v>
      </c>
      <c r="Q34" s="1">
        <v>46078.455405092594</v>
      </c>
      <c r="R34" t="s">
        <v>38</v>
      </c>
      <c r="S34" t="s">
        <v>3115</v>
      </c>
      <c r="T34" t="s">
        <v>31</v>
      </c>
      <c r="U34" t="s">
        <v>399</v>
      </c>
      <c r="V34" t="s">
        <v>46</v>
      </c>
      <c r="W34" t="s">
        <v>454</v>
      </c>
      <c r="X34" t="s">
        <v>3116</v>
      </c>
      <c r="Y34">
        <v>14932</v>
      </c>
      <c r="Z34" t="s">
        <v>3530</v>
      </c>
      <c r="AA34" t="s">
        <v>3526</v>
      </c>
      <c r="AB34" t="s">
        <v>32</v>
      </c>
      <c r="AC34" t="s">
        <v>489</v>
      </c>
      <c r="AD34" t="s">
        <v>490</v>
      </c>
      <c r="AE34" t="s">
        <v>33</v>
      </c>
    </row>
    <row r="35" spans="1:31" hidden="1">
      <c r="A35" t="s">
        <v>492</v>
      </c>
      <c r="B35" t="s">
        <v>24</v>
      </c>
      <c r="C35" t="s">
        <v>169</v>
      </c>
      <c r="D35" t="s">
        <v>195</v>
      </c>
      <c r="E35" t="s">
        <v>493</v>
      </c>
      <c r="F35" s="1">
        <v>46078.450879629629</v>
      </c>
      <c r="G35" t="s">
        <v>26</v>
      </c>
      <c r="H35" t="s">
        <v>776</v>
      </c>
      <c r="I35" t="s">
        <v>3665</v>
      </c>
      <c r="J35" t="s">
        <v>134</v>
      </c>
      <c r="K35" t="s">
        <v>494</v>
      </c>
      <c r="L35" t="s">
        <v>46</v>
      </c>
      <c r="M35" t="s">
        <v>495</v>
      </c>
      <c r="N35" t="s">
        <v>496</v>
      </c>
      <c r="O35" t="s">
        <v>86</v>
      </c>
      <c r="P35" s="1">
        <v>46078.554236111115</v>
      </c>
      <c r="Q35" s="1">
        <v>46078.554189814815</v>
      </c>
      <c r="R35" t="s">
        <v>38</v>
      </c>
      <c r="S35" t="e">
        <f>- All the Drivers has been successfully upgraded from Lenovo.</f>
        <v>#NAME?</v>
      </c>
      <c r="T35" t="s">
        <v>31</v>
      </c>
      <c r="U35" t="s">
        <v>266</v>
      </c>
      <c r="V35" t="s">
        <v>46</v>
      </c>
      <c r="W35" t="s">
        <v>197</v>
      </c>
      <c r="X35" t="s">
        <v>3117</v>
      </c>
      <c r="Y35">
        <v>15978</v>
      </c>
      <c r="Z35" t="s">
        <v>3530</v>
      </c>
      <c r="AA35" t="s">
        <v>3526</v>
      </c>
      <c r="AB35" t="s">
        <v>32</v>
      </c>
      <c r="AC35" t="s">
        <v>308</v>
      </c>
      <c r="AD35" t="s">
        <v>309</v>
      </c>
      <c r="AE35" t="s">
        <v>33</v>
      </c>
    </row>
    <row r="36" spans="1:31">
      <c r="A36" t="s">
        <v>501</v>
      </c>
      <c r="B36" t="s">
        <v>34</v>
      </c>
      <c r="C36" t="s">
        <v>502</v>
      </c>
      <c r="D36" t="s">
        <v>503</v>
      </c>
      <c r="E36" t="s">
        <v>504</v>
      </c>
      <c r="F36" s="1">
        <v>46078.448252314818</v>
      </c>
      <c r="G36" t="s">
        <v>26</v>
      </c>
      <c r="H36" t="s">
        <v>776</v>
      </c>
      <c r="I36" t="s">
        <v>3665</v>
      </c>
      <c r="J36" t="s">
        <v>44</v>
      </c>
      <c r="K36" t="s">
        <v>300</v>
      </c>
      <c r="L36" t="s">
        <v>46</v>
      </c>
      <c r="M36" t="s">
        <v>348</v>
      </c>
      <c r="N36" t="s">
        <v>506</v>
      </c>
      <c r="O36" t="s">
        <v>30</v>
      </c>
      <c r="P36" s="1">
        <v>46078.450289351851</v>
      </c>
      <c r="Q36" s="1">
        <v>46078.44866898148</v>
      </c>
      <c r="R36" t="s">
        <v>38</v>
      </c>
      <c r="S36" t="s">
        <v>3118</v>
      </c>
      <c r="T36" t="s">
        <v>31</v>
      </c>
      <c r="U36" t="s">
        <v>399</v>
      </c>
      <c r="V36" t="s">
        <v>46</v>
      </c>
      <c r="W36" t="s">
        <v>348</v>
      </c>
      <c r="X36" t="s">
        <v>506</v>
      </c>
      <c r="Y36">
        <v>2942</v>
      </c>
      <c r="Z36" t="s">
        <v>3530</v>
      </c>
      <c r="AA36" t="s">
        <v>3526</v>
      </c>
      <c r="AB36" t="s">
        <v>181</v>
      </c>
      <c r="AC36" t="s">
        <v>507</v>
      </c>
      <c r="AD36" t="s">
        <v>508</v>
      </c>
      <c r="AE36" t="s">
        <v>33</v>
      </c>
    </row>
    <row r="37" spans="1:31">
      <c r="A37" t="s">
        <v>510</v>
      </c>
      <c r="B37" t="s">
        <v>34</v>
      </c>
      <c r="C37" t="s">
        <v>511</v>
      </c>
      <c r="D37" t="s">
        <v>512</v>
      </c>
      <c r="E37" t="s">
        <v>513</v>
      </c>
      <c r="F37" s="1">
        <v>46078.441724537035</v>
      </c>
      <c r="G37" t="s">
        <v>26</v>
      </c>
      <c r="H37" t="s">
        <v>776</v>
      </c>
      <c r="I37" t="s">
        <v>3665</v>
      </c>
      <c r="J37" t="s">
        <v>44</v>
      </c>
      <c r="K37" t="s">
        <v>514</v>
      </c>
      <c r="L37" t="s">
        <v>46</v>
      </c>
      <c r="M37" t="s">
        <v>515</v>
      </c>
      <c r="N37" t="s">
        <v>516</v>
      </c>
      <c r="O37" t="s">
        <v>30</v>
      </c>
      <c r="P37" s="1">
        <v>46078.444189814814</v>
      </c>
      <c r="Q37" s="1">
        <v>46078.444120370368</v>
      </c>
      <c r="R37" t="s">
        <v>38</v>
      </c>
      <c r="S37" t="s">
        <v>3119</v>
      </c>
      <c r="T37" t="s">
        <v>31</v>
      </c>
      <c r="U37" t="s">
        <v>266</v>
      </c>
      <c r="V37" t="s">
        <v>46</v>
      </c>
      <c r="W37" t="s">
        <v>515</v>
      </c>
      <c r="X37" t="s">
        <v>3120</v>
      </c>
      <c r="Y37" t="s">
        <v>3560</v>
      </c>
      <c r="Z37" t="s">
        <v>3530</v>
      </c>
      <c r="AA37" t="s">
        <v>3526</v>
      </c>
      <c r="AB37" t="s">
        <v>32</v>
      </c>
      <c r="AC37" t="s">
        <v>517</v>
      </c>
      <c r="AD37" t="s">
        <v>518</v>
      </c>
      <c r="AE37" t="s">
        <v>33</v>
      </c>
    </row>
    <row r="38" spans="1:31">
      <c r="A38" t="s">
        <v>519</v>
      </c>
      <c r="B38" t="s">
        <v>34</v>
      </c>
      <c r="C38" t="s">
        <v>169</v>
      </c>
      <c r="D38" t="s">
        <v>170</v>
      </c>
      <c r="E38" t="s">
        <v>520</v>
      </c>
      <c r="F38" s="1">
        <v>46078.438703703701</v>
      </c>
      <c r="G38" t="s">
        <v>26</v>
      </c>
      <c r="H38" t="s">
        <v>776</v>
      </c>
      <c r="I38" t="s">
        <v>3665</v>
      </c>
      <c r="J38" t="s">
        <v>44</v>
      </c>
      <c r="K38" t="s">
        <v>205</v>
      </c>
      <c r="L38" t="s">
        <v>46</v>
      </c>
      <c r="M38" t="s">
        <v>188</v>
      </c>
      <c r="N38" t="s">
        <v>521</v>
      </c>
      <c r="O38" t="s">
        <v>30</v>
      </c>
      <c r="P38" s="1">
        <v>46078.440451388888</v>
      </c>
      <c r="Q38" s="1">
        <v>46078.438958333332</v>
      </c>
      <c r="R38" t="s">
        <v>38</v>
      </c>
      <c r="S38" t="s">
        <v>3121</v>
      </c>
      <c r="T38" t="s">
        <v>31</v>
      </c>
      <c r="U38" t="s">
        <v>206</v>
      </c>
      <c r="V38" t="s">
        <v>46</v>
      </c>
      <c r="W38" t="s">
        <v>188</v>
      </c>
      <c r="X38" t="s">
        <v>521</v>
      </c>
      <c r="Y38">
        <v>11229</v>
      </c>
      <c r="Z38" t="s">
        <v>3530</v>
      </c>
      <c r="AA38" t="s">
        <v>3526</v>
      </c>
      <c r="AB38" t="s">
        <v>32</v>
      </c>
      <c r="AC38" t="s">
        <v>522</v>
      </c>
      <c r="AD38" t="s">
        <v>523</v>
      </c>
      <c r="AE38" t="s">
        <v>33</v>
      </c>
    </row>
    <row r="39" spans="1:31">
      <c r="A39" t="s">
        <v>524</v>
      </c>
      <c r="B39" t="s">
        <v>34</v>
      </c>
      <c r="C39" t="s">
        <v>169</v>
      </c>
      <c r="D39" t="s">
        <v>170</v>
      </c>
      <c r="E39" t="s">
        <v>505</v>
      </c>
      <c r="F39" s="1">
        <v>46078.433946759258</v>
      </c>
      <c r="G39" t="s">
        <v>26</v>
      </c>
      <c r="H39" t="s">
        <v>776</v>
      </c>
      <c r="I39" t="s">
        <v>3665</v>
      </c>
      <c r="J39" t="s">
        <v>44</v>
      </c>
      <c r="K39" t="s">
        <v>205</v>
      </c>
      <c r="L39" t="s">
        <v>46</v>
      </c>
      <c r="M39" t="s">
        <v>348</v>
      </c>
      <c r="N39" t="s">
        <v>506</v>
      </c>
      <c r="O39" t="s">
        <v>30</v>
      </c>
      <c r="P39" s="1">
        <v>46078.435543981483</v>
      </c>
      <c r="Q39" s="1">
        <v>46078.434618055559</v>
      </c>
      <c r="R39" t="s">
        <v>38</v>
      </c>
      <c r="S39" t="s">
        <v>3122</v>
      </c>
      <c r="T39" t="s">
        <v>31</v>
      </c>
      <c r="U39" t="s">
        <v>206</v>
      </c>
      <c r="V39" t="s">
        <v>46</v>
      </c>
      <c r="W39" t="s">
        <v>348</v>
      </c>
      <c r="X39" t="s">
        <v>506</v>
      </c>
      <c r="Y39">
        <v>11229</v>
      </c>
      <c r="Z39" t="s">
        <v>3530</v>
      </c>
      <c r="AA39" t="s">
        <v>3526</v>
      </c>
      <c r="AB39" t="s">
        <v>32</v>
      </c>
      <c r="AC39" t="s">
        <v>522</v>
      </c>
      <c r="AD39" t="s">
        <v>523</v>
      </c>
      <c r="AE39" t="s">
        <v>33</v>
      </c>
    </row>
    <row r="40" spans="1:31">
      <c r="A40" t="s">
        <v>533</v>
      </c>
      <c r="B40" t="s">
        <v>34</v>
      </c>
      <c r="C40" t="s">
        <v>115</v>
      </c>
      <c r="D40" t="s">
        <v>534</v>
      </c>
      <c r="E40" t="s">
        <v>535</v>
      </c>
      <c r="F40" s="1">
        <v>46078.423622685186</v>
      </c>
      <c r="G40" t="s">
        <v>67</v>
      </c>
      <c r="H40" t="s">
        <v>776</v>
      </c>
      <c r="I40" t="s">
        <v>3671</v>
      </c>
      <c r="J40" t="s">
        <v>44</v>
      </c>
      <c r="K40" t="s">
        <v>411</v>
      </c>
      <c r="L40" t="s">
        <v>46</v>
      </c>
      <c r="M40" t="s">
        <v>188</v>
      </c>
      <c r="N40" t="s">
        <v>431</v>
      </c>
      <c r="O40" t="s">
        <v>30</v>
      </c>
      <c r="P40" s="1">
        <v>46078.425578703704</v>
      </c>
      <c r="Q40" s="1">
        <v>46078.425543981481</v>
      </c>
      <c r="R40" t="s">
        <v>38</v>
      </c>
      <c r="S40" t="s">
        <v>3123</v>
      </c>
      <c r="T40" t="s">
        <v>31</v>
      </c>
      <c r="U40" t="s">
        <v>413</v>
      </c>
      <c r="V40" t="s">
        <v>46</v>
      </c>
      <c r="W40" t="s">
        <v>188</v>
      </c>
      <c r="X40" t="s">
        <v>431</v>
      </c>
      <c r="Y40">
        <v>15969</v>
      </c>
      <c r="Z40" t="s">
        <v>3530</v>
      </c>
      <c r="AA40" t="s">
        <v>3526</v>
      </c>
      <c r="AB40" t="s">
        <v>32</v>
      </c>
      <c r="AC40" t="s">
        <v>536</v>
      </c>
      <c r="AD40" t="s">
        <v>537</v>
      </c>
      <c r="AE40" t="s">
        <v>33</v>
      </c>
    </row>
    <row r="41" spans="1:31">
      <c r="A41" t="s">
        <v>538</v>
      </c>
      <c r="B41" t="s">
        <v>34</v>
      </c>
      <c r="C41" t="s">
        <v>115</v>
      </c>
      <c r="D41" t="s">
        <v>534</v>
      </c>
      <c r="E41" t="s">
        <v>539</v>
      </c>
      <c r="F41" s="1">
        <v>46078.422453703701</v>
      </c>
      <c r="G41" t="s">
        <v>67</v>
      </c>
      <c r="H41" t="s">
        <v>776</v>
      </c>
      <c r="I41" t="s">
        <v>3671</v>
      </c>
      <c r="J41" t="s">
        <v>44</v>
      </c>
      <c r="K41" t="s">
        <v>411</v>
      </c>
      <c r="L41" t="s">
        <v>46</v>
      </c>
      <c r="M41" t="s">
        <v>379</v>
      </c>
      <c r="N41" t="s">
        <v>379</v>
      </c>
      <c r="O41" t="s">
        <v>30</v>
      </c>
      <c r="P41" s="1">
        <v>46078.423078703701</v>
      </c>
      <c r="Q41" s="1">
        <v>46078.422986111109</v>
      </c>
      <c r="R41" t="s">
        <v>38</v>
      </c>
      <c r="S41" t="s">
        <v>3124</v>
      </c>
      <c r="T41" t="s">
        <v>31</v>
      </c>
      <c r="U41" t="s">
        <v>413</v>
      </c>
      <c r="V41" t="s">
        <v>46</v>
      </c>
      <c r="W41" t="s">
        <v>379</v>
      </c>
      <c r="X41" t="s">
        <v>379</v>
      </c>
      <c r="Y41">
        <v>15969</v>
      </c>
      <c r="Z41" t="s">
        <v>3530</v>
      </c>
      <c r="AA41" t="s">
        <v>3526</v>
      </c>
      <c r="AB41" t="s">
        <v>32</v>
      </c>
      <c r="AC41" t="s">
        <v>536</v>
      </c>
      <c r="AD41" t="s">
        <v>537</v>
      </c>
      <c r="AE41" t="s">
        <v>33</v>
      </c>
    </row>
    <row r="42" spans="1:31">
      <c r="A42" t="s">
        <v>540</v>
      </c>
      <c r="B42" t="s">
        <v>34</v>
      </c>
      <c r="C42" t="s">
        <v>541</v>
      </c>
      <c r="D42" t="s">
        <v>542</v>
      </c>
      <c r="E42" t="s">
        <v>543</v>
      </c>
      <c r="F42" s="1">
        <v>46078.421284722222</v>
      </c>
      <c r="G42" t="s">
        <v>143</v>
      </c>
      <c r="H42" t="s">
        <v>776</v>
      </c>
      <c r="I42" t="s">
        <v>3670</v>
      </c>
      <c r="J42" t="s">
        <v>44</v>
      </c>
      <c r="K42" t="s">
        <v>514</v>
      </c>
      <c r="L42" t="s">
        <v>46</v>
      </c>
      <c r="M42" t="s">
        <v>379</v>
      </c>
      <c r="N42" t="s">
        <v>379</v>
      </c>
      <c r="O42" t="s">
        <v>30</v>
      </c>
      <c r="P42" s="1">
        <v>46078.422361111108</v>
      </c>
      <c r="Q42" s="1">
        <v>46078.422337962962</v>
      </c>
      <c r="R42" t="s">
        <v>38</v>
      </c>
      <c r="S42" t="s">
        <v>3125</v>
      </c>
      <c r="T42" t="s">
        <v>31</v>
      </c>
      <c r="U42" t="s">
        <v>266</v>
      </c>
      <c r="V42" t="s">
        <v>46</v>
      </c>
      <c r="W42" t="s">
        <v>379</v>
      </c>
      <c r="X42" t="s">
        <v>379</v>
      </c>
      <c r="Y42">
        <v>9062</v>
      </c>
      <c r="Z42" t="s">
        <v>3530</v>
      </c>
      <c r="AA42" t="s">
        <v>3526</v>
      </c>
      <c r="AB42" t="s">
        <v>32</v>
      </c>
      <c r="AC42" t="s">
        <v>544</v>
      </c>
      <c r="AD42" t="s">
        <v>545</v>
      </c>
      <c r="AE42" t="s">
        <v>33</v>
      </c>
    </row>
    <row r="43" spans="1:31">
      <c r="A43" t="s">
        <v>550</v>
      </c>
      <c r="B43" t="s">
        <v>24</v>
      </c>
      <c r="C43" t="s">
        <v>551</v>
      </c>
      <c r="D43" t="s">
        <v>435</v>
      </c>
      <c r="E43" t="s">
        <v>552</v>
      </c>
      <c r="F43" s="1">
        <v>46078.420289351852</v>
      </c>
      <c r="G43" t="s">
        <v>74</v>
      </c>
      <c r="H43" t="s">
        <v>776</v>
      </c>
      <c r="I43" t="s">
        <v>3665</v>
      </c>
      <c r="J43" t="s">
        <v>44</v>
      </c>
      <c r="K43" t="s">
        <v>411</v>
      </c>
      <c r="L43" t="s">
        <v>46</v>
      </c>
      <c r="M43" t="s">
        <v>313</v>
      </c>
      <c r="N43" t="s">
        <v>547</v>
      </c>
      <c r="O43" t="s">
        <v>86</v>
      </c>
      <c r="P43" s="1">
        <v>46078.421435185184</v>
      </c>
      <c r="Q43" s="1">
        <v>46078.421400462961</v>
      </c>
      <c r="R43" t="s">
        <v>38</v>
      </c>
      <c r="S43" t="s">
        <v>3126</v>
      </c>
      <c r="T43" t="s">
        <v>31</v>
      </c>
      <c r="U43" t="s">
        <v>413</v>
      </c>
      <c r="V43" t="s">
        <v>46</v>
      </c>
      <c r="W43" t="s">
        <v>313</v>
      </c>
      <c r="X43" t="s">
        <v>2282</v>
      </c>
      <c r="Y43" t="s">
        <v>3562</v>
      </c>
      <c r="Z43" t="s">
        <v>3530</v>
      </c>
      <c r="AA43" t="s">
        <v>3526</v>
      </c>
      <c r="AB43" t="s">
        <v>32</v>
      </c>
      <c r="AC43" t="s">
        <v>553</v>
      </c>
      <c r="AD43" t="s">
        <v>554</v>
      </c>
      <c r="AE43" t="s">
        <v>33</v>
      </c>
    </row>
    <row r="44" spans="1:31">
      <c r="A44" t="s">
        <v>556</v>
      </c>
      <c r="B44" t="s">
        <v>24</v>
      </c>
      <c r="C44" t="s">
        <v>296</v>
      </c>
      <c r="D44" t="s">
        <v>557</v>
      </c>
      <c r="E44" t="s">
        <v>558</v>
      </c>
      <c r="F44" s="1">
        <v>46078.416886574072</v>
      </c>
      <c r="G44" t="s">
        <v>222</v>
      </c>
      <c r="H44" t="s">
        <v>776</v>
      </c>
      <c r="I44" t="s">
        <v>3666</v>
      </c>
      <c r="J44" t="s">
        <v>44</v>
      </c>
      <c r="K44" t="s">
        <v>411</v>
      </c>
      <c r="L44" t="s">
        <v>46</v>
      </c>
      <c r="M44" t="s">
        <v>559</v>
      </c>
      <c r="N44" t="s">
        <v>48</v>
      </c>
      <c r="O44" t="s">
        <v>86</v>
      </c>
      <c r="P44" s="1">
        <v>46078.419039351851</v>
      </c>
      <c r="Q44" s="1">
        <v>46078.417962962965</v>
      </c>
      <c r="R44" t="s">
        <v>38</v>
      </c>
      <c r="S44" t="s">
        <v>3127</v>
      </c>
      <c r="T44" t="s">
        <v>31</v>
      </c>
      <c r="U44" t="s">
        <v>413</v>
      </c>
      <c r="V44" t="s">
        <v>46</v>
      </c>
      <c r="W44" t="s">
        <v>559</v>
      </c>
      <c r="X44" t="s">
        <v>3128</v>
      </c>
      <c r="Y44">
        <v>14915</v>
      </c>
      <c r="Z44" t="s">
        <v>3530</v>
      </c>
      <c r="AA44" t="s">
        <v>3526</v>
      </c>
      <c r="AB44" t="s">
        <v>32</v>
      </c>
      <c r="AC44" t="s">
        <v>560</v>
      </c>
      <c r="AD44" t="s">
        <v>561</v>
      </c>
      <c r="AE44" t="s">
        <v>33</v>
      </c>
    </row>
    <row r="45" spans="1:31">
      <c r="A45" t="s">
        <v>563</v>
      </c>
      <c r="B45" t="s">
        <v>34</v>
      </c>
      <c r="C45" t="s">
        <v>91</v>
      </c>
      <c r="D45" t="s">
        <v>546</v>
      </c>
      <c r="E45" t="s">
        <v>505</v>
      </c>
      <c r="F45" s="1">
        <v>46078.418888888889</v>
      </c>
      <c r="G45" t="s">
        <v>353</v>
      </c>
      <c r="H45" t="s">
        <v>776</v>
      </c>
      <c r="I45" t="s">
        <v>3671</v>
      </c>
      <c r="J45" t="s">
        <v>44</v>
      </c>
      <c r="K45" t="s">
        <v>205</v>
      </c>
      <c r="L45" t="s">
        <v>46</v>
      </c>
      <c r="M45" t="s">
        <v>348</v>
      </c>
      <c r="N45" t="s">
        <v>506</v>
      </c>
      <c r="O45" t="s">
        <v>30</v>
      </c>
      <c r="P45" s="1">
        <v>46078.420520833337</v>
      </c>
      <c r="Q45" s="1">
        <v>46078.419791666667</v>
      </c>
      <c r="R45" t="s">
        <v>38</v>
      </c>
      <c r="S45" t="s">
        <v>3129</v>
      </c>
      <c r="T45" t="s">
        <v>31</v>
      </c>
      <c r="U45" t="s">
        <v>206</v>
      </c>
      <c r="V45" t="s">
        <v>46</v>
      </c>
      <c r="W45" t="s">
        <v>348</v>
      </c>
      <c r="X45" t="s">
        <v>506</v>
      </c>
      <c r="Y45">
        <v>15670</v>
      </c>
      <c r="Z45" t="s">
        <v>3530</v>
      </c>
      <c r="AA45" t="s">
        <v>3526</v>
      </c>
      <c r="AB45" t="s">
        <v>32</v>
      </c>
      <c r="AC45" t="s">
        <v>548</v>
      </c>
      <c r="AD45" t="s">
        <v>549</v>
      </c>
      <c r="AE45" t="s">
        <v>33</v>
      </c>
    </row>
    <row r="46" spans="1:31" hidden="1">
      <c r="A46" t="s">
        <v>564</v>
      </c>
      <c r="B46" t="s">
        <v>34</v>
      </c>
      <c r="C46" t="s">
        <v>565</v>
      </c>
      <c r="D46" t="s">
        <v>566</v>
      </c>
      <c r="E46" t="s">
        <v>567</v>
      </c>
      <c r="F46" s="1">
        <v>46078.413263888891</v>
      </c>
      <c r="G46" t="s">
        <v>108</v>
      </c>
      <c r="H46" t="s">
        <v>776</v>
      </c>
      <c r="I46" t="s">
        <v>3666</v>
      </c>
      <c r="J46" t="s">
        <v>134</v>
      </c>
      <c r="K46" t="s">
        <v>320</v>
      </c>
      <c r="L46" t="s">
        <v>27</v>
      </c>
      <c r="M46" t="s">
        <v>89</v>
      </c>
      <c r="N46" t="s">
        <v>89</v>
      </c>
      <c r="O46" t="s">
        <v>30</v>
      </c>
      <c r="P46" s="1">
        <v>46079.32708333333</v>
      </c>
      <c r="R46" t="s">
        <v>90</v>
      </c>
      <c r="T46" t="s">
        <v>31</v>
      </c>
      <c r="U46" t="s">
        <v>243</v>
      </c>
      <c r="Y46">
        <v>12329</v>
      </c>
      <c r="Z46" t="s">
        <v>3525</v>
      </c>
      <c r="AA46" t="s">
        <v>3539</v>
      </c>
      <c r="AB46" t="s">
        <v>32</v>
      </c>
      <c r="AC46" t="s">
        <v>568</v>
      </c>
      <c r="AD46" t="s">
        <v>569</v>
      </c>
      <c r="AE46" t="s">
        <v>33</v>
      </c>
    </row>
    <row r="47" spans="1:31">
      <c r="A47" t="s">
        <v>570</v>
      </c>
      <c r="B47" t="s">
        <v>34</v>
      </c>
      <c r="C47" t="s">
        <v>263</v>
      </c>
      <c r="D47" t="s">
        <v>264</v>
      </c>
      <c r="E47" t="s">
        <v>571</v>
      </c>
      <c r="F47" s="1">
        <v>46078.412256944444</v>
      </c>
      <c r="G47" t="s">
        <v>265</v>
      </c>
      <c r="H47" t="s">
        <v>776</v>
      </c>
      <c r="I47" t="s">
        <v>3671</v>
      </c>
      <c r="J47" t="s">
        <v>44</v>
      </c>
      <c r="K47" t="s">
        <v>514</v>
      </c>
      <c r="L47" t="s">
        <v>46</v>
      </c>
      <c r="M47" t="s">
        <v>188</v>
      </c>
      <c r="N47" t="s">
        <v>431</v>
      </c>
      <c r="O47" t="s">
        <v>30</v>
      </c>
      <c r="P47" s="1">
        <v>46078.473368055558</v>
      </c>
      <c r="Q47" s="1">
        <v>46078.473356481481</v>
      </c>
      <c r="R47" t="s">
        <v>38</v>
      </c>
      <c r="S47" t="s">
        <v>3130</v>
      </c>
      <c r="T47" t="s">
        <v>31</v>
      </c>
      <c r="U47" t="s">
        <v>266</v>
      </c>
      <c r="V47" t="s">
        <v>46</v>
      </c>
      <c r="W47" t="s">
        <v>188</v>
      </c>
      <c r="X47" t="s">
        <v>431</v>
      </c>
      <c r="Y47">
        <v>2951</v>
      </c>
      <c r="Z47" t="s">
        <v>3530</v>
      </c>
      <c r="AA47" t="s">
        <v>3526</v>
      </c>
      <c r="AB47" t="s">
        <v>32</v>
      </c>
      <c r="AC47" t="s">
        <v>267</v>
      </c>
      <c r="AD47" t="s">
        <v>268</v>
      </c>
      <c r="AE47" t="s">
        <v>33</v>
      </c>
    </row>
    <row r="48" spans="1:31">
      <c r="A48" t="s">
        <v>576</v>
      </c>
      <c r="B48" t="s">
        <v>34</v>
      </c>
      <c r="C48" t="s">
        <v>577</v>
      </c>
      <c r="D48" t="s">
        <v>577</v>
      </c>
      <c r="E48" t="s">
        <v>578</v>
      </c>
      <c r="F48" s="1">
        <v>46078.408101851855</v>
      </c>
      <c r="G48" t="s">
        <v>153</v>
      </c>
      <c r="H48" t="s">
        <v>776</v>
      </c>
      <c r="I48" t="s">
        <v>3669</v>
      </c>
      <c r="J48" t="s">
        <v>44</v>
      </c>
      <c r="K48" t="s">
        <v>411</v>
      </c>
      <c r="L48" t="s">
        <v>46</v>
      </c>
      <c r="M48" t="s">
        <v>348</v>
      </c>
      <c r="N48" t="s">
        <v>506</v>
      </c>
      <c r="O48" t="s">
        <v>30</v>
      </c>
      <c r="P48" s="1">
        <v>46078.409884259258</v>
      </c>
      <c r="Q48" s="1">
        <v>46078.409305555557</v>
      </c>
      <c r="R48" t="s">
        <v>38</v>
      </c>
      <c r="S48" t="s">
        <v>3131</v>
      </c>
      <c r="T48" t="s">
        <v>31</v>
      </c>
      <c r="U48" t="s">
        <v>413</v>
      </c>
      <c r="V48" t="s">
        <v>46</v>
      </c>
      <c r="W48" t="s">
        <v>348</v>
      </c>
      <c r="X48" t="s">
        <v>506</v>
      </c>
      <c r="Y48">
        <v>2301</v>
      </c>
      <c r="Z48" t="s">
        <v>3530</v>
      </c>
      <c r="AA48" t="s">
        <v>3526</v>
      </c>
      <c r="AB48" t="s">
        <v>32</v>
      </c>
      <c r="AC48" t="s">
        <v>579</v>
      </c>
      <c r="AD48" t="s">
        <v>580</v>
      </c>
      <c r="AE48" t="s">
        <v>33</v>
      </c>
    </row>
    <row r="49" spans="1:31">
      <c r="A49" t="s">
        <v>589</v>
      </c>
      <c r="B49" t="s">
        <v>34</v>
      </c>
      <c r="C49" t="s">
        <v>99</v>
      </c>
      <c r="D49" t="s">
        <v>195</v>
      </c>
      <c r="E49" t="s">
        <v>590</v>
      </c>
      <c r="F49" s="1">
        <v>46078.40519675926</v>
      </c>
      <c r="G49" t="s">
        <v>262</v>
      </c>
      <c r="H49" t="s">
        <v>776</v>
      </c>
      <c r="I49" t="s">
        <v>3666</v>
      </c>
      <c r="J49" t="s">
        <v>44</v>
      </c>
      <c r="K49" t="s">
        <v>300</v>
      </c>
      <c r="L49" t="s">
        <v>46</v>
      </c>
      <c r="M49" t="s">
        <v>379</v>
      </c>
      <c r="N49" t="s">
        <v>379</v>
      </c>
      <c r="O49" t="s">
        <v>30</v>
      </c>
      <c r="P49" s="1">
        <v>46078.405405092592</v>
      </c>
      <c r="Q49" s="1">
        <v>46078.405370370368</v>
      </c>
      <c r="R49" t="s">
        <v>38</v>
      </c>
      <c r="S49" t="s">
        <v>3132</v>
      </c>
      <c r="T49" t="s">
        <v>31</v>
      </c>
      <c r="U49" t="s">
        <v>399</v>
      </c>
      <c r="V49" t="s">
        <v>46</v>
      </c>
      <c r="W49" t="s">
        <v>379</v>
      </c>
      <c r="X49" t="s">
        <v>379</v>
      </c>
      <c r="Y49">
        <v>12598</v>
      </c>
      <c r="Z49" t="s">
        <v>3530</v>
      </c>
      <c r="AA49" t="s">
        <v>3526</v>
      </c>
      <c r="AB49" t="s">
        <v>32</v>
      </c>
      <c r="AC49" t="s">
        <v>591</v>
      </c>
      <c r="AD49" t="s">
        <v>592</v>
      </c>
      <c r="AE49" t="s">
        <v>33</v>
      </c>
    </row>
    <row r="50" spans="1:31">
      <c r="A50" t="s">
        <v>596</v>
      </c>
      <c r="B50" t="s">
        <v>34</v>
      </c>
      <c r="C50" t="s">
        <v>597</v>
      </c>
      <c r="D50" t="s">
        <v>598</v>
      </c>
      <c r="E50" t="s">
        <v>590</v>
      </c>
      <c r="F50" s="1">
        <v>46078.400243055556</v>
      </c>
      <c r="G50" t="s">
        <v>238</v>
      </c>
      <c r="H50" t="s">
        <v>776</v>
      </c>
      <c r="I50" t="s">
        <v>3665</v>
      </c>
      <c r="J50" t="s">
        <v>44</v>
      </c>
      <c r="K50" t="s">
        <v>205</v>
      </c>
      <c r="L50" t="s">
        <v>46</v>
      </c>
      <c r="M50" t="s">
        <v>379</v>
      </c>
      <c r="N50" t="s">
        <v>379</v>
      </c>
      <c r="O50" t="s">
        <v>30</v>
      </c>
      <c r="P50" s="1">
        <v>46078.400613425925</v>
      </c>
      <c r="Q50" s="1">
        <v>46078.400439814817</v>
      </c>
      <c r="R50" t="s">
        <v>38</v>
      </c>
      <c r="S50" t="s">
        <v>3132</v>
      </c>
      <c r="T50" t="s">
        <v>31</v>
      </c>
      <c r="U50" t="s">
        <v>206</v>
      </c>
      <c r="V50" t="s">
        <v>46</v>
      </c>
      <c r="W50" t="s">
        <v>379</v>
      </c>
      <c r="X50" t="s">
        <v>379</v>
      </c>
      <c r="Y50">
        <v>13189</v>
      </c>
      <c r="Z50" t="s">
        <v>3530</v>
      </c>
      <c r="AA50" t="s">
        <v>3526</v>
      </c>
      <c r="AB50" t="s">
        <v>32</v>
      </c>
      <c r="AC50" t="s">
        <v>599</v>
      </c>
      <c r="AD50" t="s">
        <v>600</v>
      </c>
      <c r="AE50" t="s">
        <v>33</v>
      </c>
    </row>
    <row r="51" spans="1:31">
      <c r="A51" t="s">
        <v>601</v>
      </c>
      <c r="B51" t="s">
        <v>34</v>
      </c>
      <c r="C51" t="s">
        <v>602</v>
      </c>
      <c r="D51" t="s">
        <v>603</v>
      </c>
      <c r="E51" t="s">
        <v>505</v>
      </c>
      <c r="F51" s="1">
        <v>46078.41474537037</v>
      </c>
      <c r="G51" t="s">
        <v>128</v>
      </c>
      <c r="H51" t="s">
        <v>776</v>
      </c>
      <c r="I51" t="s">
        <v>3668</v>
      </c>
      <c r="J51" t="s">
        <v>44</v>
      </c>
      <c r="K51" t="s">
        <v>205</v>
      </c>
      <c r="L51" t="s">
        <v>46</v>
      </c>
      <c r="M51" t="s">
        <v>348</v>
      </c>
      <c r="N51" t="s">
        <v>506</v>
      </c>
      <c r="O51" t="s">
        <v>30</v>
      </c>
      <c r="P51" s="1">
        <v>46078.416250000002</v>
      </c>
      <c r="Q51" s="1">
        <v>46078.414988425924</v>
      </c>
      <c r="R51" t="s">
        <v>38</v>
      </c>
      <c r="S51" t="s">
        <v>3133</v>
      </c>
      <c r="T51" t="s">
        <v>31</v>
      </c>
      <c r="U51" t="s">
        <v>206</v>
      </c>
      <c r="V51" t="s">
        <v>46</v>
      </c>
      <c r="W51" t="s">
        <v>348</v>
      </c>
      <c r="X51" t="s">
        <v>506</v>
      </c>
      <c r="Y51" t="s">
        <v>3564</v>
      </c>
      <c r="Z51" t="s">
        <v>3530</v>
      </c>
      <c r="AA51" t="s">
        <v>3526</v>
      </c>
      <c r="AB51" t="s">
        <v>32</v>
      </c>
      <c r="AC51" t="s">
        <v>604</v>
      </c>
      <c r="AD51" t="s">
        <v>605</v>
      </c>
      <c r="AE51" t="s">
        <v>33</v>
      </c>
    </row>
    <row r="52" spans="1:31">
      <c r="A52" t="s">
        <v>606</v>
      </c>
      <c r="B52" t="s">
        <v>34</v>
      </c>
      <c r="C52" t="s">
        <v>447</v>
      </c>
      <c r="D52" t="s">
        <v>607</v>
      </c>
      <c r="E52" t="s">
        <v>608</v>
      </c>
      <c r="F52" s="1">
        <v>46078.479849537034</v>
      </c>
      <c r="G52" t="s">
        <v>283</v>
      </c>
      <c r="H52" t="s">
        <v>776</v>
      </c>
      <c r="I52" t="s">
        <v>3670</v>
      </c>
      <c r="J52" t="s">
        <v>44</v>
      </c>
      <c r="K52" t="s">
        <v>205</v>
      </c>
      <c r="L52" t="s">
        <v>46</v>
      </c>
      <c r="M52" t="s">
        <v>379</v>
      </c>
      <c r="N52" t="s">
        <v>379</v>
      </c>
      <c r="O52" t="s">
        <v>30</v>
      </c>
      <c r="P52" s="1">
        <v>46078.480590277781</v>
      </c>
      <c r="Q52" s="1">
        <v>46078.480486111112</v>
      </c>
      <c r="R52" t="s">
        <v>38</v>
      </c>
      <c r="S52" t="s">
        <v>3134</v>
      </c>
      <c r="T52" t="s">
        <v>31</v>
      </c>
      <c r="U52" t="s">
        <v>206</v>
      </c>
      <c r="V52" t="s">
        <v>46</v>
      </c>
      <c r="W52" t="s">
        <v>379</v>
      </c>
      <c r="X52" t="s">
        <v>379</v>
      </c>
      <c r="Y52">
        <v>14988</v>
      </c>
      <c r="Z52" t="s">
        <v>3530</v>
      </c>
      <c r="AA52" t="s">
        <v>3526</v>
      </c>
      <c r="AB52" t="s">
        <v>32</v>
      </c>
      <c r="AC52" t="s">
        <v>609</v>
      </c>
      <c r="AD52" t="s">
        <v>610</v>
      </c>
      <c r="AE52" t="s">
        <v>33</v>
      </c>
    </row>
    <row r="53" spans="1:31">
      <c r="A53" t="s">
        <v>615</v>
      </c>
      <c r="B53" t="s">
        <v>24</v>
      </c>
      <c r="C53" t="s">
        <v>79</v>
      </c>
      <c r="D53" t="s">
        <v>616</v>
      </c>
      <c r="E53" t="s">
        <v>617</v>
      </c>
      <c r="F53" s="1">
        <v>46078.394768518519</v>
      </c>
      <c r="G53" t="s">
        <v>426</v>
      </c>
      <c r="H53" t="s">
        <v>776</v>
      </c>
      <c r="I53" t="s">
        <v>3772</v>
      </c>
      <c r="J53" t="s">
        <v>44</v>
      </c>
      <c r="K53" t="s">
        <v>179</v>
      </c>
      <c r="L53" t="s">
        <v>46</v>
      </c>
      <c r="M53" t="s">
        <v>374</v>
      </c>
      <c r="N53" t="s">
        <v>618</v>
      </c>
      <c r="O53" t="s">
        <v>86</v>
      </c>
      <c r="P53" s="1">
        <v>46078.443645833337</v>
      </c>
      <c r="Q53" s="1">
        <v>46078.443599537037</v>
      </c>
      <c r="R53" t="s">
        <v>38</v>
      </c>
      <c r="S53" t="s">
        <v>3135</v>
      </c>
      <c r="T53" t="s">
        <v>31</v>
      </c>
      <c r="U53" t="s">
        <v>350</v>
      </c>
      <c r="V53" t="s">
        <v>46</v>
      </c>
      <c r="W53" t="s">
        <v>374</v>
      </c>
      <c r="X53" t="s">
        <v>618</v>
      </c>
      <c r="Y53">
        <v>11870</v>
      </c>
      <c r="Z53" t="s">
        <v>3530</v>
      </c>
      <c r="AA53" t="s">
        <v>3526</v>
      </c>
      <c r="AB53" t="s">
        <v>32</v>
      </c>
      <c r="AC53" t="s">
        <v>619</v>
      </c>
      <c r="AD53" t="s">
        <v>620</v>
      </c>
      <c r="AE53" t="s">
        <v>33</v>
      </c>
    </row>
    <row r="54" spans="1:31">
      <c r="A54" t="s">
        <v>621</v>
      </c>
      <c r="B54" t="s">
        <v>24</v>
      </c>
      <c r="C54" t="s">
        <v>622</v>
      </c>
      <c r="D54" t="s">
        <v>623</v>
      </c>
      <c r="E54" t="s">
        <v>624</v>
      </c>
      <c r="F54" s="1">
        <v>46078.396377314813</v>
      </c>
      <c r="G54" t="s">
        <v>55</v>
      </c>
      <c r="H54" t="s">
        <v>776</v>
      </c>
      <c r="I54" t="s">
        <v>3666</v>
      </c>
      <c r="J54" t="s">
        <v>44</v>
      </c>
      <c r="K54" t="s">
        <v>300</v>
      </c>
      <c r="L54" t="s">
        <v>46</v>
      </c>
      <c r="M54" t="s">
        <v>454</v>
      </c>
      <c r="N54" t="s">
        <v>488</v>
      </c>
      <c r="O54" t="s">
        <v>86</v>
      </c>
      <c r="P54" s="1">
        <v>46078.398101851853</v>
      </c>
      <c r="Q54" s="1">
        <v>46078.398090277777</v>
      </c>
      <c r="R54" t="s">
        <v>38</v>
      </c>
      <c r="S54" t="s">
        <v>3136</v>
      </c>
      <c r="T54" t="s">
        <v>31</v>
      </c>
      <c r="U54" t="s">
        <v>399</v>
      </c>
      <c r="V54" t="s">
        <v>46</v>
      </c>
      <c r="W54" t="s">
        <v>454</v>
      </c>
      <c r="X54" t="s">
        <v>3116</v>
      </c>
      <c r="Y54" t="s">
        <v>3566</v>
      </c>
      <c r="Z54" t="s">
        <v>3530</v>
      </c>
      <c r="AA54" t="s">
        <v>3526</v>
      </c>
      <c r="AB54" t="s">
        <v>32</v>
      </c>
      <c r="AC54" t="s">
        <v>625</v>
      </c>
      <c r="AD54" t="s">
        <v>626</v>
      </c>
      <c r="AE54" t="s">
        <v>33</v>
      </c>
    </row>
    <row r="55" spans="1:31" hidden="1">
      <c r="A55" t="s">
        <v>631</v>
      </c>
      <c r="B55" t="s">
        <v>34</v>
      </c>
      <c r="C55" t="s">
        <v>632</v>
      </c>
      <c r="D55" t="s">
        <v>66</v>
      </c>
      <c r="E55" t="s">
        <v>633</v>
      </c>
      <c r="F55" s="1">
        <v>46078.384594907409</v>
      </c>
      <c r="G55" t="s">
        <v>26</v>
      </c>
      <c r="H55" t="s">
        <v>776</v>
      </c>
      <c r="I55" t="s">
        <v>3665</v>
      </c>
      <c r="J55" t="s">
        <v>134</v>
      </c>
      <c r="K55" t="s">
        <v>494</v>
      </c>
      <c r="L55" t="s">
        <v>162</v>
      </c>
      <c r="M55" t="s">
        <v>163</v>
      </c>
      <c r="N55" t="s">
        <v>164</v>
      </c>
      <c r="O55" t="s">
        <v>30</v>
      </c>
      <c r="P55" s="1">
        <v>46078.433252314811</v>
      </c>
      <c r="R55" t="s">
        <v>64</v>
      </c>
      <c r="T55" t="s">
        <v>31</v>
      </c>
      <c r="U55" t="s">
        <v>104</v>
      </c>
      <c r="Y55" t="s">
        <v>3568</v>
      </c>
      <c r="Z55" t="s">
        <v>3536</v>
      </c>
      <c r="AB55" t="s">
        <v>32</v>
      </c>
      <c r="AC55" t="s">
        <v>634</v>
      </c>
      <c r="AD55" t="s">
        <v>635</v>
      </c>
      <c r="AE55" t="s">
        <v>33</v>
      </c>
    </row>
    <row r="56" spans="1:31" hidden="1">
      <c r="A56" t="s">
        <v>638</v>
      </c>
      <c r="B56" t="s">
        <v>24</v>
      </c>
      <c r="C56" t="s">
        <v>639</v>
      </c>
      <c r="D56" t="s">
        <v>640</v>
      </c>
      <c r="E56" t="s">
        <v>641</v>
      </c>
      <c r="F56" s="1">
        <v>46078.382708333331</v>
      </c>
      <c r="G56" t="s">
        <v>117</v>
      </c>
      <c r="H56" t="s">
        <v>776</v>
      </c>
      <c r="I56" t="s">
        <v>3668</v>
      </c>
      <c r="J56" t="s">
        <v>134</v>
      </c>
      <c r="K56" t="s">
        <v>642</v>
      </c>
      <c r="L56" t="s">
        <v>46</v>
      </c>
      <c r="M56" t="s">
        <v>365</v>
      </c>
      <c r="N56" t="s">
        <v>366</v>
      </c>
      <c r="O56" t="s">
        <v>37</v>
      </c>
      <c r="P56" s="1">
        <v>46078.39806712963</v>
      </c>
      <c r="Q56" s="1">
        <v>46078.398032407407</v>
      </c>
      <c r="R56" t="s">
        <v>38</v>
      </c>
      <c r="S56" t="e">
        <f>- the issue has been resolved after restarting the laptop</f>
        <v>#NAME?</v>
      </c>
      <c r="T56" t="s">
        <v>180</v>
      </c>
      <c r="U56" t="s">
        <v>266</v>
      </c>
      <c r="V56" t="s">
        <v>46</v>
      </c>
      <c r="W56" t="s">
        <v>582</v>
      </c>
      <c r="X56" t="s">
        <v>3137</v>
      </c>
      <c r="Y56">
        <v>12521</v>
      </c>
      <c r="Z56" t="s">
        <v>3530</v>
      </c>
      <c r="AA56" t="s">
        <v>3526</v>
      </c>
      <c r="AB56" t="s">
        <v>181</v>
      </c>
      <c r="AC56" t="s">
        <v>643</v>
      </c>
      <c r="AD56" t="s">
        <v>644</v>
      </c>
      <c r="AE56" t="s">
        <v>33</v>
      </c>
    </row>
    <row r="57" spans="1:31" hidden="1">
      <c r="A57" t="s">
        <v>647</v>
      </c>
      <c r="B57" t="s">
        <v>24</v>
      </c>
      <c r="C57" t="s">
        <v>648</v>
      </c>
      <c r="D57" t="s">
        <v>649</v>
      </c>
      <c r="E57" t="s">
        <v>650</v>
      </c>
      <c r="F57" s="1">
        <v>46078.373460648145</v>
      </c>
      <c r="G57" t="s">
        <v>153</v>
      </c>
      <c r="H57" t="s">
        <v>776</v>
      </c>
      <c r="I57" t="s">
        <v>3669</v>
      </c>
      <c r="J57" t="s">
        <v>651</v>
      </c>
      <c r="K57" t="s">
        <v>652</v>
      </c>
      <c r="L57" t="s">
        <v>162</v>
      </c>
      <c r="M57" t="s">
        <v>163</v>
      </c>
      <c r="N57" t="s">
        <v>164</v>
      </c>
      <c r="O57" t="s">
        <v>86</v>
      </c>
      <c r="P57" s="1">
        <v>46078.398506944446</v>
      </c>
      <c r="R57" t="s">
        <v>64</v>
      </c>
      <c r="T57" t="s">
        <v>31</v>
      </c>
      <c r="U57" t="s">
        <v>104</v>
      </c>
      <c r="Y57">
        <v>13217</v>
      </c>
      <c r="Z57" t="s">
        <v>3536</v>
      </c>
      <c r="AB57" t="s">
        <v>32</v>
      </c>
      <c r="AC57" t="s">
        <v>653</v>
      </c>
      <c r="AD57" t="s">
        <v>654</v>
      </c>
      <c r="AE57" t="s">
        <v>33</v>
      </c>
    </row>
    <row r="58" spans="1:31">
      <c r="A58" t="s">
        <v>655</v>
      </c>
      <c r="B58" t="s">
        <v>34</v>
      </c>
      <c r="C58" t="s">
        <v>246</v>
      </c>
      <c r="D58" t="s">
        <v>247</v>
      </c>
      <c r="E58" t="s">
        <v>656</v>
      </c>
      <c r="F58" s="1">
        <v>46078.374710648146</v>
      </c>
      <c r="G58" t="s">
        <v>210</v>
      </c>
      <c r="H58" t="s">
        <v>776</v>
      </c>
      <c r="I58" t="s">
        <v>3667</v>
      </c>
      <c r="J58" t="s">
        <v>44</v>
      </c>
      <c r="K58" t="s">
        <v>300</v>
      </c>
      <c r="L58" t="s">
        <v>46</v>
      </c>
      <c r="M58" t="s">
        <v>47</v>
      </c>
      <c r="N58" t="s">
        <v>657</v>
      </c>
      <c r="O58" t="s">
        <v>30</v>
      </c>
      <c r="P58" s="1">
        <v>46078.377789351849</v>
      </c>
      <c r="Q58" s="1">
        <v>46078.375300925924</v>
      </c>
      <c r="R58" t="s">
        <v>38</v>
      </c>
      <c r="S58" t="s">
        <v>3138</v>
      </c>
      <c r="T58" t="s">
        <v>31</v>
      </c>
      <c r="U58" t="s">
        <v>399</v>
      </c>
      <c r="V58" t="s">
        <v>46</v>
      </c>
      <c r="W58" t="s">
        <v>47</v>
      </c>
      <c r="X58" t="s">
        <v>657</v>
      </c>
      <c r="Y58" t="s">
        <v>3546</v>
      </c>
      <c r="Z58" t="s">
        <v>3525</v>
      </c>
      <c r="AA58" t="s">
        <v>3526</v>
      </c>
      <c r="AB58" t="s">
        <v>32</v>
      </c>
      <c r="AC58" t="s">
        <v>248</v>
      </c>
      <c r="AD58" t="s">
        <v>249</v>
      </c>
      <c r="AE58" t="s">
        <v>33</v>
      </c>
    </row>
    <row r="59" spans="1:31">
      <c r="A59" t="s">
        <v>662</v>
      </c>
      <c r="B59" t="s">
        <v>24</v>
      </c>
      <c r="C59" t="s">
        <v>663</v>
      </c>
      <c r="D59" t="s">
        <v>664</v>
      </c>
      <c r="E59" t="s">
        <v>665</v>
      </c>
      <c r="F59" s="1">
        <v>46078.371412037035</v>
      </c>
      <c r="G59" t="s">
        <v>593</v>
      </c>
      <c r="H59" t="s">
        <v>776</v>
      </c>
      <c r="I59" t="s">
        <v>3669</v>
      </c>
      <c r="J59" t="s">
        <v>44</v>
      </c>
      <c r="K59" t="s">
        <v>300</v>
      </c>
      <c r="L59" t="s">
        <v>46</v>
      </c>
      <c r="M59" t="s">
        <v>443</v>
      </c>
      <c r="N59" t="s">
        <v>444</v>
      </c>
      <c r="O59" t="s">
        <v>86</v>
      </c>
      <c r="P59" s="1">
        <v>46078.373287037037</v>
      </c>
      <c r="Q59" s="1">
        <v>46078.372384259259</v>
      </c>
      <c r="R59" t="s">
        <v>38</v>
      </c>
      <c r="S59" t="s">
        <v>3111</v>
      </c>
      <c r="T59" t="s">
        <v>31</v>
      </c>
      <c r="U59" t="s">
        <v>399</v>
      </c>
      <c r="V59" t="s">
        <v>46</v>
      </c>
      <c r="W59" t="s">
        <v>3113</v>
      </c>
      <c r="X59" t="s">
        <v>3112</v>
      </c>
      <c r="Y59">
        <v>15959</v>
      </c>
      <c r="Z59" t="s">
        <v>3530</v>
      </c>
      <c r="AA59" t="s">
        <v>3526</v>
      </c>
      <c r="AB59" t="s">
        <v>32</v>
      </c>
      <c r="AC59" t="s">
        <v>666</v>
      </c>
      <c r="AD59" t="s">
        <v>667</v>
      </c>
      <c r="AE59" t="s">
        <v>33</v>
      </c>
    </row>
    <row r="60" spans="1:31" hidden="1">
      <c r="A60" t="s">
        <v>672</v>
      </c>
      <c r="B60" t="s">
        <v>34</v>
      </c>
      <c r="C60" t="s">
        <v>673</v>
      </c>
      <c r="D60" t="s">
        <v>674</v>
      </c>
      <c r="E60" t="s">
        <v>95</v>
      </c>
      <c r="F60" s="1">
        <v>46078.366180555553</v>
      </c>
      <c r="G60" t="s">
        <v>62</v>
      </c>
      <c r="H60" t="s">
        <v>776</v>
      </c>
      <c r="I60" t="s">
        <v>3668</v>
      </c>
      <c r="J60" t="s">
        <v>134</v>
      </c>
      <c r="K60" t="s">
        <v>675</v>
      </c>
      <c r="L60" t="s">
        <v>162</v>
      </c>
      <c r="M60" t="s">
        <v>163</v>
      </c>
      <c r="N60" t="s">
        <v>164</v>
      </c>
      <c r="O60" t="s">
        <v>30</v>
      </c>
      <c r="P60" s="1">
        <v>46079.33997685185</v>
      </c>
      <c r="R60" t="s">
        <v>90</v>
      </c>
      <c r="T60" t="s">
        <v>31</v>
      </c>
      <c r="U60" t="s">
        <v>104</v>
      </c>
      <c r="Y60" t="s">
        <v>3569</v>
      </c>
      <c r="Z60" t="s">
        <v>3536</v>
      </c>
      <c r="AA60" t="s">
        <v>3570</v>
      </c>
      <c r="AB60" t="s">
        <v>32</v>
      </c>
      <c r="AC60" t="s">
        <v>676</v>
      </c>
      <c r="AD60" t="s">
        <v>677</v>
      </c>
      <c r="AE60" t="s">
        <v>33</v>
      </c>
    </row>
    <row r="61" spans="1:31" hidden="1">
      <c r="A61" t="s">
        <v>678</v>
      </c>
      <c r="B61" t="s">
        <v>34</v>
      </c>
      <c r="C61" t="s">
        <v>246</v>
      </c>
      <c r="D61" t="s">
        <v>247</v>
      </c>
      <c r="E61" t="s">
        <v>679</v>
      </c>
      <c r="F61" s="1">
        <v>46078.36451388889</v>
      </c>
      <c r="G61" t="s">
        <v>210</v>
      </c>
      <c r="H61" t="s">
        <v>776</v>
      </c>
      <c r="I61" t="s">
        <v>3667</v>
      </c>
      <c r="J61" t="s">
        <v>44</v>
      </c>
      <c r="K61" t="s">
        <v>680</v>
      </c>
      <c r="L61" t="s">
        <v>162</v>
      </c>
      <c r="M61" t="s">
        <v>163</v>
      </c>
      <c r="N61" t="s">
        <v>164</v>
      </c>
      <c r="O61" t="s">
        <v>30</v>
      </c>
      <c r="P61" s="1">
        <v>46079.287453703706</v>
      </c>
      <c r="R61" t="s">
        <v>90</v>
      </c>
      <c r="T61" t="s">
        <v>31</v>
      </c>
      <c r="U61" t="s">
        <v>104</v>
      </c>
      <c r="Y61" t="s">
        <v>3546</v>
      </c>
      <c r="Z61" t="s">
        <v>3536</v>
      </c>
      <c r="AA61" t="s">
        <v>3541</v>
      </c>
      <c r="AB61" t="s">
        <v>32</v>
      </c>
      <c r="AC61" t="s">
        <v>248</v>
      </c>
      <c r="AD61" t="s">
        <v>249</v>
      </c>
      <c r="AE61" t="s">
        <v>33</v>
      </c>
    </row>
    <row r="62" spans="1:31" hidden="1">
      <c r="A62" t="s">
        <v>681</v>
      </c>
      <c r="B62" t="s">
        <v>34</v>
      </c>
      <c r="C62" t="s">
        <v>215</v>
      </c>
      <c r="D62" t="s">
        <v>216</v>
      </c>
      <c r="E62" t="s">
        <v>252</v>
      </c>
      <c r="F62" s="1">
        <v>46078.36</v>
      </c>
      <c r="G62" t="s">
        <v>62</v>
      </c>
      <c r="H62" t="s">
        <v>776</v>
      </c>
      <c r="I62" t="s">
        <v>3668</v>
      </c>
      <c r="J62" t="s">
        <v>44</v>
      </c>
      <c r="K62" t="s">
        <v>300</v>
      </c>
      <c r="L62" t="s">
        <v>162</v>
      </c>
      <c r="M62" t="s">
        <v>163</v>
      </c>
      <c r="N62" t="s">
        <v>164</v>
      </c>
      <c r="O62" t="s">
        <v>30</v>
      </c>
      <c r="P62" s="1">
        <v>46079.339421296296</v>
      </c>
      <c r="R62" t="s">
        <v>64</v>
      </c>
      <c r="T62" t="s">
        <v>31</v>
      </c>
      <c r="U62" t="s">
        <v>104</v>
      </c>
      <c r="Y62" t="s">
        <v>3545</v>
      </c>
      <c r="Z62" t="s">
        <v>3536</v>
      </c>
      <c r="AB62" t="s">
        <v>32</v>
      </c>
      <c r="AC62" t="s">
        <v>217</v>
      </c>
      <c r="AD62" t="s">
        <v>218</v>
      </c>
      <c r="AE62" t="s">
        <v>33</v>
      </c>
    </row>
    <row r="63" spans="1:31">
      <c r="A63" t="s">
        <v>683</v>
      </c>
      <c r="B63" t="s">
        <v>34</v>
      </c>
      <c r="C63" t="s">
        <v>684</v>
      </c>
      <c r="D63" t="s">
        <v>685</v>
      </c>
      <c r="E63" t="s">
        <v>608</v>
      </c>
      <c r="F63" s="1">
        <v>46078.36613425926</v>
      </c>
      <c r="G63" t="s">
        <v>77</v>
      </c>
      <c r="H63" t="s">
        <v>776</v>
      </c>
      <c r="I63" t="s">
        <v>3669</v>
      </c>
      <c r="J63" t="s">
        <v>44</v>
      </c>
      <c r="K63" t="s">
        <v>205</v>
      </c>
      <c r="L63" t="s">
        <v>46</v>
      </c>
      <c r="M63" t="s">
        <v>379</v>
      </c>
      <c r="N63" t="s">
        <v>379</v>
      </c>
      <c r="O63" t="s">
        <v>30</v>
      </c>
      <c r="P63" s="1">
        <v>46078.366469907407</v>
      </c>
      <c r="Q63" s="1">
        <v>46078.366435185184</v>
      </c>
      <c r="R63" t="s">
        <v>38</v>
      </c>
      <c r="S63" t="s">
        <v>3139</v>
      </c>
      <c r="T63" t="s">
        <v>31</v>
      </c>
      <c r="U63" t="s">
        <v>206</v>
      </c>
      <c r="V63" t="s">
        <v>46</v>
      </c>
      <c r="W63" t="s">
        <v>379</v>
      </c>
      <c r="X63" t="s">
        <v>379</v>
      </c>
      <c r="Y63" t="s">
        <v>3571</v>
      </c>
      <c r="Z63" t="s">
        <v>3530</v>
      </c>
      <c r="AA63" t="s">
        <v>3526</v>
      </c>
      <c r="AB63" t="s">
        <v>32</v>
      </c>
      <c r="AC63" t="s">
        <v>686</v>
      </c>
      <c r="AD63" t="s">
        <v>687</v>
      </c>
      <c r="AE63" t="s">
        <v>33</v>
      </c>
    </row>
    <row r="64" spans="1:31">
      <c r="A64" t="s">
        <v>689</v>
      </c>
      <c r="B64" t="s">
        <v>34</v>
      </c>
      <c r="C64" t="s">
        <v>690</v>
      </c>
      <c r="D64" t="s">
        <v>691</v>
      </c>
      <c r="E64" t="s">
        <v>692</v>
      </c>
      <c r="F64" s="1">
        <v>46078.35527777778</v>
      </c>
      <c r="G64" t="s">
        <v>426</v>
      </c>
      <c r="H64" t="s">
        <v>776</v>
      </c>
      <c r="I64" t="s">
        <v>3772</v>
      </c>
      <c r="J64" t="s">
        <v>44</v>
      </c>
      <c r="K64" t="s">
        <v>300</v>
      </c>
      <c r="L64" t="s">
        <v>46</v>
      </c>
      <c r="M64" t="s">
        <v>379</v>
      </c>
      <c r="N64" t="s">
        <v>379</v>
      </c>
      <c r="O64" t="s">
        <v>30</v>
      </c>
      <c r="P64" s="1">
        <v>46078.357233796298</v>
      </c>
      <c r="Q64" s="1">
        <v>46078.355416666665</v>
      </c>
      <c r="R64" t="s">
        <v>38</v>
      </c>
      <c r="S64" t="s">
        <v>3140</v>
      </c>
      <c r="T64" t="s">
        <v>31</v>
      </c>
      <c r="U64" t="s">
        <v>399</v>
      </c>
      <c r="V64" t="s">
        <v>46</v>
      </c>
      <c r="W64" t="s">
        <v>379</v>
      </c>
      <c r="X64" t="s">
        <v>379</v>
      </c>
      <c r="Y64">
        <v>15821</v>
      </c>
      <c r="Z64" t="s">
        <v>3530</v>
      </c>
      <c r="AA64" t="s">
        <v>3526</v>
      </c>
      <c r="AB64" t="s">
        <v>32</v>
      </c>
      <c r="AC64" t="s">
        <v>693</v>
      </c>
      <c r="AD64" t="s">
        <v>694</v>
      </c>
      <c r="AE64" t="s">
        <v>33</v>
      </c>
    </row>
    <row r="65" spans="1:31" hidden="1">
      <c r="A65" t="s">
        <v>695</v>
      </c>
      <c r="B65" t="s">
        <v>24</v>
      </c>
      <c r="C65" t="s">
        <v>696</v>
      </c>
      <c r="D65" t="s">
        <v>697</v>
      </c>
      <c r="E65" t="s">
        <v>698</v>
      </c>
      <c r="F65" s="1">
        <v>46078.343194444446</v>
      </c>
      <c r="G65" t="s">
        <v>67</v>
      </c>
      <c r="H65" t="s">
        <v>776</v>
      </c>
      <c r="I65" t="s">
        <v>3671</v>
      </c>
      <c r="J65" t="s">
        <v>44</v>
      </c>
      <c r="K65" t="s">
        <v>699</v>
      </c>
      <c r="L65" t="s">
        <v>162</v>
      </c>
      <c r="M65" t="s">
        <v>163</v>
      </c>
      <c r="N65" t="s">
        <v>164</v>
      </c>
      <c r="O65" t="s">
        <v>86</v>
      </c>
      <c r="P65" s="1">
        <v>46079.332974537036</v>
      </c>
      <c r="R65" t="s">
        <v>90</v>
      </c>
      <c r="T65" t="s">
        <v>31</v>
      </c>
      <c r="U65" t="s">
        <v>104</v>
      </c>
      <c r="Y65">
        <v>15660</v>
      </c>
      <c r="Z65" t="s">
        <v>3536</v>
      </c>
      <c r="AA65" t="s">
        <v>3541</v>
      </c>
      <c r="AB65" t="s">
        <v>32</v>
      </c>
      <c r="AC65" t="s">
        <v>700</v>
      </c>
      <c r="AD65" t="s">
        <v>701</v>
      </c>
      <c r="AE65" t="s">
        <v>33</v>
      </c>
    </row>
    <row r="66" spans="1:31">
      <c r="A66" t="s">
        <v>707</v>
      </c>
      <c r="B66" t="s">
        <v>34</v>
      </c>
      <c r="C66" t="s">
        <v>708</v>
      </c>
      <c r="D66" t="s">
        <v>709</v>
      </c>
      <c r="E66" t="s">
        <v>252</v>
      </c>
      <c r="F66" s="1">
        <v>46078.335844907408</v>
      </c>
      <c r="G66" t="s">
        <v>153</v>
      </c>
      <c r="H66" t="s">
        <v>776</v>
      </c>
      <c r="I66" t="s">
        <v>3669</v>
      </c>
      <c r="J66" t="s">
        <v>44</v>
      </c>
      <c r="K66" t="s">
        <v>179</v>
      </c>
      <c r="L66" t="s">
        <v>162</v>
      </c>
      <c r="M66" t="s">
        <v>163</v>
      </c>
      <c r="N66" t="s">
        <v>164</v>
      </c>
      <c r="O66" t="s">
        <v>30</v>
      </c>
      <c r="P66" s="1">
        <v>46078.442372685182</v>
      </c>
      <c r="Q66" s="1">
        <v>46078.442291666666</v>
      </c>
      <c r="R66" t="s">
        <v>38</v>
      </c>
      <c r="S66" t="s">
        <v>3141</v>
      </c>
      <c r="T66" t="s">
        <v>31</v>
      </c>
      <c r="U66" t="s">
        <v>104</v>
      </c>
      <c r="V66" t="s">
        <v>46</v>
      </c>
      <c r="W66" t="s">
        <v>515</v>
      </c>
      <c r="X66" t="s">
        <v>3120</v>
      </c>
      <c r="Y66" t="s">
        <v>3572</v>
      </c>
      <c r="Z66" t="s">
        <v>3536</v>
      </c>
      <c r="AA66" t="s">
        <v>3526</v>
      </c>
      <c r="AB66" t="s">
        <v>32</v>
      </c>
      <c r="AC66" t="s">
        <v>710</v>
      </c>
      <c r="AD66" t="s">
        <v>711</v>
      </c>
      <c r="AE66" t="s">
        <v>33</v>
      </c>
    </row>
    <row r="67" spans="1:31" hidden="1">
      <c r="A67" t="s">
        <v>712</v>
      </c>
      <c r="B67" t="s">
        <v>34</v>
      </c>
      <c r="C67" t="s">
        <v>713</v>
      </c>
      <c r="D67" t="s">
        <v>714</v>
      </c>
      <c r="E67" t="s">
        <v>252</v>
      </c>
      <c r="F67" s="1">
        <v>46078.33390046296</v>
      </c>
      <c r="G67" t="s">
        <v>77</v>
      </c>
      <c r="H67" t="s">
        <v>776</v>
      </c>
      <c r="I67" t="s">
        <v>3669</v>
      </c>
      <c r="J67" t="s">
        <v>44</v>
      </c>
      <c r="K67" t="s">
        <v>253</v>
      </c>
      <c r="L67" t="s">
        <v>162</v>
      </c>
      <c r="M67" t="s">
        <v>163</v>
      </c>
      <c r="N67" t="s">
        <v>164</v>
      </c>
      <c r="O67" t="s">
        <v>30</v>
      </c>
      <c r="P67" s="1">
        <v>46079.339236111111</v>
      </c>
      <c r="R67" t="s">
        <v>64</v>
      </c>
      <c r="T67" t="s">
        <v>31</v>
      </c>
      <c r="U67" t="s">
        <v>104</v>
      </c>
      <c r="Y67" t="s">
        <v>3573</v>
      </c>
      <c r="Z67" t="s">
        <v>3536</v>
      </c>
      <c r="AB67" t="s">
        <v>32</v>
      </c>
      <c r="AC67" t="s">
        <v>715</v>
      </c>
      <c r="AD67" t="s">
        <v>716</v>
      </c>
      <c r="AE67" t="s">
        <v>33</v>
      </c>
    </row>
    <row r="68" spans="1:31">
      <c r="A68" t="s">
        <v>717</v>
      </c>
      <c r="B68" t="s">
        <v>34</v>
      </c>
      <c r="C68" t="s">
        <v>718</v>
      </c>
      <c r="D68" t="s">
        <v>719</v>
      </c>
      <c r="E68" t="s">
        <v>252</v>
      </c>
      <c r="F68" s="1">
        <v>46078.33320601852</v>
      </c>
      <c r="G68" t="s">
        <v>153</v>
      </c>
      <c r="H68" t="s">
        <v>776</v>
      </c>
      <c r="I68" t="s">
        <v>3669</v>
      </c>
      <c r="J68" t="s">
        <v>44</v>
      </c>
      <c r="K68" t="s">
        <v>290</v>
      </c>
      <c r="L68" t="s">
        <v>162</v>
      </c>
      <c r="M68" t="s">
        <v>163</v>
      </c>
      <c r="N68" t="s">
        <v>164</v>
      </c>
      <c r="O68" t="s">
        <v>30</v>
      </c>
      <c r="P68" s="1">
        <v>46078.533692129633</v>
      </c>
      <c r="Q68" s="1">
        <v>46078.533668981479</v>
      </c>
      <c r="R68" t="s">
        <v>38</v>
      </c>
      <c r="S68" t="s">
        <v>3142</v>
      </c>
      <c r="T68" t="s">
        <v>31</v>
      </c>
      <c r="U68" t="s">
        <v>104</v>
      </c>
      <c r="V68" t="s">
        <v>46</v>
      </c>
      <c r="W68" t="s">
        <v>515</v>
      </c>
      <c r="X68" t="s">
        <v>3143</v>
      </c>
      <c r="Y68" t="s">
        <v>3574</v>
      </c>
      <c r="Z68" t="s">
        <v>3536</v>
      </c>
      <c r="AA68" t="s">
        <v>3526</v>
      </c>
      <c r="AB68" t="s">
        <v>32</v>
      </c>
      <c r="AC68" t="s">
        <v>720</v>
      </c>
      <c r="AD68" t="s">
        <v>721</v>
      </c>
      <c r="AE68" t="s">
        <v>33</v>
      </c>
    </row>
    <row r="69" spans="1:31" hidden="1">
      <c r="A69" t="s">
        <v>722</v>
      </c>
      <c r="B69" t="s">
        <v>24</v>
      </c>
      <c r="C69" t="s">
        <v>723</v>
      </c>
      <c r="D69" t="s">
        <v>724</v>
      </c>
      <c r="E69" t="s">
        <v>725</v>
      </c>
      <c r="F69" s="1">
        <v>46078.274363425924</v>
      </c>
      <c r="G69" t="s">
        <v>298</v>
      </c>
      <c r="H69" t="s">
        <v>776</v>
      </c>
      <c r="I69" t="s">
        <v>3669</v>
      </c>
      <c r="J69" t="s">
        <v>134</v>
      </c>
      <c r="K69" t="s">
        <v>494</v>
      </c>
      <c r="L69" t="s">
        <v>46</v>
      </c>
      <c r="M69" t="s">
        <v>197</v>
      </c>
      <c r="N69" t="s">
        <v>725</v>
      </c>
      <c r="O69" t="s">
        <v>284</v>
      </c>
      <c r="P69" s="1">
        <v>46078.360844907409</v>
      </c>
      <c r="Q69" s="1">
        <v>46078.360798611109</v>
      </c>
      <c r="R69" t="s">
        <v>38</v>
      </c>
      <c r="S69" t="e">
        <f>- A hard power reset was performed and the laptop restarted successfully. - the issue has been resolved, and the device is now functioning normally.</f>
        <v>#NAME?</v>
      </c>
      <c r="T69" t="s">
        <v>31</v>
      </c>
      <c r="U69" t="s">
        <v>726</v>
      </c>
      <c r="V69" t="s">
        <v>46</v>
      </c>
      <c r="W69" t="s">
        <v>197</v>
      </c>
      <c r="X69" t="s">
        <v>725</v>
      </c>
      <c r="Y69" t="s">
        <v>3575</v>
      </c>
      <c r="Z69" t="s">
        <v>3530</v>
      </c>
      <c r="AA69" t="s">
        <v>3526</v>
      </c>
      <c r="AB69" t="s">
        <v>32</v>
      </c>
      <c r="AC69" t="s">
        <v>727</v>
      </c>
      <c r="AD69" t="s">
        <v>728</v>
      </c>
      <c r="AE69" t="s">
        <v>33</v>
      </c>
    </row>
    <row r="70" spans="1:31">
      <c r="A70" t="s">
        <v>729</v>
      </c>
      <c r="B70" t="s">
        <v>34</v>
      </c>
      <c r="C70" t="s">
        <v>730</v>
      </c>
      <c r="D70" t="s">
        <v>731</v>
      </c>
      <c r="E70" t="s">
        <v>732</v>
      </c>
      <c r="F70" s="1">
        <v>46078.264421296299</v>
      </c>
      <c r="G70" t="s">
        <v>85</v>
      </c>
      <c r="H70" t="s">
        <v>776</v>
      </c>
      <c r="I70" t="s">
        <v>3668</v>
      </c>
      <c r="J70" t="s">
        <v>44</v>
      </c>
      <c r="K70" t="s">
        <v>733</v>
      </c>
      <c r="L70" t="s">
        <v>46</v>
      </c>
      <c r="M70" t="s">
        <v>188</v>
      </c>
      <c r="N70" t="s">
        <v>431</v>
      </c>
      <c r="O70" t="s">
        <v>30</v>
      </c>
      <c r="P70" s="1">
        <v>46078.97384259259</v>
      </c>
      <c r="Q70" s="1">
        <v>46078.97383101852</v>
      </c>
      <c r="R70" t="s">
        <v>38</v>
      </c>
      <c r="S70" t="s">
        <v>3146</v>
      </c>
      <c r="T70" t="s">
        <v>31</v>
      </c>
      <c r="U70" t="s">
        <v>726</v>
      </c>
      <c r="V70" t="s">
        <v>46</v>
      </c>
      <c r="W70" t="s">
        <v>188</v>
      </c>
      <c r="X70" t="s">
        <v>431</v>
      </c>
      <c r="Y70" t="s">
        <v>3576</v>
      </c>
      <c r="Z70" t="s">
        <v>3530</v>
      </c>
      <c r="AA70" t="s">
        <v>3526</v>
      </c>
      <c r="AB70" t="s">
        <v>32</v>
      </c>
      <c r="AC70" t="s">
        <v>734</v>
      </c>
      <c r="AD70" t="s">
        <v>735</v>
      </c>
      <c r="AE70" t="s">
        <v>33</v>
      </c>
    </row>
    <row r="71" spans="1:31">
      <c r="A71" t="s">
        <v>736</v>
      </c>
      <c r="B71" t="s">
        <v>34</v>
      </c>
      <c r="C71" t="s">
        <v>737</v>
      </c>
      <c r="D71" t="s">
        <v>738</v>
      </c>
      <c r="E71" t="s">
        <v>109</v>
      </c>
      <c r="F71" s="1">
        <v>46078.263055555559</v>
      </c>
      <c r="G71" t="s">
        <v>153</v>
      </c>
      <c r="H71" t="s">
        <v>776</v>
      </c>
      <c r="I71" t="s">
        <v>3669</v>
      </c>
      <c r="J71" t="s">
        <v>44</v>
      </c>
      <c r="K71" t="s">
        <v>733</v>
      </c>
      <c r="L71" t="s">
        <v>46</v>
      </c>
      <c r="M71" t="s">
        <v>110</v>
      </c>
      <c r="N71" t="s">
        <v>111</v>
      </c>
      <c r="O71" t="s">
        <v>30</v>
      </c>
      <c r="P71" s="1">
        <v>46078.263171296298</v>
      </c>
      <c r="Q71" s="1">
        <v>46078.263159722221</v>
      </c>
      <c r="R71" t="s">
        <v>38</v>
      </c>
      <c r="S71" t="s">
        <v>3147</v>
      </c>
      <c r="T71" t="s">
        <v>31</v>
      </c>
      <c r="U71" t="s">
        <v>726</v>
      </c>
      <c r="V71" t="s">
        <v>46</v>
      </c>
      <c r="W71" t="s">
        <v>110</v>
      </c>
      <c r="X71" t="s">
        <v>111</v>
      </c>
      <c r="Y71" t="s">
        <v>3577</v>
      </c>
      <c r="Z71" t="s">
        <v>3530</v>
      </c>
      <c r="AA71" t="s">
        <v>3526</v>
      </c>
      <c r="AB71" t="s">
        <v>32</v>
      </c>
      <c r="AC71" t="s">
        <v>740</v>
      </c>
      <c r="AD71" t="s">
        <v>741</v>
      </c>
      <c r="AE71" t="s">
        <v>33</v>
      </c>
    </row>
    <row r="72" spans="1:31">
      <c r="A72" t="s">
        <v>743</v>
      </c>
      <c r="B72" t="s">
        <v>34</v>
      </c>
      <c r="C72" t="s">
        <v>744</v>
      </c>
      <c r="D72" t="s">
        <v>745</v>
      </c>
      <c r="E72" t="s">
        <v>746</v>
      </c>
      <c r="F72" s="1">
        <v>46078.19703703704</v>
      </c>
      <c r="G72" t="s">
        <v>74</v>
      </c>
      <c r="H72" t="s">
        <v>776</v>
      </c>
      <c r="I72" t="s">
        <v>3665</v>
      </c>
      <c r="J72" t="s">
        <v>44</v>
      </c>
      <c r="K72" t="s">
        <v>733</v>
      </c>
      <c r="L72" t="s">
        <v>46</v>
      </c>
      <c r="M72" t="s">
        <v>379</v>
      </c>
      <c r="N72" t="s">
        <v>379</v>
      </c>
      <c r="O72" t="s">
        <v>30</v>
      </c>
      <c r="P72" s="1">
        <v>46078.198483796295</v>
      </c>
      <c r="Q72" s="1">
        <v>46078.19736111111</v>
      </c>
      <c r="R72" t="s">
        <v>38</v>
      </c>
      <c r="S72" t="s">
        <v>746</v>
      </c>
      <c r="T72" t="s">
        <v>31</v>
      </c>
      <c r="U72" t="s">
        <v>726</v>
      </c>
      <c r="V72" t="s">
        <v>46</v>
      </c>
      <c r="W72" t="s">
        <v>379</v>
      </c>
      <c r="X72" t="s">
        <v>379</v>
      </c>
      <c r="Y72" t="s">
        <v>3578</v>
      </c>
      <c r="Z72" t="s">
        <v>3530</v>
      </c>
      <c r="AA72" t="s">
        <v>3526</v>
      </c>
      <c r="AB72" t="s">
        <v>32</v>
      </c>
      <c r="AC72" t="s">
        <v>747</v>
      </c>
      <c r="AD72" t="s">
        <v>748</v>
      </c>
      <c r="AE72" t="s">
        <v>33</v>
      </c>
    </row>
    <row r="73" spans="1:31" hidden="1">
      <c r="A73" t="s">
        <v>749</v>
      </c>
      <c r="B73" t="s">
        <v>34</v>
      </c>
      <c r="C73" t="s">
        <v>334</v>
      </c>
      <c r="D73" t="s">
        <v>335</v>
      </c>
      <c r="E73" t="s">
        <v>750</v>
      </c>
      <c r="F73" s="1">
        <v>46078.178680555553</v>
      </c>
      <c r="G73" t="s">
        <v>336</v>
      </c>
      <c r="H73" t="s">
        <v>776</v>
      </c>
      <c r="I73" t="s">
        <v>3668</v>
      </c>
      <c r="J73" t="s">
        <v>134</v>
      </c>
      <c r="K73" t="s">
        <v>320</v>
      </c>
      <c r="L73" t="s">
        <v>46</v>
      </c>
      <c r="M73" t="s">
        <v>751</v>
      </c>
      <c r="N73" t="s">
        <v>752</v>
      </c>
      <c r="O73" t="s">
        <v>30</v>
      </c>
      <c r="P73" s="1">
        <v>46078.351944444446</v>
      </c>
      <c r="Q73" s="1">
        <v>46078.351886574077</v>
      </c>
      <c r="R73" t="s">
        <v>38</v>
      </c>
      <c r="S73" t="e">
        <f>- Cleaned / deleted Quarantined items. - deleted temporary files, temporary internet files and cookies. - Ran SEP Active scan. - Completed successfully</f>
        <v>#NAME?</v>
      </c>
      <c r="T73" t="s">
        <v>31</v>
      </c>
      <c r="U73" t="s">
        <v>726</v>
      </c>
      <c r="V73" t="s">
        <v>46</v>
      </c>
      <c r="W73" t="s">
        <v>751</v>
      </c>
      <c r="X73" t="s">
        <v>752</v>
      </c>
      <c r="Z73" t="s">
        <v>3525</v>
      </c>
      <c r="AA73" t="s">
        <v>3526</v>
      </c>
      <c r="AB73" t="s">
        <v>32</v>
      </c>
      <c r="AC73" t="s">
        <v>339</v>
      </c>
      <c r="AD73" t="s">
        <v>340</v>
      </c>
      <c r="AE73" t="s">
        <v>33</v>
      </c>
    </row>
    <row r="74" spans="1:31" hidden="1">
      <c r="A74" t="s">
        <v>753</v>
      </c>
      <c r="B74" t="s">
        <v>34</v>
      </c>
      <c r="C74" t="s">
        <v>334</v>
      </c>
      <c r="D74" t="s">
        <v>335</v>
      </c>
      <c r="E74" t="s">
        <v>750</v>
      </c>
      <c r="F74" s="1">
        <v>46078.178657407407</v>
      </c>
      <c r="G74" t="s">
        <v>336</v>
      </c>
      <c r="H74" t="s">
        <v>776</v>
      </c>
      <c r="I74" t="s">
        <v>3668</v>
      </c>
      <c r="J74" t="s">
        <v>134</v>
      </c>
      <c r="K74" t="s">
        <v>494</v>
      </c>
      <c r="L74" t="s">
        <v>46</v>
      </c>
      <c r="M74" t="s">
        <v>751</v>
      </c>
      <c r="N74" t="s">
        <v>752</v>
      </c>
      <c r="O74" t="s">
        <v>30</v>
      </c>
      <c r="P74" s="1">
        <v>46078.548020833332</v>
      </c>
      <c r="Q74" s="1">
        <v>46078.548009259262</v>
      </c>
      <c r="R74" t="s">
        <v>38</v>
      </c>
      <c r="S74" t="s">
        <v>3148</v>
      </c>
      <c r="T74" t="s">
        <v>31</v>
      </c>
      <c r="U74" t="s">
        <v>726</v>
      </c>
      <c r="V74" t="s">
        <v>46</v>
      </c>
      <c r="W74" t="s">
        <v>274</v>
      </c>
      <c r="X74" t="s">
        <v>275</v>
      </c>
      <c r="Z74" t="s">
        <v>3525</v>
      </c>
      <c r="AA74" t="s">
        <v>3526</v>
      </c>
      <c r="AB74" t="s">
        <v>32</v>
      </c>
      <c r="AC74" t="s">
        <v>339</v>
      </c>
      <c r="AD74" t="s">
        <v>340</v>
      </c>
      <c r="AE74" t="s">
        <v>33</v>
      </c>
    </row>
    <row r="75" spans="1:31" hidden="1">
      <c r="A75" t="s">
        <v>761</v>
      </c>
      <c r="B75" t="s">
        <v>34</v>
      </c>
      <c r="C75" t="s">
        <v>762</v>
      </c>
      <c r="D75" t="s">
        <v>763</v>
      </c>
      <c r="E75" t="s">
        <v>764</v>
      </c>
      <c r="F75" s="1">
        <v>46078.034328703703</v>
      </c>
      <c r="G75" t="s">
        <v>153</v>
      </c>
      <c r="H75" t="s">
        <v>776</v>
      </c>
      <c r="I75" t="s">
        <v>3669</v>
      </c>
      <c r="J75" t="s">
        <v>134</v>
      </c>
      <c r="K75" t="s">
        <v>765</v>
      </c>
      <c r="L75" t="s">
        <v>46</v>
      </c>
      <c r="M75" t="s">
        <v>274</v>
      </c>
      <c r="N75" t="s">
        <v>275</v>
      </c>
      <c r="O75" t="s">
        <v>30</v>
      </c>
      <c r="P75" s="1">
        <v>46079.287430555552</v>
      </c>
      <c r="R75" t="s">
        <v>90</v>
      </c>
      <c r="T75" t="s">
        <v>31</v>
      </c>
      <c r="U75" t="s">
        <v>726</v>
      </c>
      <c r="Y75" t="s">
        <v>3579</v>
      </c>
      <c r="Z75" t="s">
        <v>3525</v>
      </c>
      <c r="AA75" t="s">
        <v>3541</v>
      </c>
      <c r="AB75" t="s">
        <v>32</v>
      </c>
      <c r="AC75" t="s">
        <v>766</v>
      </c>
      <c r="AD75" t="s">
        <v>767</v>
      </c>
      <c r="AE75" t="s">
        <v>33</v>
      </c>
    </row>
    <row r="76" spans="1:31" hidden="1">
      <c r="A76" t="s">
        <v>768</v>
      </c>
      <c r="B76" t="s">
        <v>34</v>
      </c>
      <c r="C76" t="s">
        <v>769</v>
      </c>
      <c r="D76" t="s">
        <v>770</v>
      </c>
      <c r="E76" t="s">
        <v>771</v>
      </c>
      <c r="F76" s="1">
        <v>46078.025578703702</v>
      </c>
      <c r="G76" t="s">
        <v>62</v>
      </c>
      <c r="H76" t="s">
        <v>776</v>
      </c>
      <c r="I76" t="s">
        <v>3668</v>
      </c>
      <c r="J76" t="s">
        <v>651</v>
      </c>
      <c r="K76" t="s">
        <v>772</v>
      </c>
      <c r="L76" t="s">
        <v>46</v>
      </c>
      <c r="M76" t="s">
        <v>751</v>
      </c>
      <c r="N76" t="s">
        <v>752</v>
      </c>
      <c r="O76" t="s">
        <v>30</v>
      </c>
      <c r="P76" s="1">
        <v>46078.043877314813</v>
      </c>
      <c r="Q76" s="1">
        <v>46078.043738425928</v>
      </c>
      <c r="R76" t="s">
        <v>38</v>
      </c>
      <c r="S76" t="s">
        <v>3149</v>
      </c>
      <c r="T76" t="s">
        <v>31</v>
      </c>
      <c r="U76" t="s">
        <v>726</v>
      </c>
      <c r="V76" t="s">
        <v>46</v>
      </c>
      <c r="W76" t="s">
        <v>751</v>
      </c>
      <c r="X76" t="s">
        <v>752</v>
      </c>
      <c r="Y76" t="s">
        <v>3580</v>
      </c>
      <c r="Z76" t="s">
        <v>3525</v>
      </c>
      <c r="AA76" t="s">
        <v>3529</v>
      </c>
      <c r="AB76" t="s">
        <v>32</v>
      </c>
      <c r="AC76" t="s">
        <v>773</v>
      </c>
      <c r="AD76" t="s">
        <v>774</v>
      </c>
      <c r="AE76" t="s">
        <v>33</v>
      </c>
    </row>
    <row r="77" spans="1:31">
      <c r="A77" t="s">
        <v>775</v>
      </c>
      <c r="B77" t="s">
        <v>34</v>
      </c>
      <c r="C77" t="s">
        <v>106</v>
      </c>
      <c r="D77" t="s">
        <v>107</v>
      </c>
      <c r="E77" t="s">
        <v>109</v>
      </c>
      <c r="F77" s="1">
        <v>46077.987071759257</v>
      </c>
      <c r="G77" t="s">
        <v>108</v>
      </c>
      <c r="H77" t="s">
        <v>776</v>
      </c>
      <c r="I77" t="s">
        <v>3666</v>
      </c>
      <c r="J77" t="s">
        <v>44</v>
      </c>
      <c r="K77" t="s">
        <v>733</v>
      </c>
      <c r="L77" t="s">
        <v>46</v>
      </c>
      <c r="M77" t="s">
        <v>110</v>
      </c>
      <c r="N77" t="s">
        <v>111</v>
      </c>
      <c r="O77" t="s">
        <v>30</v>
      </c>
      <c r="P77" s="1">
        <v>46077.988518518519</v>
      </c>
      <c r="Q77" s="1">
        <v>46077.987280092595</v>
      </c>
      <c r="R77" t="s">
        <v>38</v>
      </c>
      <c r="S77" t="s">
        <v>3150</v>
      </c>
      <c r="T77" t="s">
        <v>31</v>
      </c>
      <c r="U77" t="s">
        <v>726</v>
      </c>
      <c r="V77" t="s">
        <v>46</v>
      </c>
      <c r="W77" t="s">
        <v>110</v>
      </c>
      <c r="X77" t="s">
        <v>111</v>
      </c>
      <c r="Y77" t="s">
        <v>3537</v>
      </c>
      <c r="Z77" t="s">
        <v>3530</v>
      </c>
      <c r="AA77" t="s">
        <v>3526</v>
      </c>
      <c r="AB77" t="s">
        <v>32</v>
      </c>
      <c r="AC77" t="s">
        <v>112</v>
      </c>
      <c r="AD77" t="s">
        <v>113</v>
      </c>
      <c r="AE77" t="s">
        <v>33</v>
      </c>
    </row>
    <row r="78" spans="1:31">
      <c r="A78" t="s">
        <v>782</v>
      </c>
      <c r="B78" t="s">
        <v>34</v>
      </c>
      <c r="C78" t="s">
        <v>241</v>
      </c>
      <c r="D78" t="s">
        <v>221</v>
      </c>
      <c r="E78" t="s">
        <v>783</v>
      </c>
      <c r="F78" s="1">
        <v>46077.938217592593</v>
      </c>
      <c r="G78" t="s">
        <v>67</v>
      </c>
      <c r="H78" t="s">
        <v>776</v>
      </c>
      <c r="I78" t="s">
        <v>3671</v>
      </c>
      <c r="J78" t="s">
        <v>44</v>
      </c>
      <c r="K78" t="s">
        <v>45</v>
      </c>
      <c r="L78" t="s">
        <v>46</v>
      </c>
      <c r="M78" t="s">
        <v>784</v>
      </c>
      <c r="N78" t="s">
        <v>785</v>
      </c>
      <c r="O78" t="s">
        <v>30</v>
      </c>
      <c r="P78" s="1">
        <v>46077.943877314814</v>
      </c>
      <c r="Q78" s="1">
        <v>46077.943854166668</v>
      </c>
      <c r="R78" t="s">
        <v>38</v>
      </c>
      <c r="S78" t="s">
        <v>3151</v>
      </c>
      <c r="T78" t="s">
        <v>31</v>
      </c>
      <c r="U78" t="s">
        <v>49</v>
      </c>
      <c r="V78" t="s">
        <v>46</v>
      </c>
      <c r="W78" t="s">
        <v>784</v>
      </c>
      <c r="X78" t="s">
        <v>785</v>
      </c>
      <c r="Y78">
        <v>14364</v>
      </c>
      <c r="Z78" t="s">
        <v>3530</v>
      </c>
      <c r="AA78" t="s">
        <v>3526</v>
      </c>
      <c r="AB78" t="s">
        <v>32</v>
      </c>
      <c r="AC78" t="s">
        <v>786</v>
      </c>
      <c r="AD78" t="s">
        <v>787</v>
      </c>
      <c r="AE78" t="s">
        <v>33</v>
      </c>
    </row>
    <row r="79" spans="1:31">
      <c r="A79" t="s">
        <v>788</v>
      </c>
      <c r="B79" t="s">
        <v>34</v>
      </c>
      <c r="C79" t="s">
        <v>357</v>
      </c>
      <c r="D79" t="s">
        <v>358</v>
      </c>
      <c r="E79" t="s">
        <v>789</v>
      </c>
      <c r="F79" s="1">
        <v>46077.937349537038</v>
      </c>
      <c r="G79" t="s">
        <v>117</v>
      </c>
      <c r="H79" t="s">
        <v>776</v>
      </c>
      <c r="I79" t="s">
        <v>3668</v>
      </c>
      <c r="J79" t="s">
        <v>44</v>
      </c>
      <c r="K79" t="s">
        <v>45</v>
      </c>
      <c r="L79" t="s">
        <v>46</v>
      </c>
      <c r="M79" t="s">
        <v>379</v>
      </c>
      <c r="N79" t="s">
        <v>379</v>
      </c>
      <c r="O79" t="s">
        <v>30</v>
      </c>
      <c r="P79" s="1">
        <v>46077.943414351852</v>
      </c>
      <c r="Q79" s="1">
        <v>46077.943391203706</v>
      </c>
      <c r="R79" t="s">
        <v>38</v>
      </c>
      <c r="S79" t="s">
        <v>3152</v>
      </c>
      <c r="T79" t="s">
        <v>31</v>
      </c>
      <c r="U79" t="s">
        <v>49</v>
      </c>
      <c r="V79" t="s">
        <v>46</v>
      </c>
      <c r="W79" t="s">
        <v>379</v>
      </c>
      <c r="X79" t="s">
        <v>379</v>
      </c>
      <c r="Y79">
        <v>11843</v>
      </c>
      <c r="Z79" t="s">
        <v>3530</v>
      </c>
      <c r="AA79" t="s">
        <v>3526</v>
      </c>
      <c r="AB79" t="s">
        <v>32</v>
      </c>
      <c r="AC79" t="s">
        <v>359</v>
      </c>
      <c r="AD79" t="s">
        <v>360</v>
      </c>
      <c r="AE79" t="s">
        <v>33</v>
      </c>
    </row>
    <row r="80" spans="1:31">
      <c r="A80" t="s">
        <v>790</v>
      </c>
      <c r="B80" t="s">
        <v>24</v>
      </c>
      <c r="C80" t="s">
        <v>758</v>
      </c>
      <c r="D80" t="s">
        <v>235</v>
      </c>
      <c r="E80" t="s">
        <v>791</v>
      </c>
      <c r="F80" s="1">
        <v>46077.936412037037</v>
      </c>
      <c r="G80" t="s">
        <v>186</v>
      </c>
      <c r="H80" t="s">
        <v>776</v>
      </c>
      <c r="I80" t="s">
        <v>3667</v>
      </c>
      <c r="J80" t="s">
        <v>44</v>
      </c>
      <c r="K80" t="s">
        <v>45</v>
      </c>
      <c r="L80" t="s">
        <v>46</v>
      </c>
      <c r="M80" t="s">
        <v>443</v>
      </c>
      <c r="N80" t="s">
        <v>792</v>
      </c>
      <c r="O80" t="s">
        <v>86</v>
      </c>
      <c r="P80" s="1">
        <v>46077.943009259259</v>
      </c>
      <c r="Q80" s="1">
        <v>46077.942962962959</v>
      </c>
      <c r="R80" t="s">
        <v>38</v>
      </c>
      <c r="S80" t="e">
        <f>- cleared credential manager - cleared browser from password  - gpupdate /force  - issue has been resolved</f>
        <v>#NAME?</v>
      </c>
      <c r="T80" t="s">
        <v>31</v>
      </c>
      <c r="U80" t="s">
        <v>49</v>
      </c>
      <c r="V80" t="s">
        <v>46</v>
      </c>
      <c r="W80" t="s">
        <v>3113</v>
      </c>
      <c r="X80" t="s">
        <v>3153</v>
      </c>
      <c r="Y80" t="s">
        <v>3582</v>
      </c>
      <c r="Z80" t="s">
        <v>3530</v>
      </c>
      <c r="AA80" t="s">
        <v>3526</v>
      </c>
      <c r="AB80" t="s">
        <v>32</v>
      </c>
      <c r="AC80" t="s">
        <v>793</v>
      </c>
      <c r="AD80" t="s">
        <v>794</v>
      </c>
      <c r="AE80" t="s">
        <v>33</v>
      </c>
    </row>
    <row r="81" spans="1:31">
      <c r="A81" t="s">
        <v>812</v>
      </c>
      <c r="B81" t="s">
        <v>34</v>
      </c>
      <c r="C81" t="s">
        <v>184</v>
      </c>
      <c r="D81" t="s">
        <v>185</v>
      </c>
      <c r="E81" t="s">
        <v>813</v>
      </c>
      <c r="F81" s="1">
        <v>46077.713020833333</v>
      </c>
      <c r="G81" t="s">
        <v>186</v>
      </c>
      <c r="H81" t="s">
        <v>776</v>
      </c>
      <c r="I81" t="s">
        <v>3667</v>
      </c>
      <c r="J81" t="s">
        <v>44</v>
      </c>
      <c r="K81" t="s">
        <v>45</v>
      </c>
      <c r="L81" t="s">
        <v>46</v>
      </c>
      <c r="M81" t="s">
        <v>188</v>
      </c>
      <c r="N81" t="s">
        <v>431</v>
      </c>
      <c r="O81" t="s">
        <v>30</v>
      </c>
      <c r="P81" s="1">
        <v>46077.716446759259</v>
      </c>
      <c r="Q81" s="1">
        <v>46077.71638888889</v>
      </c>
      <c r="R81" t="s">
        <v>38</v>
      </c>
      <c r="S81" t="s">
        <v>3155</v>
      </c>
      <c r="T81" t="s">
        <v>31</v>
      </c>
      <c r="U81" t="s">
        <v>49</v>
      </c>
      <c r="V81" t="s">
        <v>46</v>
      </c>
      <c r="W81" t="s">
        <v>188</v>
      </c>
      <c r="X81" t="s">
        <v>431</v>
      </c>
      <c r="Y81">
        <v>5448</v>
      </c>
      <c r="Z81" t="s">
        <v>3530</v>
      </c>
      <c r="AA81" t="s">
        <v>3526</v>
      </c>
      <c r="AB81" t="s">
        <v>32</v>
      </c>
      <c r="AC81" t="s">
        <v>191</v>
      </c>
      <c r="AD81" t="s">
        <v>192</v>
      </c>
      <c r="AE81" t="s">
        <v>33</v>
      </c>
    </row>
    <row r="82" spans="1:31" hidden="1">
      <c r="A82" t="s">
        <v>814</v>
      </c>
      <c r="B82" t="s">
        <v>34</v>
      </c>
      <c r="C82" t="s">
        <v>25</v>
      </c>
      <c r="D82" t="s">
        <v>815</v>
      </c>
      <c r="E82" t="s">
        <v>816</v>
      </c>
      <c r="F82" s="1">
        <v>46077.706134259257</v>
      </c>
      <c r="G82" t="s">
        <v>238</v>
      </c>
      <c r="H82" t="s">
        <v>776</v>
      </c>
      <c r="I82" t="s">
        <v>3665</v>
      </c>
      <c r="J82" t="s">
        <v>134</v>
      </c>
      <c r="K82" t="s">
        <v>817</v>
      </c>
      <c r="L82" t="s">
        <v>46</v>
      </c>
      <c r="M82" t="s">
        <v>110</v>
      </c>
      <c r="N82" t="s">
        <v>384</v>
      </c>
      <c r="O82" t="s">
        <v>30</v>
      </c>
      <c r="P82" s="1">
        <v>46079.287430555552</v>
      </c>
      <c r="R82" t="s">
        <v>90</v>
      </c>
      <c r="T82" t="s">
        <v>31</v>
      </c>
      <c r="U82" t="s">
        <v>49</v>
      </c>
      <c r="Y82">
        <v>2679</v>
      </c>
      <c r="Z82" t="s">
        <v>3525</v>
      </c>
      <c r="AA82" t="s">
        <v>3541</v>
      </c>
      <c r="AB82" t="s">
        <v>181</v>
      </c>
      <c r="AC82" t="s">
        <v>818</v>
      </c>
      <c r="AD82" t="s">
        <v>819</v>
      </c>
      <c r="AE82" t="s">
        <v>33</v>
      </c>
    </row>
    <row r="83" spans="1:31" hidden="1">
      <c r="A83" t="s">
        <v>820</v>
      </c>
      <c r="B83" t="s">
        <v>34</v>
      </c>
      <c r="C83" t="s">
        <v>361</v>
      </c>
      <c r="D83" t="s">
        <v>821</v>
      </c>
      <c r="E83" t="s">
        <v>95</v>
      </c>
      <c r="F83" s="1">
        <v>46077.663564814815</v>
      </c>
      <c r="G83" t="s">
        <v>150</v>
      </c>
      <c r="H83" t="s">
        <v>776</v>
      </c>
      <c r="I83" t="s">
        <v>3671</v>
      </c>
      <c r="J83" t="s">
        <v>134</v>
      </c>
      <c r="K83" t="s">
        <v>675</v>
      </c>
      <c r="L83" t="s">
        <v>162</v>
      </c>
      <c r="M83" t="s">
        <v>163</v>
      </c>
      <c r="N83" t="s">
        <v>164</v>
      </c>
      <c r="O83" t="s">
        <v>30</v>
      </c>
      <c r="P83" s="1">
        <v>46079.339918981481</v>
      </c>
      <c r="R83" t="s">
        <v>90</v>
      </c>
      <c r="T83" t="s">
        <v>31</v>
      </c>
      <c r="U83" t="s">
        <v>104</v>
      </c>
      <c r="Y83">
        <v>14914</v>
      </c>
      <c r="Z83" t="s">
        <v>3536</v>
      </c>
      <c r="AA83" t="s">
        <v>3570</v>
      </c>
      <c r="AB83" t="s">
        <v>32</v>
      </c>
      <c r="AC83" t="s">
        <v>822</v>
      </c>
      <c r="AD83" t="s">
        <v>823</v>
      </c>
      <c r="AE83" t="s">
        <v>33</v>
      </c>
    </row>
    <row r="84" spans="1:31">
      <c r="A84" t="s">
        <v>826</v>
      </c>
      <c r="B84" t="s">
        <v>24</v>
      </c>
      <c r="C84" t="s">
        <v>827</v>
      </c>
      <c r="D84" t="s">
        <v>828</v>
      </c>
      <c r="E84" t="s">
        <v>829</v>
      </c>
      <c r="F84" s="1">
        <v>46077.618807870371</v>
      </c>
      <c r="G84" t="s">
        <v>26</v>
      </c>
      <c r="H84" t="s">
        <v>776</v>
      </c>
      <c r="I84" t="s">
        <v>3665</v>
      </c>
      <c r="J84" t="s">
        <v>44</v>
      </c>
      <c r="K84" t="s">
        <v>253</v>
      </c>
      <c r="L84" t="s">
        <v>46</v>
      </c>
      <c r="M84" t="s">
        <v>443</v>
      </c>
      <c r="N84" t="s">
        <v>444</v>
      </c>
      <c r="O84" t="s">
        <v>86</v>
      </c>
      <c r="P84" s="1">
        <v>46077.620972222219</v>
      </c>
      <c r="Q84" s="1">
        <v>46077.620949074073</v>
      </c>
      <c r="R84" t="s">
        <v>38</v>
      </c>
      <c r="S84" t="s">
        <v>3156</v>
      </c>
      <c r="T84" t="s">
        <v>31</v>
      </c>
      <c r="U84" t="s">
        <v>367</v>
      </c>
      <c r="V84" t="s">
        <v>46</v>
      </c>
      <c r="W84" t="s">
        <v>3113</v>
      </c>
      <c r="X84" t="s">
        <v>3112</v>
      </c>
      <c r="Y84">
        <v>5392</v>
      </c>
      <c r="Z84" t="s">
        <v>3530</v>
      </c>
      <c r="AA84" t="s">
        <v>3526</v>
      </c>
      <c r="AB84" t="s">
        <v>181</v>
      </c>
      <c r="AC84" t="s">
        <v>830</v>
      </c>
      <c r="AD84" t="s">
        <v>831</v>
      </c>
      <c r="AE84" t="s">
        <v>33</v>
      </c>
    </row>
    <row r="85" spans="1:31">
      <c r="A85" t="s">
        <v>832</v>
      </c>
      <c r="B85" t="s">
        <v>34</v>
      </c>
      <c r="C85" t="s">
        <v>25</v>
      </c>
      <c r="D85" t="s">
        <v>833</v>
      </c>
      <c r="E85" t="s">
        <v>834</v>
      </c>
      <c r="F85" s="1">
        <v>46077.616701388892</v>
      </c>
      <c r="G85" t="s">
        <v>153</v>
      </c>
      <c r="H85" t="s">
        <v>776</v>
      </c>
      <c r="I85" t="s">
        <v>3669</v>
      </c>
      <c r="J85" t="s">
        <v>44</v>
      </c>
      <c r="K85" t="s">
        <v>253</v>
      </c>
      <c r="L85" t="s">
        <v>46</v>
      </c>
      <c r="M85" t="s">
        <v>110</v>
      </c>
      <c r="N85" t="s">
        <v>111</v>
      </c>
      <c r="O85" t="s">
        <v>30</v>
      </c>
      <c r="P85" s="1">
        <v>46077.618576388886</v>
      </c>
      <c r="Q85" s="1">
        <v>46077.617430555554</v>
      </c>
      <c r="R85" t="s">
        <v>38</v>
      </c>
      <c r="S85" t="s">
        <v>3157</v>
      </c>
      <c r="T85" t="s">
        <v>31</v>
      </c>
      <c r="U85" t="s">
        <v>367</v>
      </c>
      <c r="V85" t="s">
        <v>46</v>
      </c>
      <c r="W85" t="s">
        <v>110</v>
      </c>
      <c r="X85" t="s">
        <v>111</v>
      </c>
      <c r="Y85" t="s">
        <v>3584</v>
      </c>
      <c r="Z85" t="s">
        <v>3530</v>
      </c>
      <c r="AA85" t="s">
        <v>3526</v>
      </c>
      <c r="AB85" t="s">
        <v>32</v>
      </c>
      <c r="AC85" t="s">
        <v>835</v>
      </c>
      <c r="AD85" t="s">
        <v>836</v>
      </c>
      <c r="AE85" t="s">
        <v>33</v>
      </c>
    </row>
    <row r="86" spans="1:31">
      <c r="A86" t="s">
        <v>837</v>
      </c>
      <c r="B86" t="s">
        <v>34</v>
      </c>
      <c r="C86" t="s">
        <v>25</v>
      </c>
      <c r="D86" t="s">
        <v>99</v>
      </c>
      <c r="E86" t="s">
        <v>838</v>
      </c>
      <c r="F86" s="1">
        <v>46077.610486111109</v>
      </c>
      <c r="G86" t="s">
        <v>804</v>
      </c>
      <c r="H86" t="s">
        <v>776</v>
      </c>
      <c r="I86" t="s">
        <v>3669</v>
      </c>
      <c r="J86" t="s">
        <v>44</v>
      </c>
      <c r="K86" t="s">
        <v>253</v>
      </c>
      <c r="L86" t="s">
        <v>27</v>
      </c>
      <c r="M86" t="s">
        <v>28</v>
      </c>
      <c r="N86" t="s">
        <v>839</v>
      </c>
      <c r="O86" t="s">
        <v>30</v>
      </c>
      <c r="P86" s="1">
        <v>46077.61278935185</v>
      </c>
      <c r="Q86" s="1">
        <v>46077.61277777778</v>
      </c>
      <c r="R86" t="s">
        <v>38</v>
      </c>
      <c r="S86" t="s">
        <v>3158</v>
      </c>
      <c r="T86" t="s">
        <v>31</v>
      </c>
      <c r="U86" t="s">
        <v>367</v>
      </c>
      <c r="V86" t="s">
        <v>27</v>
      </c>
      <c r="W86" t="s">
        <v>28</v>
      </c>
      <c r="X86" t="s">
        <v>839</v>
      </c>
      <c r="Y86" t="s">
        <v>3585</v>
      </c>
      <c r="Z86" t="s">
        <v>3530</v>
      </c>
      <c r="AA86" t="s">
        <v>3526</v>
      </c>
      <c r="AB86" t="s">
        <v>32</v>
      </c>
      <c r="AC86" t="s">
        <v>840</v>
      </c>
      <c r="AD86" t="s">
        <v>841</v>
      </c>
      <c r="AE86" t="s">
        <v>33</v>
      </c>
    </row>
    <row r="87" spans="1:31">
      <c r="A87" t="s">
        <v>845</v>
      </c>
      <c r="B87" t="s">
        <v>24</v>
      </c>
      <c r="C87" t="s">
        <v>469</v>
      </c>
      <c r="D87" t="s">
        <v>99</v>
      </c>
      <c r="E87" t="s">
        <v>347</v>
      </c>
      <c r="F87" s="1">
        <v>46077.599432870367</v>
      </c>
      <c r="G87" t="s">
        <v>226</v>
      </c>
      <c r="H87" t="s">
        <v>776</v>
      </c>
      <c r="I87" t="s">
        <v>3665</v>
      </c>
      <c r="J87" t="s">
        <v>44</v>
      </c>
      <c r="K87" t="s">
        <v>253</v>
      </c>
      <c r="L87" t="s">
        <v>46</v>
      </c>
      <c r="M87" t="s">
        <v>348</v>
      </c>
      <c r="N87" t="s">
        <v>349</v>
      </c>
      <c r="O87" t="s">
        <v>86</v>
      </c>
      <c r="P87" s="1">
        <v>46077.607048611113</v>
      </c>
      <c r="Q87" s="1">
        <v>46077.606921296298</v>
      </c>
      <c r="R87" t="s">
        <v>38</v>
      </c>
      <c r="S87" t="s">
        <v>3159</v>
      </c>
      <c r="T87" t="s">
        <v>31</v>
      </c>
      <c r="U87" t="s">
        <v>367</v>
      </c>
      <c r="V87" t="s">
        <v>46</v>
      </c>
      <c r="W87" t="s">
        <v>348</v>
      </c>
      <c r="X87" t="s">
        <v>349</v>
      </c>
      <c r="Y87">
        <v>15414</v>
      </c>
      <c r="Z87" t="s">
        <v>3530</v>
      </c>
      <c r="AA87" t="s">
        <v>3526</v>
      </c>
      <c r="AB87" t="s">
        <v>32</v>
      </c>
      <c r="AC87" t="s">
        <v>846</v>
      </c>
      <c r="AD87" t="s">
        <v>847</v>
      </c>
      <c r="AE87" t="s">
        <v>33</v>
      </c>
    </row>
    <row r="88" spans="1:31">
      <c r="A88" t="s">
        <v>849</v>
      </c>
      <c r="B88" t="s">
        <v>24</v>
      </c>
      <c r="C88" t="s">
        <v>541</v>
      </c>
      <c r="D88" t="s">
        <v>542</v>
      </c>
      <c r="E88" t="s">
        <v>850</v>
      </c>
      <c r="F88" s="1">
        <v>46077.596006944441</v>
      </c>
      <c r="G88" t="s">
        <v>143</v>
      </c>
      <c r="H88" t="s">
        <v>776</v>
      </c>
      <c r="I88" t="s">
        <v>3670</v>
      </c>
      <c r="J88" t="s">
        <v>44</v>
      </c>
      <c r="K88" t="s">
        <v>253</v>
      </c>
      <c r="L88" t="s">
        <v>46</v>
      </c>
      <c r="M88" t="s">
        <v>110</v>
      </c>
      <c r="N88" t="s">
        <v>111</v>
      </c>
      <c r="O88" t="s">
        <v>86</v>
      </c>
      <c r="P88" s="1">
        <v>46077.604502314818</v>
      </c>
      <c r="Q88" s="1">
        <v>46077.604432870372</v>
      </c>
      <c r="R88" t="s">
        <v>38</v>
      </c>
      <c r="S88" t="s">
        <v>3106</v>
      </c>
      <c r="T88" t="s">
        <v>31</v>
      </c>
      <c r="U88" t="s">
        <v>367</v>
      </c>
      <c r="V88" t="s">
        <v>46</v>
      </c>
      <c r="W88" t="s">
        <v>110</v>
      </c>
      <c r="X88" t="s">
        <v>111</v>
      </c>
      <c r="Y88">
        <v>9062</v>
      </c>
      <c r="Z88" t="s">
        <v>3530</v>
      </c>
      <c r="AA88" t="s">
        <v>3526</v>
      </c>
      <c r="AB88" t="s">
        <v>32</v>
      </c>
      <c r="AC88" t="s">
        <v>544</v>
      </c>
      <c r="AD88" t="s">
        <v>545</v>
      </c>
      <c r="AE88" t="s">
        <v>33</v>
      </c>
    </row>
    <row r="89" spans="1:31">
      <c r="A89" t="s">
        <v>851</v>
      </c>
      <c r="B89" t="s">
        <v>34</v>
      </c>
      <c r="C89" t="s">
        <v>175</v>
      </c>
      <c r="D89" t="s">
        <v>852</v>
      </c>
      <c r="E89" t="s">
        <v>853</v>
      </c>
      <c r="F89" s="1">
        <v>46077.595034722224</v>
      </c>
      <c r="G89" t="s">
        <v>26</v>
      </c>
      <c r="H89" t="s">
        <v>776</v>
      </c>
      <c r="I89" t="s">
        <v>3665</v>
      </c>
      <c r="J89" t="s">
        <v>44</v>
      </c>
      <c r="K89" t="s">
        <v>253</v>
      </c>
      <c r="L89" t="s">
        <v>46</v>
      </c>
      <c r="M89" t="s">
        <v>110</v>
      </c>
      <c r="N89" t="s">
        <v>111</v>
      </c>
      <c r="O89" t="s">
        <v>30</v>
      </c>
      <c r="P89" s="1">
        <v>46077.603703703702</v>
      </c>
      <c r="Q89" s="1">
        <v>46077.60365740741</v>
      </c>
      <c r="R89" t="s">
        <v>38</v>
      </c>
      <c r="S89" t="s">
        <v>3160</v>
      </c>
      <c r="T89" t="s">
        <v>31</v>
      </c>
      <c r="U89" t="s">
        <v>367</v>
      </c>
      <c r="V89" t="s">
        <v>46</v>
      </c>
      <c r="W89" t="s">
        <v>110</v>
      </c>
      <c r="X89" t="s">
        <v>111</v>
      </c>
      <c r="Y89">
        <v>11368</v>
      </c>
      <c r="Z89" t="s">
        <v>3530</v>
      </c>
      <c r="AA89" t="s">
        <v>3526</v>
      </c>
      <c r="AB89" t="s">
        <v>32</v>
      </c>
      <c r="AC89" t="s">
        <v>854</v>
      </c>
      <c r="AD89" t="s">
        <v>855</v>
      </c>
      <c r="AE89" t="s">
        <v>33</v>
      </c>
    </row>
    <row r="90" spans="1:31">
      <c r="A90" t="s">
        <v>856</v>
      </c>
      <c r="B90" t="s">
        <v>24</v>
      </c>
      <c r="C90" t="s">
        <v>447</v>
      </c>
      <c r="D90" t="s">
        <v>857</v>
      </c>
      <c r="E90" t="s">
        <v>858</v>
      </c>
      <c r="F90" s="1">
        <v>46077.587500000001</v>
      </c>
      <c r="G90" t="s">
        <v>245</v>
      </c>
      <c r="H90" t="s">
        <v>776</v>
      </c>
      <c r="I90" t="s">
        <v>3665</v>
      </c>
      <c r="J90" t="s">
        <v>44</v>
      </c>
      <c r="K90" t="s">
        <v>205</v>
      </c>
      <c r="L90" t="s">
        <v>46</v>
      </c>
      <c r="M90" t="s">
        <v>197</v>
      </c>
      <c r="N90" t="s">
        <v>198</v>
      </c>
      <c r="O90" t="s">
        <v>86</v>
      </c>
      <c r="P90" s="1">
        <v>46077.592013888891</v>
      </c>
      <c r="Q90" s="1">
        <v>46077.591423611113</v>
      </c>
      <c r="R90" t="s">
        <v>38</v>
      </c>
      <c r="S90" t="s">
        <v>3161</v>
      </c>
      <c r="T90" t="s">
        <v>31</v>
      </c>
      <c r="U90" t="s">
        <v>206</v>
      </c>
      <c r="V90" t="s">
        <v>46</v>
      </c>
      <c r="W90" t="s">
        <v>197</v>
      </c>
      <c r="X90" t="s">
        <v>198</v>
      </c>
      <c r="Y90">
        <v>12215</v>
      </c>
      <c r="Z90" t="s">
        <v>3530</v>
      </c>
      <c r="AA90" t="s">
        <v>3526</v>
      </c>
      <c r="AB90" t="s">
        <v>32</v>
      </c>
      <c r="AC90" t="s">
        <v>859</v>
      </c>
      <c r="AD90" t="s">
        <v>860</v>
      </c>
      <c r="AE90" t="s">
        <v>33</v>
      </c>
    </row>
    <row r="91" spans="1:31" hidden="1">
      <c r="A91" t="s">
        <v>862</v>
      </c>
      <c r="B91" t="s">
        <v>24</v>
      </c>
      <c r="C91" t="s">
        <v>447</v>
      </c>
      <c r="D91" t="s">
        <v>857</v>
      </c>
      <c r="E91" t="s">
        <v>725</v>
      </c>
      <c r="F91" s="1">
        <v>46077.580590277779</v>
      </c>
      <c r="G91" t="s">
        <v>245</v>
      </c>
      <c r="H91" t="s">
        <v>776</v>
      </c>
      <c r="I91" t="s">
        <v>3665</v>
      </c>
      <c r="J91" t="s">
        <v>134</v>
      </c>
      <c r="K91" t="s">
        <v>494</v>
      </c>
      <c r="L91" t="s">
        <v>46</v>
      </c>
      <c r="M91" t="s">
        <v>197</v>
      </c>
      <c r="N91" t="s">
        <v>725</v>
      </c>
      <c r="O91" t="s">
        <v>284</v>
      </c>
      <c r="P91" s="1">
        <v>46077.586493055554</v>
      </c>
      <c r="Q91" s="1">
        <v>46077.586446759262</v>
      </c>
      <c r="R91" t="s">
        <v>38</v>
      </c>
      <c r="S91" t="s">
        <v>3162</v>
      </c>
      <c r="T91" t="s">
        <v>31</v>
      </c>
      <c r="U91" t="s">
        <v>206</v>
      </c>
      <c r="V91" t="s">
        <v>46</v>
      </c>
      <c r="W91" t="s">
        <v>197</v>
      </c>
      <c r="X91" t="s">
        <v>725</v>
      </c>
      <c r="Y91">
        <v>12215</v>
      </c>
      <c r="Z91" t="s">
        <v>3530</v>
      </c>
      <c r="AA91" t="s">
        <v>3526</v>
      </c>
      <c r="AB91" t="s">
        <v>32</v>
      </c>
      <c r="AC91" t="s">
        <v>859</v>
      </c>
      <c r="AD91" t="s">
        <v>860</v>
      </c>
      <c r="AE91" t="s">
        <v>33</v>
      </c>
    </row>
    <row r="92" spans="1:31">
      <c r="A92" t="s">
        <v>865</v>
      </c>
      <c r="B92" t="s">
        <v>24</v>
      </c>
      <c r="C92" t="s">
        <v>866</v>
      </c>
      <c r="D92" t="s">
        <v>867</v>
      </c>
      <c r="E92" t="s">
        <v>868</v>
      </c>
      <c r="F92" s="1">
        <v>46077.560081018521</v>
      </c>
      <c r="G92" t="s">
        <v>67</v>
      </c>
      <c r="H92" t="s">
        <v>776</v>
      </c>
      <c r="I92" t="s">
        <v>3671</v>
      </c>
      <c r="J92" t="s">
        <v>44</v>
      </c>
      <c r="K92" t="s">
        <v>514</v>
      </c>
      <c r="L92" t="s">
        <v>46</v>
      </c>
      <c r="M92" t="s">
        <v>443</v>
      </c>
      <c r="N92" t="s">
        <v>869</v>
      </c>
      <c r="O92" t="s">
        <v>86</v>
      </c>
      <c r="P92" s="1">
        <v>46077.562719907408</v>
      </c>
      <c r="Q92" s="1">
        <v>46077.562696759262</v>
      </c>
      <c r="R92" t="s">
        <v>38</v>
      </c>
      <c r="S92" t="e">
        <f>- Run gpupdate/force - PC restarted  - Updated Google Chrome  - has confirmed able to browse and access hence closing the ticket</f>
        <v>#NAME?</v>
      </c>
      <c r="T92" t="s">
        <v>31</v>
      </c>
      <c r="U92" t="s">
        <v>266</v>
      </c>
      <c r="V92" t="s">
        <v>46</v>
      </c>
      <c r="W92" t="s">
        <v>3113</v>
      </c>
      <c r="X92" t="s">
        <v>3163</v>
      </c>
      <c r="Y92">
        <v>15173</v>
      </c>
      <c r="Z92" t="s">
        <v>3530</v>
      </c>
      <c r="AA92" t="s">
        <v>3526</v>
      </c>
      <c r="AB92" t="s">
        <v>32</v>
      </c>
      <c r="AC92" t="s">
        <v>870</v>
      </c>
      <c r="AD92" t="s">
        <v>871</v>
      </c>
      <c r="AE92" t="s">
        <v>33</v>
      </c>
    </row>
    <row r="93" spans="1:31">
      <c r="A93" t="s">
        <v>872</v>
      </c>
      <c r="B93" t="s">
        <v>24</v>
      </c>
      <c r="C93" t="s">
        <v>873</v>
      </c>
      <c r="D93" t="s">
        <v>874</v>
      </c>
      <c r="E93" t="s">
        <v>875</v>
      </c>
      <c r="F93" s="1">
        <v>46077.559270833335</v>
      </c>
      <c r="G93" t="s">
        <v>242</v>
      </c>
      <c r="H93" t="s">
        <v>776</v>
      </c>
      <c r="I93" t="s">
        <v>3671</v>
      </c>
      <c r="J93" t="s">
        <v>44</v>
      </c>
      <c r="K93" t="s">
        <v>514</v>
      </c>
      <c r="L93" t="s">
        <v>46</v>
      </c>
      <c r="M93" t="s">
        <v>197</v>
      </c>
      <c r="N93" t="s">
        <v>875</v>
      </c>
      <c r="O93" t="s">
        <v>86</v>
      </c>
      <c r="P93" s="1">
        <v>46077.566122685188</v>
      </c>
      <c r="Q93" s="1">
        <v>46077.566064814811</v>
      </c>
      <c r="R93" t="s">
        <v>38</v>
      </c>
      <c r="S93" t="s">
        <v>3164</v>
      </c>
      <c r="T93" t="s">
        <v>31</v>
      </c>
      <c r="U93" t="s">
        <v>266</v>
      </c>
      <c r="V93" t="s">
        <v>46</v>
      </c>
      <c r="W93" t="s">
        <v>197</v>
      </c>
      <c r="X93" t="s">
        <v>875</v>
      </c>
      <c r="Y93">
        <v>15538</v>
      </c>
      <c r="Z93" t="s">
        <v>3530</v>
      </c>
      <c r="AA93" t="s">
        <v>3526</v>
      </c>
      <c r="AB93" t="s">
        <v>32</v>
      </c>
      <c r="AC93" t="s">
        <v>876</v>
      </c>
      <c r="AD93" t="s">
        <v>877</v>
      </c>
      <c r="AE93" t="s">
        <v>33</v>
      </c>
    </row>
    <row r="94" spans="1:31" hidden="1">
      <c r="A94" t="s">
        <v>881</v>
      </c>
      <c r="B94" t="s">
        <v>24</v>
      </c>
      <c r="C94" t="s">
        <v>882</v>
      </c>
      <c r="D94" t="s">
        <v>883</v>
      </c>
      <c r="E94" t="s">
        <v>884</v>
      </c>
      <c r="F94" s="1">
        <v>46077.551261574074</v>
      </c>
      <c r="G94" t="s">
        <v>226</v>
      </c>
      <c r="H94" t="s">
        <v>776</v>
      </c>
      <c r="I94" t="s">
        <v>3665</v>
      </c>
      <c r="J94" t="s">
        <v>44</v>
      </c>
      <c r="K94" t="s">
        <v>253</v>
      </c>
      <c r="L94" t="s">
        <v>162</v>
      </c>
      <c r="M94" t="s">
        <v>163</v>
      </c>
      <c r="N94" t="s">
        <v>164</v>
      </c>
      <c r="O94" t="s">
        <v>86</v>
      </c>
      <c r="P94" s="1">
        <v>46079.287418981483</v>
      </c>
      <c r="R94" t="s">
        <v>90</v>
      </c>
      <c r="T94" t="s">
        <v>31</v>
      </c>
      <c r="U94" t="s">
        <v>104</v>
      </c>
      <c r="Y94">
        <v>15070</v>
      </c>
      <c r="Z94" t="s">
        <v>3536</v>
      </c>
      <c r="AA94" t="s">
        <v>3541</v>
      </c>
      <c r="AB94" t="s">
        <v>32</v>
      </c>
      <c r="AC94" t="s">
        <v>885</v>
      </c>
      <c r="AD94" t="s">
        <v>886</v>
      </c>
      <c r="AE94" t="s">
        <v>33</v>
      </c>
    </row>
    <row r="95" spans="1:31" hidden="1">
      <c r="A95" t="s">
        <v>888</v>
      </c>
      <c r="B95" t="s">
        <v>24</v>
      </c>
      <c r="C95" t="s">
        <v>708</v>
      </c>
      <c r="D95" t="s">
        <v>889</v>
      </c>
      <c r="E95" t="s">
        <v>338</v>
      </c>
      <c r="F95" s="1">
        <v>46077.547476851854</v>
      </c>
      <c r="G95" t="s">
        <v>62</v>
      </c>
      <c r="H95" t="s">
        <v>776</v>
      </c>
      <c r="I95" t="s">
        <v>3668</v>
      </c>
      <c r="J95" t="s">
        <v>44</v>
      </c>
      <c r="K95" t="s">
        <v>699</v>
      </c>
      <c r="L95" t="s">
        <v>46</v>
      </c>
      <c r="M95" t="s">
        <v>338</v>
      </c>
      <c r="N95" t="s">
        <v>890</v>
      </c>
      <c r="O95" t="s">
        <v>284</v>
      </c>
      <c r="P95" s="1">
        <v>46079.287418981483</v>
      </c>
      <c r="R95" t="s">
        <v>90</v>
      </c>
      <c r="T95" t="s">
        <v>31</v>
      </c>
      <c r="U95" t="s">
        <v>227</v>
      </c>
      <c r="Y95" t="s">
        <v>3586</v>
      </c>
      <c r="Z95" t="s">
        <v>3525</v>
      </c>
      <c r="AA95" t="s">
        <v>3541</v>
      </c>
      <c r="AB95" t="s">
        <v>32</v>
      </c>
      <c r="AC95" t="s">
        <v>891</v>
      </c>
      <c r="AD95" t="s">
        <v>892</v>
      </c>
      <c r="AE95" t="s">
        <v>33</v>
      </c>
    </row>
    <row r="96" spans="1:31" hidden="1">
      <c r="A96" t="s">
        <v>893</v>
      </c>
      <c r="B96" t="s">
        <v>34</v>
      </c>
      <c r="C96" t="s">
        <v>447</v>
      </c>
      <c r="D96" t="s">
        <v>170</v>
      </c>
      <c r="E96" t="s">
        <v>252</v>
      </c>
      <c r="F96" s="1">
        <v>46077.54420138889</v>
      </c>
      <c r="G96" t="s">
        <v>171</v>
      </c>
      <c r="H96" t="s">
        <v>776</v>
      </c>
      <c r="I96" t="s">
        <v>3665</v>
      </c>
      <c r="J96" t="s">
        <v>44</v>
      </c>
      <c r="K96" t="s">
        <v>514</v>
      </c>
      <c r="L96" t="s">
        <v>162</v>
      </c>
      <c r="M96" t="s">
        <v>163</v>
      </c>
      <c r="N96" t="s">
        <v>164</v>
      </c>
      <c r="O96" t="s">
        <v>30</v>
      </c>
      <c r="P96" s="1">
        <v>46079.418067129627</v>
      </c>
      <c r="R96" t="s">
        <v>90</v>
      </c>
      <c r="T96" t="s">
        <v>31</v>
      </c>
      <c r="U96" t="s">
        <v>104</v>
      </c>
      <c r="Y96">
        <v>13491</v>
      </c>
      <c r="Z96" t="s">
        <v>3536</v>
      </c>
      <c r="AA96" t="s">
        <v>3555</v>
      </c>
      <c r="AB96" t="s">
        <v>32</v>
      </c>
      <c r="AC96" t="s">
        <v>894</v>
      </c>
      <c r="AD96" t="s">
        <v>895</v>
      </c>
      <c r="AE96" t="s">
        <v>33</v>
      </c>
    </row>
    <row r="97" spans="1:31">
      <c r="A97" t="s">
        <v>903</v>
      </c>
      <c r="B97" t="s">
        <v>34</v>
      </c>
      <c r="C97" t="s">
        <v>79</v>
      </c>
      <c r="D97" t="s">
        <v>758</v>
      </c>
      <c r="E97" t="s">
        <v>590</v>
      </c>
      <c r="F97" s="1">
        <v>46077.531631944446</v>
      </c>
      <c r="G97" t="s">
        <v>153</v>
      </c>
      <c r="H97" t="s">
        <v>776</v>
      </c>
      <c r="I97" t="s">
        <v>3669</v>
      </c>
      <c r="J97" t="s">
        <v>44</v>
      </c>
      <c r="K97" t="s">
        <v>205</v>
      </c>
      <c r="L97" t="s">
        <v>46</v>
      </c>
      <c r="M97" t="s">
        <v>379</v>
      </c>
      <c r="N97" t="s">
        <v>379</v>
      </c>
      <c r="O97" t="s">
        <v>30</v>
      </c>
      <c r="P97" s="1">
        <v>46077.531875000001</v>
      </c>
      <c r="Q97" s="1">
        <v>46077.531793981485</v>
      </c>
      <c r="R97" t="s">
        <v>38</v>
      </c>
      <c r="S97" t="s">
        <v>3132</v>
      </c>
      <c r="T97" t="s">
        <v>31</v>
      </c>
      <c r="U97" t="s">
        <v>206</v>
      </c>
      <c r="V97" t="s">
        <v>46</v>
      </c>
      <c r="W97" t="s">
        <v>379</v>
      </c>
      <c r="X97" t="s">
        <v>379</v>
      </c>
      <c r="Y97">
        <v>3635</v>
      </c>
      <c r="Z97" t="s">
        <v>3530</v>
      </c>
      <c r="AA97" t="s">
        <v>3526</v>
      </c>
      <c r="AB97" t="s">
        <v>32</v>
      </c>
      <c r="AC97" t="s">
        <v>904</v>
      </c>
      <c r="AD97" t="s">
        <v>905</v>
      </c>
      <c r="AE97" t="s">
        <v>33</v>
      </c>
    </row>
    <row r="98" spans="1:31" hidden="1">
      <c r="A98" t="s">
        <v>906</v>
      </c>
      <c r="B98" t="s">
        <v>34</v>
      </c>
      <c r="C98" t="s">
        <v>907</v>
      </c>
      <c r="D98" t="s">
        <v>908</v>
      </c>
      <c r="E98" t="s">
        <v>909</v>
      </c>
      <c r="F98" s="1">
        <v>46077.526678240742</v>
      </c>
      <c r="G98" t="s">
        <v>74</v>
      </c>
      <c r="H98" t="s">
        <v>776</v>
      </c>
      <c r="I98" t="s">
        <v>3665</v>
      </c>
      <c r="J98" t="s">
        <v>44</v>
      </c>
      <c r="K98" t="s">
        <v>680</v>
      </c>
      <c r="L98" t="s">
        <v>46</v>
      </c>
      <c r="M98" t="s">
        <v>910</v>
      </c>
      <c r="N98" t="s">
        <v>911</v>
      </c>
      <c r="O98" t="s">
        <v>30</v>
      </c>
      <c r="P98" s="1">
        <v>46079.335497685184</v>
      </c>
      <c r="R98" t="s">
        <v>90</v>
      </c>
      <c r="T98" t="s">
        <v>31</v>
      </c>
      <c r="U98" t="s">
        <v>243</v>
      </c>
      <c r="Y98" t="s">
        <v>3587</v>
      </c>
      <c r="Z98" t="s">
        <v>3525</v>
      </c>
      <c r="AA98" t="s">
        <v>3541</v>
      </c>
      <c r="AB98" t="s">
        <v>32</v>
      </c>
      <c r="AC98" t="s">
        <v>912</v>
      </c>
      <c r="AD98" t="s">
        <v>913</v>
      </c>
      <c r="AE98" t="s">
        <v>33</v>
      </c>
    </row>
    <row r="99" spans="1:31" hidden="1">
      <c r="A99" t="s">
        <v>920</v>
      </c>
      <c r="B99" t="s">
        <v>24</v>
      </c>
      <c r="C99" t="s">
        <v>795</v>
      </c>
      <c r="D99" t="s">
        <v>796</v>
      </c>
      <c r="E99" t="s">
        <v>921</v>
      </c>
      <c r="F99" s="1">
        <v>46077.483171296299</v>
      </c>
      <c r="G99" t="s">
        <v>26</v>
      </c>
      <c r="H99" t="s">
        <v>776</v>
      </c>
      <c r="I99" t="s">
        <v>3665</v>
      </c>
      <c r="J99" t="s">
        <v>134</v>
      </c>
      <c r="K99" t="s">
        <v>320</v>
      </c>
      <c r="L99" t="s">
        <v>46</v>
      </c>
      <c r="M99" t="s">
        <v>559</v>
      </c>
      <c r="N99" t="s">
        <v>922</v>
      </c>
      <c r="O99" t="s">
        <v>86</v>
      </c>
      <c r="P99" s="1">
        <v>46077.507048611114</v>
      </c>
      <c r="Q99" s="1">
        <v>46077.507037037038</v>
      </c>
      <c r="R99" t="s">
        <v>38</v>
      </c>
      <c r="S99" t="s">
        <v>3165</v>
      </c>
      <c r="T99" t="s">
        <v>31</v>
      </c>
      <c r="U99" t="s">
        <v>923</v>
      </c>
      <c r="V99" t="s">
        <v>46</v>
      </c>
      <c r="W99" t="s">
        <v>559</v>
      </c>
      <c r="X99" t="s">
        <v>3166</v>
      </c>
      <c r="Y99">
        <v>15938</v>
      </c>
      <c r="Z99" t="s">
        <v>3531</v>
      </c>
      <c r="AA99" t="s">
        <v>3526</v>
      </c>
      <c r="AB99" t="s">
        <v>32</v>
      </c>
      <c r="AC99" t="s">
        <v>798</v>
      </c>
      <c r="AD99" t="s">
        <v>799</v>
      </c>
      <c r="AE99" t="s">
        <v>33</v>
      </c>
    </row>
    <row r="100" spans="1:31" hidden="1">
      <c r="A100" t="s">
        <v>924</v>
      </c>
      <c r="B100" t="s">
        <v>34</v>
      </c>
      <c r="C100" t="s">
        <v>925</v>
      </c>
      <c r="D100" t="s">
        <v>98</v>
      </c>
      <c r="E100" t="s">
        <v>926</v>
      </c>
      <c r="F100" s="1">
        <v>46077.481539351851</v>
      </c>
      <c r="G100" t="s">
        <v>26</v>
      </c>
      <c r="H100" t="s">
        <v>776</v>
      </c>
      <c r="I100" t="s">
        <v>3665</v>
      </c>
      <c r="J100" t="s">
        <v>134</v>
      </c>
      <c r="K100" t="s">
        <v>320</v>
      </c>
      <c r="L100" t="s">
        <v>46</v>
      </c>
      <c r="M100" t="s">
        <v>188</v>
      </c>
      <c r="N100" t="s">
        <v>521</v>
      </c>
      <c r="O100" t="s">
        <v>30</v>
      </c>
      <c r="P100" s="1">
        <v>46077.523402777777</v>
      </c>
      <c r="Q100" s="1">
        <v>46077.523298611108</v>
      </c>
      <c r="R100" t="s">
        <v>38</v>
      </c>
      <c r="S100" t="s">
        <v>3167</v>
      </c>
      <c r="T100" t="s">
        <v>31</v>
      </c>
      <c r="U100" t="s">
        <v>923</v>
      </c>
      <c r="V100" t="s">
        <v>46</v>
      </c>
      <c r="W100" t="s">
        <v>188</v>
      </c>
      <c r="X100" t="s">
        <v>521</v>
      </c>
      <c r="Y100" t="s">
        <v>3588</v>
      </c>
      <c r="Z100" t="s">
        <v>3531</v>
      </c>
      <c r="AA100" t="s">
        <v>3526</v>
      </c>
      <c r="AB100" t="s">
        <v>32</v>
      </c>
      <c r="AC100" t="s">
        <v>927</v>
      </c>
      <c r="AD100" t="s">
        <v>928</v>
      </c>
      <c r="AE100" t="s">
        <v>33</v>
      </c>
    </row>
    <row r="101" spans="1:31" hidden="1">
      <c r="A101" t="s">
        <v>929</v>
      </c>
      <c r="B101" t="s">
        <v>34</v>
      </c>
      <c r="C101" t="s">
        <v>930</v>
      </c>
      <c r="D101" t="s">
        <v>931</v>
      </c>
      <c r="E101" t="s">
        <v>932</v>
      </c>
      <c r="F101" s="1">
        <v>46077.481076388889</v>
      </c>
      <c r="G101" t="s">
        <v>26</v>
      </c>
      <c r="H101" t="s">
        <v>776</v>
      </c>
      <c r="I101" t="s">
        <v>3665</v>
      </c>
      <c r="J101" t="s">
        <v>134</v>
      </c>
      <c r="K101" t="s">
        <v>320</v>
      </c>
      <c r="L101" t="s">
        <v>491</v>
      </c>
      <c r="M101" t="s">
        <v>188</v>
      </c>
      <c r="N101" t="s">
        <v>933</v>
      </c>
      <c r="O101" t="s">
        <v>30</v>
      </c>
      <c r="P101" s="1">
        <v>46077.515763888892</v>
      </c>
      <c r="Q101" s="1">
        <v>46077.515752314815</v>
      </c>
      <c r="R101" t="s">
        <v>38</v>
      </c>
      <c r="S101" t="s">
        <v>3168</v>
      </c>
      <c r="T101" t="s">
        <v>31</v>
      </c>
      <c r="U101" t="s">
        <v>923</v>
      </c>
      <c r="V101" t="s">
        <v>491</v>
      </c>
      <c r="W101" t="s">
        <v>188</v>
      </c>
      <c r="X101" t="s">
        <v>3169</v>
      </c>
      <c r="Y101">
        <v>7126</v>
      </c>
      <c r="Z101" t="s">
        <v>3531</v>
      </c>
      <c r="AA101" t="s">
        <v>3526</v>
      </c>
      <c r="AB101" t="s">
        <v>32</v>
      </c>
      <c r="AC101" t="s">
        <v>934</v>
      </c>
      <c r="AD101" t="s">
        <v>935</v>
      </c>
      <c r="AE101" t="s">
        <v>33</v>
      </c>
    </row>
    <row r="102" spans="1:31">
      <c r="A102" t="s">
        <v>937</v>
      </c>
      <c r="B102" t="s">
        <v>24</v>
      </c>
      <c r="C102" t="s">
        <v>434</v>
      </c>
      <c r="D102" t="s">
        <v>938</v>
      </c>
      <c r="E102" t="s">
        <v>939</v>
      </c>
      <c r="F102" s="1">
        <v>46077.475347222222</v>
      </c>
      <c r="G102" t="s">
        <v>426</v>
      </c>
      <c r="H102" t="s">
        <v>776</v>
      </c>
      <c r="I102" t="s">
        <v>3772</v>
      </c>
      <c r="J102" t="s">
        <v>44</v>
      </c>
      <c r="K102" t="s">
        <v>411</v>
      </c>
      <c r="L102" t="s">
        <v>46</v>
      </c>
      <c r="M102" t="s">
        <v>374</v>
      </c>
      <c r="N102" t="s">
        <v>618</v>
      </c>
      <c r="O102" t="s">
        <v>86</v>
      </c>
      <c r="P102" s="1">
        <v>46077.47729166667</v>
      </c>
      <c r="Q102" s="1">
        <v>46077.47619212963</v>
      </c>
      <c r="R102" t="s">
        <v>38</v>
      </c>
      <c r="S102" t="s">
        <v>3170</v>
      </c>
      <c r="T102" t="s">
        <v>31</v>
      </c>
      <c r="U102" t="s">
        <v>413</v>
      </c>
      <c r="V102" t="s">
        <v>46</v>
      </c>
      <c r="W102" t="s">
        <v>374</v>
      </c>
      <c r="X102" t="s">
        <v>618</v>
      </c>
      <c r="Y102">
        <v>6190</v>
      </c>
      <c r="Z102" t="s">
        <v>3530</v>
      </c>
      <c r="AA102" t="s">
        <v>3526</v>
      </c>
      <c r="AB102" t="s">
        <v>32</v>
      </c>
      <c r="AC102" t="s">
        <v>940</v>
      </c>
      <c r="AD102" t="s">
        <v>941</v>
      </c>
      <c r="AE102" t="s">
        <v>33</v>
      </c>
    </row>
    <row r="103" spans="1:31" hidden="1">
      <c r="A103" t="s">
        <v>942</v>
      </c>
      <c r="B103" t="s">
        <v>34</v>
      </c>
      <c r="C103" t="s">
        <v>261</v>
      </c>
      <c r="D103" t="s">
        <v>943</v>
      </c>
      <c r="E103" t="s">
        <v>944</v>
      </c>
      <c r="F103" s="1">
        <v>46077.471886574072</v>
      </c>
      <c r="G103" t="s">
        <v>210</v>
      </c>
      <c r="H103" t="s">
        <v>776</v>
      </c>
      <c r="I103" t="s">
        <v>3667</v>
      </c>
      <c r="J103" t="s">
        <v>44</v>
      </c>
      <c r="K103" t="s">
        <v>438</v>
      </c>
      <c r="L103" t="s">
        <v>27</v>
      </c>
      <c r="M103" t="s">
        <v>28</v>
      </c>
      <c r="O103" t="s">
        <v>30</v>
      </c>
      <c r="P103" s="1">
        <v>46079.384351851855</v>
      </c>
      <c r="R103" t="s">
        <v>64</v>
      </c>
      <c r="T103" t="s">
        <v>31</v>
      </c>
      <c r="U103" t="s">
        <v>227</v>
      </c>
      <c r="V103" t="s">
        <v>28</v>
      </c>
      <c r="Y103">
        <v>15040</v>
      </c>
      <c r="Z103" t="s">
        <v>3525</v>
      </c>
      <c r="AB103" t="s">
        <v>32</v>
      </c>
      <c r="AC103" t="s">
        <v>945</v>
      </c>
      <c r="AD103" t="s">
        <v>946</v>
      </c>
      <c r="AE103" t="s">
        <v>33</v>
      </c>
    </row>
    <row r="104" spans="1:31" hidden="1">
      <c r="A104" t="s">
        <v>947</v>
      </c>
      <c r="B104" t="s">
        <v>34</v>
      </c>
      <c r="C104" t="s">
        <v>167</v>
      </c>
      <c r="D104" t="s">
        <v>435</v>
      </c>
      <c r="E104" t="s">
        <v>948</v>
      </c>
      <c r="F104" s="1">
        <v>46077.471597222226</v>
      </c>
      <c r="G104" t="s">
        <v>26</v>
      </c>
      <c r="H104" t="s">
        <v>776</v>
      </c>
      <c r="I104" t="s">
        <v>3665</v>
      </c>
      <c r="J104" t="s">
        <v>134</v>
      </c>
      <c r="K104" t="s">
        <v>949</v>
      </c>
      <c r="L104" t="s">
        <v>46</v>
      </c>
      <c r="M104" t="s">
        <v>136</v>
      </c>
      <c r="N104" t="s">
        <v>136</v>
      </c>
      <c r="O104" t="s">
        <v>30</v>
      </c>
      <c r="P104" s="1">
        <v>46079.287407407406</v>
      </c>
      <c r="R104" t="s">
        <v>90</v>
      </c>
      <c r="T104" t="s">
        <v>31</v>
      </c>
      <c r="U104" t="s">
        <v>367</v>
      </c>
      <c r="V104" t="s">
        <v>46</v>
      </c>
      <c r="W104" t="s">
        <v>3339</v>
      </c>
      <c r="X104" t="s">
        <v>3339</v>
      </c>
      <c r="Y104">
        <v>7446</v>
      </c>
      <c r="Z104" t="s">
        <v>3530</v>
      </c>
      <c r="AA104" t="s">
        <v>3541</v>
      </c>
      <c r="AB104" t="s">
        <v>32</v>
      </c>
      <c r="AC104" t="s">
        <v>950</v>
      </c>
      <c r="AD104" t="s">
        <v>951</v>
      </c>
      <c r="AE104" t="s">
        <v>33</v>
      </c>
    </row>
    <row r="105" spans="1:31" hidden="1">
      <c r="A105" t="s">
        <v>954</v>
      </c>
      <c r="B105" t="s">
        <v>24</v>
      </c>
      <c r="C105" t="s">
        <v>955</v>
      </c>
      <c r="D105" t="s">
        <v>419</v>
      </c>
      <c r="E105" t="s">
        <v>956</v>
      </c>
      <c r="F105" s="1">
        <v>46077.474247685182</v>
      </c>
      <c r="G105" t="s">
        <v>173</v>
      </c>
      <c r="H105" t="s">
        <v>776</v>
      </c>
      <c r="I105" t="s">
        <v>3666</v>
      </c>
      <c r="J105" t="s">
        <v>134</v>
      </c>
      <c r="K105" t="s">
        <v>817</v>
      </c>
      <c r="L105" t="s">
        <v>46</v>
      </c>
      <c r="M105" t="s">
        <v>365</v>
      </c>
      <c r="N105" t="s">
        <v>957</v>
      </c>
      <c r="O105" t="s">
        <v>284</v>
      </c>
      <c r="P105" s="1">
        <v>46077.487488425926</v>
      </c>
      <c r="Q105" s="1">
        <v>46077.48746527778</v>
      </c>
      <c r="R105" t="s">
        <v>38</v>
      </c>
      <c r="S105" t="s">
        <v>3171</v>
      </c>
      <c r="T105" t="s">
        <v>31</v>
      </c>
      <c r="U105" t="s">
        <v>190</v>
      </c>
      <c r="V105" t="s">
        <v>46</v>
      </c>
      <c r="W105" t="s">
        <v>365</v>
      </c>
      <c r="X105" t="s">
        <v>957</v>
      </c>
      <c r="Y105">
        <v>14164</v>
      </c>
      <c r="Z105" t="s">
        <v>3530</v>
      </c>
      <c r="AA105" t="s">
        <v>3526</v>
      </c>
      <c r="AB105" t="s">
        <v>32</v>
      </c>
      <c r="AC105" t="s">
        <v>958</v>
      </c>
      <c r="AD105" t="s">
        <v>959</v>
      </c>
      <c r="AE105" t="s">
        <v>33</v>
      </c>
    </row>
    <row r="106" spans="1:31">
      <c r="A106" t="s">
        <v>963</v>
      </c>
      <c r="B106" t="s">
        <v>34</v>
      </c>
      <c r="C106" t="s">
        <v>25</v>
      </c>
      <c r="D106" t="s">
        <v>964</v>
      </c>
      <c r="E106" t="s">
        <v>95</v>
      </c>
      <c r="F106" s="1">
        <v>46077.457685185182</v>
      </c>
      <c r="G106" t="s">
        <v>26</v>
      </c>
      <c r="H106" t="s">
        <v>776</v>
      </c>
      <c r="I106" t="s">
        <v>3665</v>
      </c>
      <c r="J106" t="s">
        <v>44</v>
      </c>
      <c r="K106" t="s">
        <v>514</v>
      </c>
      <c r="L106" t="s">
        <v>162</v>
      </c>
      <c r="M106" t="s">
        <v>163</v>
      </c>
      <c r="N106" t="s">
        <v>164</v>
      </c>
      <c r="O106" t="s">
        <v>30</v>
      </c>
      <c r="P106" s="1">
        <v>46077.532083333332</v>
      </c>
      <c r="Q106" s="1">
        <v>46077.532060185185</v>
      </c>
      <c r="R106" t="s">
        <v>38</v>
      </c>
      <c r="S106" t="s">
        <v>3172</v>
      </c>
      <c r="T106" t="s">
        <v>31</v>
      </c>
      <c r="U106" t="s">
        <v>104</v>
      </c>
      <c r="V106" t="s">
        <v>46</v>
      </c>
      <c r="W106" t="s">
        <v>94</v>
      </c>
      <c r="X106" t="s">
        <v>95</v>
      </c>
      <c r="Y106" t="s">
        <v>3589</v>
      </c>
      <c r="Z106" t="s">
        <v>3536</v>
      </c>
      <c r="AA106" t="s">
        <v>3526</v>
      </c>
      <c r="AB106" t="s">
        <v>32</v>
      </c>
      <c r="AC106" t="s">
        <v>965</v>
      </c>
      <c r="AD106" t="s">
        <v>966</v>
      </c>
      <c r="AE106" t="s">
        <v>33</v>
      </c>
    </row>
    <row r="107" spans="1:31">
      <c r="A107" t="s">
        <v>978</v>
      </c>
      <c r="B107" t="s">
        <v>34</v>
      </c>
      <c r="C107" t="s">
        <v>99</v>
      </c>
      <c r="D107" t="s">
        <v>115</v>
      </c>
      <c r="E107" t="s">
        <v>979</v>
      </c>
      <c r="F107" s="1">
        <v>46077.446666666663</v>
      </c>
      <c r="G107" t="s">
        <v>153</v>
      </c>
      <c r="H107" t="s">
        <v>776</v>
      </c>
      <c r="I107" t="s">
        <v>3669</v>
      </c>
      <c r="J107" t="s">
        <v>44</v>
      </c>
      <c r="K107" t="s">
        <v>300</v>
      </c>
      <c r="L107" t="s">
        <v>46</v>
      </c>
      <c r="M107" t="s">
        <v>515</v>
      </c>
      <c r="N107" t="s">
        <v>980</v>
      </c>
      <c r="O107" t="s">
        <v>30</v>
      </c>
      <c r="P107" s="1">
        <v>46077.447442129633</v>
      </c>
      <c r="Q107" s="1">
        <v>46077.447395833333</v>
      </c>
      <c r="R107" t="s">
        <v>38</v>
      </c>
      <c r="S107" t="s">
        <v>3173</v>
      </c>
      <c r="T107" t="s">
        <v>31</v>
      </c>
      <c r="U107" t="s">
        <v>399</v>
      </c>
      <c r="V107" t="s">
        <v>46</v>
      </c>
      <c r="W107" t="s">
        <v>515</v>
      </c>
      <c r="X107" t="s">
        <v>618</v>
      </c>
      <c r="Y107">
        <v>14969</v>
      </c>
      <c r="Z107" t="s">
        <v>3530</v>
      </c>
      <c r="AA107" t="s">
        <v>3526</v>
      </c>
      <c r="AB107" t="s">
        <v>32</v>
      </c>
      <c r="AC107" t="s">
        <v>981</v>
      </c>
      <c r="AD107" t="s">
        <v>982</v>
      </c>
      <c r="AE107" t="s">
        <v>33</v>
      </c>
    </row>
    <row r="108" spans="1:31">
      <c r="A108" t="s">
        <v>989</v>
      </c>
      <c r="B108" t="s">
        <v>24</v>
      </c>
      <c r="C108" t="s">
        <v>123</v>
      </c>
      <c r="D108" t="s">
        <v>990</v>
      </c>
      <c r="E108" t="s">
        <v>875</v>
      </c>
      <c r="F108" s="1">
        <v>46077.438194444447</v>
      </c>
      <c r="G108" t="s">
        <v>555</v>
      </c>
      <c r="H108" t="s">
        <v>776</v>
      </c>
      <c r="I108" t="s">
        <v>3666</v>
      </c>
      <c r="J108" t="s">
        <v>44</v>
      </c>
      <c r="K108" t="s">
        <v>514</v>
      </c>
      <c r="L108" t="s">
        <v>46</v>
      </c>
      <c r="M108" t="s">
        <v>197</v>
      </c>
      <c r="N108" t="s">
        <v>875</v>
      </c>
      <c r="O108" t="s">
        <v>86</v>
      </c>
      <c r="P108" s="1">
        <v>46077.45</v>
      </c>
      <c r="Q108" s="1">
        <v>46077.449965277781</v>
      </c>
      <c r="R108" t="s">
        <v>38</v>
      </c>
      <c r="S108" t="s">
        <v>3174</v>
      </c>
      <c r="T108" t="s">
        <v>31</v>
      </c>
      <c r="U108" t="s">
        <v>266</v>
      </c>
      <c r="V108" t="s">
        <v>46</v>
      </c>
      <c r="W108" t="s">
        <v>197</v>
      </c>
      <c r="X108" t="s">
        <v>875</v>
      </c>
      <c r="Y108">
        <v>6650</v>
      </c>
      <c r="Z108" t="s">
        <v>3530</v>
      </c>
      <c r="AA108" t="s">
        <v>3526</v>
      </c>
      <c r="AB108" t="s">
        <v>181</v>
      </c>
      <c r="AC108" t="s">
        <v>991</v>
      </c>
      <c r="AD108" t="s">
        <v>992</v>
      </c>
      <c r="AE108" t="s">
        <v>33</v>
      </c>
    </row>
    <row r="109" spans="1:31">
      <c r="A109" t="s">
        <v>997</v>
      </c>
      <c r="B109" t="s">
        <v>34</v>
      </c>
      <c r="C109" t="s">
        <v>704</v>
      </c>
      <c r="D109" t="s">
        <v>123</v>
      </c>
      <c r="E109" t="s">
        <v>430</v>
      </c>
      <c r="F109" s="1">
        <v>46077.432523148149</v>
      </c>
      <c r="G109" t="s">
        <v>150</v>
      </c>
      <c r="H109" t="s">
        <v>776</v>
      </c>
      <c r="I109" t="s">
        <v>3671</v>
      </c>
      <c r="J109" t="s">
        <v>44</v>
      </c>
      <c r="K109" t="s">
        <v>253</v>
      </c>
      <c r="L109" t="s">
        <v>46</v>
      </c>
      <c r="M109" t="s">
        <v>188</v>
      </c>
      <c r="N109" t="s">
        <v>431</v>
      </c>
      <c r="O109" t="s">
        <v>30</v>
      </c>
      <c r="P109" s="1">
        <v>46077.602627314816</v>
      </c>
      <c r="Q109" s="1">
        <v>46077.602592592593</v>
      </c>
      <c r="R109" t="s">
        <v>38</v>
      </c>
      <c r="S109" t="s">
        <v>3175</v>
      </c>
      <c r="T109" t="s">
        <v>31</v>
      </c>
      <c r="U109" t="s">
        <v>367</v>
      </c>
      <c r="V109" t="s">
        <v>46</v>
      </c>
      <c r="W109" t="s">
        <v>188</v>
      </c>
      <c r="X109" t="s">
        <v>431</v>
      </c>
      <c r="Y109">
        <v>15523</v>
      </c>
      <c r="Z109" t="s">
        <v>3530</v>
      </c>
      <c r="AA109" t="s">
        <v>3526</v>
      </c>
      <c r="AB109" t="s">
        <v>32</v>
      </c>
      <c r="AC109" t="s">
        <v>705</v>
      </c>
      <c r="AD109" t="s">
        <v>706</v>
      </c>
      <c r="AE109" t="s">
        <v>33</v>
      </c>
    </row>
    <row r="110" spans="1:31">
      <c r="A110" t="s">
        <v>1002</v>
      </c>
      <c r="B110" t="s">
        <v>24</v>
      </c>
      <c r="C110" t="s">
        <v>311</v>
      </c>
      <c r="D110" t="s">
        <v>435</v>
      </c>
      <c r="E110" t="s">
        <v>1003</v>
      </c>
      <c r="F110" s="1">
        <v>46077.424988425926</v>
      </c>
      <c r="G110" t="s">
        <v>238</v>
      </c>
      <c r="H110" t="s">
        <v>776</v>
      </c>
      <c r="I110" t="s">
        <v>3665</v>
      </c>
      <c r="J110" t="s">
        <v>44</v>
      </c>
      <c r="K110" t="s">
        <v>253</v>
      </c>
      <c r="L110" t="s">
        <v>46</v>
      </c>
      <c r="M110" t="s">
        <v>443</v>
      </c>
      <c r="N110" t="s">
        <v>792</v>
      </c>
      <c r="O110" t="s">
        <v>86</v>
      </c>
      <c r="P110" s="1">
        <v>46077.60224537037</v>
      </c>
      <c r="Q110" s="1">
        <v>46077.602233796293</v>
      </c>
      <c r="R110" t="s">
        <v>38</v>
      </c>
      <c r="S110" t="s">
        <v>3176</v>
      </c>
      <c r="T110" t="s">
        <v>31</v>
      </c>
      <c r="U110" t="s">
        <v>367</v>
      </c>
      <c r="V110" t="s">
        <v>46</v>
      </c>
      <c r="W110" t="s">
        <v>3113</v>
      </c>
      <c r="X110" t="s">
        <v>3153</v>
      </c>
      <c r="Y110">
        <v>11503</v>
      </c>
      <c r="Z110" t="s">
        <v>3530</v>
      </c>
      <c r="AA110" t="s">
        <v>3526</v>
      </c>
      <c r="AB110" t="s">
        <v>32</v>
      </c>
      <c r="AC110" t="s">
        <v>1004</v>
      </c>
      <c r="AD110" t="s">
        <v>1005</v>
      </c>
      <c r="AE110" t="s">
        <v>33</v>
      </c>
    </row>
    <row r="111" spans="1:31" hidden="1">
      <c r="A111" t="s">
        <v>1006</v>
      </c>
      <c r="B111" t="s">
        <v>34</v>
      </c>
      <c r="C111" t="s">
        <v>758</v>
      </c>
      <c r="D111" t="s">
        <v>1007</v>
      </c>
      <c r="E111" t="s">
        <v>1008</v>
      </c>
      <c r="F111" s="1">
        <v>46077.424062500002</v>
      </c>
      <c r="G111" t="s">
        <v>262</v>
      </c>
      <c r="H111" t="s">
        <v>776</v>
      </c>
      <c r="I111" t="s">
        <v>3666</v>
      </c>
      <c r="J111" t="s">
        <v>134</v>
      </c>
      <c r="K111" t="s">
        <v>320</v>
      </c>
      <c r="L111" t="s">
        <v>162</v>
      </c>
      <c r="M111" t="s">
        <v>163</v>
      </c>
      <c r="N111" t="s">
        <v>164</v>
      </c>
      <c r="O111" t="s">
        <v>30</v>
      </c>
      <c r="P111" s="1">
        <v>46078.520567129628</v>
      </c>
      <c r="R111" t="s">
        <v>64</v>
      </c>
      <c r="T111" t="s">
        <v>31</v>
      </c>
      <c r="U111" t="s">
        <v>104</v>
      </c>
      <c r="Y111">
        <v>14297</v>
      </c>
      <c r="Z111" t="s">
        <v>3536</v>
      </c>
      <c r="AB111" t="s">
        <v>32</v>
      </c>
      <c r="AC111" t="s">
        <v>1009</v>
      </c>
      <c r="AD111" t="s">
        <v>1010</v>
      </c>
      <c r="AE111" t="s">
        <v>33</v>
      </c>
    </row>
    <row r="112" spans="1:31">
      <c r="A112" t="s">
        <v>1011</v>
      </c>
      <c r="B112" t="s">
        <v>34</v>
      </c>
      <c r="C112" t="s">
        <v>1012</v>
      </c>
      <c r="D112" t="s">
        <v>1013</v>
      </c>
      <c r="E112" t="s">
        <v>513</v>
      </c>
      <c r="F112" s="1">
        <v>46077.423657407409</v>
      </c>
      <c r="G112" t="s">
        <v>242</v>
      </c>
      <c r="H112" t="s">
        <v>776</v>
      </c>
      <c r="I112" t="s">
        <v>3671</v>
      </c>
      <c r="J112" t="s">
        <v>44</v>
      </c>
      <c r="K112" t="s">
        <v>514</v>
      </c>
      <c r="L112" t="s">
        <v>46</v>
      </c>
      <c r="M112" t="s">
        <v>515</v>
      </c>
      <c r="N112" t="s">
        <v>516</v>
      </c>
      <c r="O112" t="s">
        <v>30</v>
      </c>
      <c r="P112" s="1">
        <v>46077.430856481478</v>
      </c>
      <c r="Q112" s="1">
        <v>46077.430844907409</v>
      </c>
      <c r="R112" t="s">
        <v>38</v>
      </c>
      <c r="S112" t="s">
        <v>3177</v>
      </c>
      <c r="T112" t="s">
        <v>31</v>
      </c>
      <c r="U112" t="s">
        <v>266</v>
      </c>
      <c r="V112" t="s">
        <v>46</v>
      </c>
      <c r="W112" t="s">
        <v>515</v>
      </c>
      <c r="X112" t="s">
        <v>3120</v>
      </c>
      <c r="Y112">
        <v>12716</v>
      </c>
      <c r="Z112" t="s">
        <v>3530</v>
      </c>
      <c r="AA112" t="s">
        <v>3526</v>
      </c>
      <c r="AB112" t="s">
        <v>32</v>
      </c>
      <c r="AC112" t="s">
        <v>1014</v>
      </c>
      <c r="AD112" t="s">
        <v>1015</v>
      </c>
      <c r="AE112" t="s">
        <v>33</v>
      </c>
    </row>
    <row r="113" spans="1:31">
      <c r="A113" t="s">
        <v>1016</v>
      </c>
      <c r="B113" t="s">
        <v>24</v>
      </c>
      <c r="C113" t="s">
        <v>465</v>
      </c>
      <c r="D113" t="s">
        <v>1017</v>
      </c>
      <c r="E113" t="s">
        <v>1018</v>
      </c>
      <c r="F113" s="1">
        <v>46077.423807870371</v>
      </c>
      <c r="G113" t="s">
        <v>117</v>
      </c>
      <c r="H113" t="s">
        <v>776</v>
      </c>
      <c r="I113" t="s">
        <v>3668</v>
      </c>
      <c r="J113" t="s">
        <v>44</v>
      </c>
      <c r="K113" t="s">
        <v>253</v>
      </c>
      <c r="L113" t="s">
        <v>46</v>
      </c>
      <c r="M113" t="s">
        <v>313</v>
      </c>
      <c r="N113" t="s">
        <v>314</v>
      </c>
      <c r="O113" t="s">
        <v>86</v>
      </c>
      <c r="P113" s="1">
        <v>46077.498055555552</v>
      </c>
      <c r="Q113" s="1">
        <v>46077.498043981483</v>
      </c>
      <c r="R113" t="s">
        <v>38</v>
      </c>
      <c r="S113" t="s">
        <v>3106</v>
      </c>
      <c r="T113" t="s">
        <v>31</v>
      </c>
      <c r="U113" t="s">
        <v>367</v>
      </c>
      <c r="V113" t="s">
        <v>46</v>
      </c>
      <c r="W113" t="s">
        <v>313</v>
      </c>
      <c r="X113" t="s">
        <v>314</v>
      </c>
      <c r="Y113">
        <v>11806</v>
      </c>
      <c r="Z113" t="s">
        <v>3530</v>
      </c>
      <c r="AA113" t="s">
        <v>3526</v>
      </c>
      <c r="AB113" t="s">
        <v>32</v>
      </c>
      <c r="AC113" t="s">
        <v>1019</v>
      </c>
      <c r="AD113" t="s">
        <v>1020</v>
      </c>
      <c r="AE113" t="s">
        <v>33</v>
      </c>
    </row>
    <row r="114" spans="1:31">
      <c r="A114" t="s">
        <v>1021</v>
      </c>
      <c r="B114" t="s">
        <v>24</v>
      </c>
      <c r="C114" t="s">
        <v>1022</v>
      </c>
      <c r="D114" t="s">
        <v>1023</v>
      </c>
      <c r="E114" t="s">
        <v>1024</v>
      </c>
      <c r="F114" s="1">
        <v>46077.421342592592</v>
      </c>
      <c r="G114" t="s">
        <v>298</v>
      </c>
      <c r="H114" t="s">
        <v>776</v>
      </c>
      <c r="I114" t="s">
        <v>3669</v>
      </c>
      <c r="J114" t="s">
        <v>44</v>
      </c>
      <c r="K114" t="s">
        <v>300</v>
      </c>
      <c r="L114" t="s">
        <v>162</v>
      </c>
      <c r="M114" t="s">
        <v>163</v>
      </c>
      <c r="N114" t="s">
        <v>164</v>
      </c>
      <c r="O114" t="s">
        <v>86</v>
      </c>
      <c r="P114" s="1">
        <v>46078.39135416667</v>
      </c>
      <c r="Q114" s="1">
        <v>46078.391273148147</v>
      </c>
      <c r="R114" t="s">
        <v>38</v>
      </c>
      <c r="S114" t="e">
        <f>- cleared credential manager for old password. - Removed unwanted PDF Architect software as per user confirmation.</f>
        <v>#NAME?</v>
      </c>
      <c r="T114" t="s">
        <v>31</v>
      </c>
      <c r="U114" t="s">
        <v>104</v>
      </c>
      <c r="V114" t="s">
        <v>46</v>
      </c>
      <c r="W114" t="s">
        <v>374</v>
      </c>
      <c r="X114" t="s">
        <v>618</v>
      </c>
      <c r="Y114">
        <v>14755</v>
      </c>
      <c r="Z114" t="s">
        <v>3536</v>
      </c>
      <c r="AA114" t="s">
        <v>3526</v>
      </c>
      <c r="AB114" t="s">
        <v>32</v>
      </c>
      <c r="AC114" t="s">
        <v>1025</v>
      </c>
      <c r="AD114" t="s">
        <v>1026</v>
      </c>
      <c r="AE114" t="s">
        <v>33</v>
      </c>
    </row>
    <row r="115" spans="1:31">
      <c r="A115" t="s">
        <v>1031</v>
      </c>
      <c r="B115" t="s">
        <v>34</v>
      </c>
      <c r="C115" t="s">
        <v>97</v>
      </c>
      <c r="D115" t="s">
        <v>1032</v>
      </c>
      <c r="E115" t="s">
        <v>535</v>
      </c>
      <c r="F115" s="1">
        <v>46077.420497685183</v>
      </c>
      <c r="G115" t="s">
        <v>426</v>
      </c>
      <c r="H115" t="s">
        <v>776</v>
      </c>
      <c r="I115" t="s">
        <v>3772</v>
      </c>
      <c r="J115" t="s">
        <v>44</v>
      </c>
      <c r="K115" t="s">
        <v>300</v>
      </c>
      <c r="L115" t="s">
        <v>46</v>
      </c>
      <c r="M115" t="s">
        <v>188</v>
      </c>
      <c r="N115" t="s">
        <v>431</v>
      </c>
      <c r="O115" t="s">
        <v>30</v>
      </c>
      <c r="P115" s="1">
        <v>46077.420937499999</v>
      </c>
      <c r="Q115" s="1">
        <v>46077.420902777776</v>
      </c>
      <c r="R115" t="s">
        <v>38</v>
      </c>
      <c r="S115" t="s">
        <v>3178</v>
      </c>
      <c r="T115" t="s">
        <v>31</v>
      </c>
      <c r="U115" t="s">
        <v>399</v>
      </c>
      <c r="V115" t="s">
        <v>46</v>
      </c>
      <c r="W115" t="s">
        <v>188</v>
      </c>
      <c r="X115" t="s">
        <v>431</v>
      </c>
      <c r="Y115">
        <v>14633</v>
      </c>
      <c r="Z115" t="s">
        <v>3530</v>
      </c>
      <c r="AA115" t="s">
        <v>3526</v>
      </c>
      <c r="AB115" t="s">
        <v>32</v>
      </c>
      <c r="AC115" t="s">
        <v>1033</v>
      </c>
      <c r="AD115" t="s">
        <v>1034</v>
      </c>
      <c r="AE115" t="s">
        <v>33</v>
      </c>
    </row>
    <row r="116" spans="1:31">
      <c r="A116" t="s">
        <v>1035</v>
      </c>
      <c r="B116" t="s">
        <v>34</v>
      </c>
      <c r="C116" t="s">
        <v>123</v>
      </c>
      <c r="D116" t="s">
        <v>990</v>
      </c>
      <c r="E116" t="s">
        <v>109</v>
      </c>
      <c r="F116" s="1">
        <v>46077.420856481483</v>
      </c>
      <c r="G116" t="s">
        <v>555</v>
      </c>
      <c r="H116" t="s">
        <v>776</v>
      </c>
      <c r="I116" t="s">
        <v>3666</v>
      </c>
      <c r="J116" t="s">
        <v>44</v>
      </c>
      <c r="K116" t="s">
        <v>205</v>
      </c>
      <c r="L116" t="s">
        <v>46</v>
      </c>
      <c r="M116" t="s">
        <v>110</v>
      </c>
      <c r="N116" t="s">
        <v>111</v>
      </c>
      <c r="O116" t="s">
        <v>30</v>
      </c>
      <c r="P116" s="1">
        <v>46077.421087962961</v>
      </c>
      <c r="Q116" s="1">
        <v>46077.421076388891</v>
      </c>
      <c r="R116" t="s">
        <v>38</v>
      </c>
      <c r="S116" t="s">
        <v>3134</v>
      </c>
      <c r="T116" t="s">
        <v>31</v>
      </c>
      <c r="U116" t="s">
        <v>206</v>
      </c>
      <c r="V116" t="s">
        <v>46</v>
      </c>
      <c r="W116" t="s">
        <v>110</v>
      </c>
      <c r="X116" t="s">
        <v>111</v>
      </c>
      <c r="Y116">
        <v>6650</v>
      </c>
      <c r="Z116" t="s">
        <v>3530</v>
      </c>
      <c r="AA116" t="s">
        <v>3526</v>
      </c>
      <c r="AB116" t="s">
        <v>181</v>
      </c>
      <c r="AC116" t="s">
        <v>991</v>
      </c>
      <c r="AD116" t="s">
        <v>992</v>
      </c>
      <c r="AE116" t="s">
        <v>33</v>
      </c>
    </row>
    <row r="117" spans="1:31">
      <c r="A117" t="s">
        <v>1036</v>
      </c>
      <c r="B117" t="s">
        <v>34</v>
      </c>
      <c r="C117" t="s">
        <v>159</v>
      </c>
      <c r="D117" t="s">
        <v>160</v>
      </c>
      <c r="E117" t="s">
        <v>1037</v>
      </c>
      <c r="F117" s="1">
        <v>46077.413854166669</v>
      </c>
      <c r="G117" t="s">
        <v>161</v>
      </c>
      <c r="H117" t="s">
        <v>776</v>
      </c>
      <c r="I117" t="s">
        <v>3667</v>
      </c>
      <c r="J117" t="s">
        <v>44</v>
      </c>
      <c r="K117" t="s">
        <v>290</v>
      </c>
      <c r="L117" t="s">
        <v>46</v>
      </c>
      <c r="M117" t="s">
        <v>188</v>
      </c>
      <c r="N117" t="s">
        <v>431</v>
      </c>
      <c r="O117" t="s">
        <v>30</v>
      </c>
      <c r="P117" s="1">
        <v>46077.419907407406</v>
      </c>
      <c r="Q117" s="1">
        <v>46077.419895833336</v>
      </c>
      <c r="R117" t="s">
        <v>38</v>
      </c>
      <c r="S117" t="s">
        <v>3179</v>
      </c>
      <c r="T117" t="s">
        <v>31</v>
      </c>
      <c r="U117" t="s">
        <v>190</v>
      </c>
      <c r="V117" t="s">
        <v>46</v>
      </c>
      <c r="W117" t="s">
        <v>188</v>
      </c>
      <c r="X117" t="s">
        <v>431</v>
      </c>
      <c r="Y117">
        <v>5505</v>
      </c>
      <c r="Z117" t="s">
        <v>3530</v>
      </c>
      <c r="AA117" t="s">
        <v>3526</v>
      </c>
      <c r="AB117" t="s">
        <v>32</v>
      </c>
      <c r="AC117" t="s">
        <v>165</v>
      </c>
      <c r="AD117" t="s">
        <v>166</v>
      </c>
      <c r="AE117" t="s">
        <v>33</v>
      </c>
    </row>
    <row r="118" spans="1:31" hidden="1">
      <c r="A118" t="s">
        <v>1042</v>
      </c>
      <c r="B118" t="s">
        <v>24</v>
      </c>
      <c r="C118" t="s">
        <v>916</v>
      </c>
      <c r="D118" t="s">
        <v>917</v>
      </c>
      <c r="E118" t="s">
        <v>1043</v>
      </c>
      <c r="F118" s="1">
        <v>46077.410104166665</v>
      </c>
      <c r="G118" t="s">
        <v>353</v>
      </c>
      <c r="H118" t="s">
        <v>776</v>
      </c>
      <c r="I118" t="s">
        <v>3671</v>
      </c>
      <c r="J118" t="s">
        <v>134</v>
      </c>
      <c r="K118" t="s">
        <v>477</v>
      </c>
      <c r="L118" t="s">
        <v>162</v>
      </c>
      <c r="M118" t="s">
        <v>163</v>
      </c>
      <c r="N118" t="s">
        <v>164</v>
      </c>
      <c r="O118" t="s">
        <v>86</v>
      </c>
      <c r="P118" s="1">
        <v>46077.480347222219</v>
      </c>
      <c r="Q118" s="1">
        <v>46077.480324074073</v>
      </c>
      <c r="R118" t="s">
        <v>38</v>
      </c>
      <c r="S118" t="s">
        <v>3180</v>
      </c>
      <c r="T118" t="s">
        <v>31</v>
      </c>
      <c r="U118" t="s">
        <v>104</v>
      </c>
      <c r="V118" t="s">
        <v>46</v>
      </c>
      <c r="W118" t="s">
        <v>110</v>
      </c>
      <c r="X118" t="s">
        <v>3181</v>
      </c>
      <c r="Y118">
        <v>4497</v>
      </c>
      <c r="Z118" t="s">
        <v>3536</v>
      </c>
      <c r="AA118" t="s">
        <v>3529</v>
      </c>
      <c r="AB118" t="s">
        <v>32</v>
      </c>
      <c r="AC118" t="s">
        <v>918</v>
      </c>
      <c r="AD118" t="s">
        <v>919</v>
      </c>
      <c r="AE118" t="s">
        <v>33</v>
      </c>
    </row>
    <row r="119" spans="1:31">
      <c r="A119" t="s">
        <v>1044</v>
      </c>
      <c r="B119" t="s">
        <v>34</v>
      </c>
      <c r="C119" t="s">
        <v>984</v>
      </c>
      <c r="D119" t="s">
        <v>598</v>
      </c>
      <c r="E119" t="s">
        <v>109</v>
      </c>
      <c r="F119" s="1">
        <v>46077.409884259258</v>
      </c>
      <c r="G119" t="s">
        <v>333</v>
      </c>
      <c r="H119" t="s">
        <v>776</v>
      </c>
      <c r="I119" t="s">
        <v>3671</v>
      </c>
      <c r="J119" t="s">
        <v>44</v>
      </c>
      <c r="K119" t="s">
        <v>179</v>
      </c>
      <c r="L119" t="s">
        <v>46</v>
      </c>
      <c r="M119" t="s">
        <v>110</v>
      </c>
      <c r="N119" t="s">
        <v>111</v>
      </c>
      <c r="O119" t="s">
        <v>30</v>
      </c>
      <c r="P119" s="1">
        <v>46077.410532407404</v>
      </c>
      <c r="Q119" s="1">
        <v>46077.410405092596</v>
      </c>
      <c r="R119" t="s">
        <v>38</v>
      </c>
      <c r="S119" t="s">
        <v>3182</v>
      </c>
      <c r="T119" t="s">
        <v>31</v>
      </c>
      <c r="U119" t="s">
        <v>350</v>
      </c>
      <c r="V119" t="s">
        <v>46</v>
      </c>
      <c r="W119" t="s">
        <v>110</v>
      </c>
      <c r="X119" t="s">
        <v>111</v>
      </c>
      <c r="Y119">
        <v>11680</v>
      </c>
      <c r="Z119" t="s">
        <v>3530</v>
      </c>
      <c r="AA119" t="s">
        <v>3526</v>
      </c>
      <c r="AB119" t="s">
        <v>32</v>
      </c>
      <c r="AC119" t="s">
        <v>1045</v>
      </c>
      <c r="AD119" t="s">
        <v>1046</v>
      </c>
      <c r="AE119" t="s">
        <v>33</v>
      </c>
    </row>
    <row r="120" spans="1:31">
      <c r="A120" t="s">
        <v>1047</v>
      </c>
      <c r="B120" t="s">
        <v>24</v>
      </c>
      <c r="C120" t="s">
        <v>1048</v>
      </c>
      <c r="D120" t="s">
        <v>691</v>
      </c>
      <c r="E120" t="s">
        <v>1049</v>
      </c>
      <c r="F120" s="1">
        <v>46077.40829861111</v>
      </c>
      <c r="G120" t="s">
        <v>161</v>
      </c>
      <c r="H120" t="s">
        <v>776</v>
      </c>
      <c r="I120" t="s">
        <v>3667</v>
      </c>
      <c r="J120" t="s">
        <v>44</v>
      </c>
      <c r="K120" t="s">
        <v>300</v>
      </c>
      <c r="L120" t="s">
        <v>46</v>
      </c>
      <c r="M120" t="s">
        <v>443</v>
      </c>
      <c r="N120" t="s">
        <v>444</v>
      </c>
      <c r="O120" t="s">
        <v>86</v>
      </c>
      <c r="P120" s="1">
        <v>46077.409120370372</v>
      </c>
      <c r="Q120" s="1">
        <v>46077.409074074072</v>
      </c>
      <c r="R120" t="s">
        <v>38</v>
      </c>
      <c r="S120" t="s">
        <v>3111</v>
      </c>
      <c r="T120" t="s">
        <v>31</v>
      </c>
      <c r="U120" t="s">
        <v>399</v>
      </c>
      <c r="V120" t="s">
        <v>46</v>
      </c>
      <c r="W120" t="s">
        <v>3113</v>
      </c>
      <c r="X120" t="s">
        <v>3112</v>
      </c>
      <c r="Y120">
        <v>13359</v>
      </c>
      <c r="Z120" t="s">
        <v>3530</v>
      </c>
      <c r="AA120" t="s">
        <v>3526</v>
      </c>
      <c r="AB120" t="s">
        <v>32</v>
      </c>
      <c r="AC120" t="s">
        <v>1050</v>
      </c>
      <c r="AD120" t="s">
        <v>1051</v>
      </c>
      <c r="AE120" t="s">
        <v>33</v>
      </c>
    </row>
    <row r="121" spans="1:31">
      <c r="A121" t="s">
        <v>1052</v>
      </c>
      <c r="B121" t="s">
        <v>34</v>
      </c>
      <c r="C121" t="s">
        <v>1053</v>
      </c>
      <c r="D121" t="s">
        <v>1054</v>
      </c>
      <c r="E121" t="s">
        <v>1055</v>
      </c>
      <c r="F121" s="1">
        <v>46077.400289351855</v>
      </c>
      <c r="G121" t="s">
        <v>353</v>
      </c>
      <c r="H121" t="s">
        <v>776</v>
      </c>
      <c r="I121" t="s">
        <v>3671</v>
      </c>
      <c r="J121" t="s">
        <v>44</v>
      </c>
      <c r="K121" t="s">
        <v>179</v>
      </c>
      <c r="L121" t="s">
        <v>46</v>
      </c>
      <c r="M121" t="s">
        <v>188</v>
      </c>
      <c r="N121" t="s">
        <v>431</v>
      </c>
      <c r="O121" t="s">
        <v>30</v>
      </c>
      <c r="P121" s="1">
        <v>46077.491307870368</v>
      </c>
      <c r="Q121" s="1">
        <v>46077.491261574076</v>
      </c>
      <c r="R121" t="s">
        <v>38</v>
      </c>
      <c r="S121" t="s">
        <v>3183</v>
      </c>
      <c r="T121" t="s">
        <v>31</v>
      </c>
      <c r="U121" t="s">
        <v>350</v>
      </c>
      <c r="V121" t="s">
        <v>46</v>
      </c>
      <c r="W121" t="s">
        <v>188</v>
      </c>
      <c r="X121" t="s">
        <v>431</v>
      </c>
      <c r="Y121">
        <v>15874</v>
      </c>
      <c r="Z121" t="s">
        <v>3530</v>
      </c>
      <c r="AA121" t="s">
        <v>3526</v>
      </c>
      <c r="AB121" t="s">
        <v>32</v>
      </c>
      <c r="AC121" t="s">
        <v>1056</v>
      </c>
      <c r="AD121" t="s">
        <v>1057</v>
      </c>
      <c r="AE121" t="s">
        <v>33</v>
      </c>
    </row>
    <row r="122" spans="1:31">
      <c r="A122" t="s">
        <v>1058</v>
      </c>
      <c r="B122" t="s">
        <v>24</v>
      </c>
      <c r="C122" t="s">
        <v>53</v>
      </c>
      <c r="D122" t="s">
        <v>873</v>
      </c>
      <c r="E122" t="s">
        <v>1059</v>
      </c>
      <c r="F122" s="1">
        <v>46077.394907407404</v>
      </c>
      <c r="G122" t="s">
        <v>74</v>
      </c>
      <c r="H122" t="s">
        <v>776</v>
      </c>
      <c r="I122" t="s">
        <v>3665</v>
      </c>
      <c r="J122" t="s">
        <v>44</v>
      </c>
      <c r="K122" t="s">
        <v>514</v>
      </c>
      <c r="L122" t="s">
        <v>46</v>
      </c>
      <c r="M122" t="s">
        <v>374</v>
      </c>
      <c r="N122" t="s">
        <v>618</v>
      </c>
      <c r="O122" t="s">
        <v>86</v>
      </c>
      <c r="P122" s="1">
        <v>46077.417291666665</v>
      </c>
      <c r="Q122" s="1">
        <v>46077.417071759257</v>
      </c>
      <c r="R122" t="s">
        <v>38</v>
      </c>
      <c r="S122" t="s">
        <v>3184</v>
      </c>
      <c r="T122" t="s">
        <v>31</v>
      </c>
      <c r="U122" t="s">
        <v>266</v>
      </c>
      <c r="V122" t="s">
        <v>46</v>
      </c>
      <c r="W122" t="s">
        <v>374</v>
      </c>
      <c r="X122" t="s">
        <v>618</v>
      </c>
      <c r="Y122">
        <v>11990</v>
      </c>
      <c r="Z122" t="s">
        <v>3530</v>
      </c>
      <c r="AA122" t="s">
        <v>3526</v>
      </c>
      <c r="AB122" t="s">
        <v>32</v>
      </c>
      <c r="AC122" t="s">
        <v>1060</v>
      </c>
      <c r="AD122" t="s">
        <v>1061</v>
      </c>
      <c r="AE122" t="s">
        <v>33</v>
      </c>
    </row>
    <row r="123" spans="1:31">
      <c r="A123" t="s">
        <v>1063</v>
      </c>
      <c r="B123" t="s">
        <v>34</v>
      </c>
      <c r="C123" t="s">
        <v>73</v>
      </c>
      <c r="D123" t="s">
        <v>1064</v>
      </c>
      <c r="E123" t="s">
        <v>590</v>
      </c>
      <c r="F123" s="1">
        <v>46077.38417824074</v>
      </c>
      <c r="G123" t="s">
        <v>555</v>
      </c>
      <c r="H123" t="s">
        <v>776</v>
      </c>
      <c r="I123" t="s">
        <v>3772</v>
      </c>
      <c r="J123" t="s">
        <v>44</v>
      </c>
      <c r="K123" t="s">
        <v>205</v>
      </c>
      <c r="L123" t="s">
        <v>46</v>
      </c>
      <c r="M123" t="s">
        <v>379</v>
      </c>
      <c r="N123" t="s">
        <v>379</v>
      </c>
      <c r="O123" t="s">
        <v>30</v>
      </c>
      <c r="P123" s="1">
        <v>46077.387060185189</v>
      </c>
      <c r="Q123" s="1">
        <v>46077.387048611112</v>
      </c>
      <c r="R123" t="s">
        <v>38</v>
      </c>
      <c r="S123" t="s">
        <v>3132</v>
      </c>
      <c r="T123" t="s">
        <v>31</v>
      </c>
      <c r="U123" t="s">
        <v>206</v>
      </c>
      <c r="V123" t="s">
        <v>46</v>
      </c>
      <c r="W123" t="s">
        <v>379</v>
      </c>
      <c r="X123" t="s">
        <v>379</v>
      </c>
      <c r="Y123">
        <v>15935</v>
      </c>
      <c r="Z123" t="s">
        <v>3530</v>
      </c>
      <c r="AA123" t="s">
        <v>3526</v>
      </c>
      <c r="AB123" t="s">
        <v>32</v>
      </c>
      <c r="AC123" t="s">
        <v>1065</v>
      </c>
      <c r="AD123" t="s">
        <v>1066</v>
      </c>
      <c r="AE123" t="s">
        <v>33</v>
      </c>
    </row>
    <row r="124" spans="1:31">
      <c r="A124" t="s">
        <v>1067</v>
      </c>
      <c r="B124" t="s">
        <v>24</v>
      </c>
      <c r="C124" t="s">
        <v>65</v>
      </c>
      <c r="D124" t="s">
        <v>1068</v>
      </c>
      <c r="E124" t="s">
        <v>1069</v>
      </c>
      <c r="F124" s="1">
        <v>46077.382141203707</v>
      </c>
      <c r="G124" t="s">
        <v>238</v>
      </c>
      <c r="H124" t="s">
        <v>776</v>
      </c>
      <c r="I124" t="s">
        <v>3665</v>
      </c>
      <c r="J124" t="s">
        <v>44</v>
      </c>
      <c r="K124" t="s">
        <v>411</v>
      </c>
      <c r="L124" t="s">
        <v>46</v>
      </c>
      <c r="M124" t="s">
        <v>374</v>
      </c>
      <c r="N124" t="s">
        <v>618</v>
      </c>
      <c r="O124" t="s">
        <v>86</v>
      </c>
      <c r="P124" s="1">
        <v>46077.384016203701</v>
      </c>
      <c r="Q124" s="1">
        <v>46077.384004629632</v>
      </c>
      <c r="R124" t="s">
        <v>38</v>
      </c>
      <c r="S124" t="s">
        <v>3185</v>
      </c>
      <c r="T124" t="s">
        <v>31</v>
      </c>
      <c r="U124" t="s">
        <v>413</v>
      </c>
      <c r="V124" t="s">
        <v>46</v>
      </c>
      <c r="W124" t="s">
        <v>374</v>
      </c>
      <c r="X124" t="s">
        <v>618</v>
      </c>
      <c r="Y124">
        <v>5679</v>
      </c>
      <c r="Z124" t="s">
        <v>3530</v>
      </c>
      <c r="AA124" t="s">
        <v>3526</v>
      </c>
      <c r="AB124" t="s">
        <v>32</v>
      </c>
      <c r="AC124" t="s">
        <v>1070</v>
      </c>
      <c r="AD124" t="s">
        <v>1071</v>
      </c>
      <c r="AE124" t="s">
        <v>33</v>
      </c>
    </row>
    <row r="125" spans="1:31">
      <c r="A125" t="s">
        <v>1072</v>
      </c>
      <c r="B125" t="s">
        <v>24</v>
      </c>
      <c r="C125" t="s">
        <v>261</v>
      </c>
      <c r="D125" t="s">
        <v>1073</v>
      </c>
      <c r="E125" t="s">
        <v>1074</v>
      </c>
      <c r="F125" s="1">
        <v>46077.38144675926</v>
      </c>
      <c r="G125" t="s">
        <v>171</v>
      </c>
      <c r="H125" t="s">
        <v>776</v>
      </c>
      <c r="I125" t="s">
        <v>3665</v>
      </c>
      <c r="J125" t="s">
        <v>44</v>
      </c>
      <c r="K125" t="s">
        <v>179</v>
      </c>
      <c r="L125" t="s">
        <v>46</v>
      </c>
      <c r="M125" t="s">
        <v>559</v>
      </c>
      <c r="N125" t="s">
        <v>48</v>
      </c>
      <c r="O125" t="s">
        <v>86</v>
      </c>
      <c r="P125" s="1">
        <v>46077.382719907408</v>
      </c>
      <c r="Q125" s="1">
        <v>46077.382708333331</v>
      </c>
      <c r="R125" t="s">
        <v>38</v>
      </c>
      <c r="S125" t="s">
        <v>3186</v>
      </c>
      <c r="T125" t="s">
        <v>31</v>
      </c>
      <c r="U125" t="s">
        <v>350</v>
      </c>
      <c r="V125" t="s">
        <v>46</v>
      </c>
      <c r="W125" t="s">
        <v>559</v>
      </c>
      <c r="X125" t="s">
        <v>48</v>
      </c>
      <c r="Y125">
        <v>14077</v>
      </c>
      <c r="Z125" t="s">
        <v>3530</v>
      </c>
      <c r="AA125" t="s">
        <v>3526</v>
      </c>
      <c r="AB125" t="s">
        <v>32</v>
      </c>
      <c r="AC125" t="s">
        <v>1075</v>
      </c>
      <c r="AD125" t="s">
        <v>1076</v>
      </c>
      <c r="AE125" t="s">
        <v>33</v>
      </c>
    </row>
    <row r="126" spans="1:31">
      <c r="A126" t="s">
        <v>1077</v>
      </c>
      <c r="B126" t="s">
        <v>34</v>
      </c>
      <c r="C126" t="s">
        <v>229</v>
      </c>
      <c r="D126" t="s">
        <v>1078</v>
      </c>
      <c r="E126" t="s">
        <v>1079</v>
      </c>
      <c r="F126" s="1">
        <v>46077.377650462964</v>
      </c>
      <c r="G126" t="s">
        <v>132</v>
      </c>
      <c r="H126" t="s">
        <v>776</v>
      </c>
      <c r="I126" t="s">
        <v>3665</v>
      </c>
      <c r="J126" t="s">
        <v>44</v>
      </c>
      <c r="K126" t="s">
        <v>300</v>
      </c>
      <c r="L126" t="s">
        <v>46</v>
      </c>
      <c r="M126" t="s">
        <v>379</v>
      </c>
      <c r="N126" t="s">
        <v>379</v>
      </c>
      <c r="O126" t="s">
        <v>30</v>
      </c>
      <c r="P126" s="1">
        <v>46077.377905092595</v>
      </c>
      <c r="Q126" s="1">
        <v>46077.377835648149</v>
      </c>
      <c r="R126" t="s">
        <v>38</v>
      </c>
      <c r="S126" t="s">
        <v>3187</v>
      </c>
      <c r="T126" t="s">
        <v>180</v>
      </c>
      <c r="U126" t="s">
        <v>399</v>
      </c>
      <c r="V126" t="s">
        <v>46</v>
      </c>
      <c r="W126" t="s">
        <v>379</v>
      </c>
      <c r="X126" t="s">
        <v>379</v>
      </c>
      <c r="Y126">
        <v>9946</v>
      </c>
      <c r="Z126" t="s">
        <v>3530</v>
      </c>
      <c r="AA126" t="s">
        <v>3526</v>
      </c>
      <c r="AB126" t="s">
        <v>181</v>
      </c>
      <c r="AC126" t="s">
        <v>1080</v>
      </c>
      <c r="AD126" t="s">
        <v>1081</v>
      </c>
      <c r="AE126" t="s">
        <v>33</v>
      </c>
    </row>
    <row r="127" spans="1:31">
      <c r="A127" t="s">
        <v>1084</v>
      </c>
      <c r="B127" t="s">
        <v>34</v>
      </c>
      <c r="C127" t="s">
        <v>914</v>
      </c>
      <c r="D127" t="s">
        <v>235</v>
      </c>
      <c r="E127" t="s">
        <v>608</v>
      </c>
      <c r="F127" s="1">
        <v>46077.3827662037</v>
      </c>
      <c r="G127" t="s">
        <v>555</v>
      </c>
      <c r="H127" t="s">
        <v>776</v>
      </c>
      <c r="I127" t="s">
        <v>3666</v>
      </c>
      <c r="J127" t="s">
        <v>44</v>
      </c>
      <c r="K127" t="s">
        <v>205</v>
      </c>
      <c r="L127" t="s">
        <v>46</v>
      </c>
      <c r="M127" t="s">
        <v>379</v>
      </c>
      <c r="N127" t="s">
        <v>379</v>
      </c>
      <c r="O127" t="s">
        <v>30</v>
      </c>
      <c r="P127" s="1">
        <v>46077.383009259262</v>
      </c>
      <c r="Q127" s="1">
        <v>46077.382997685185</v>
      </c>
      <c r="R127" t="s">
        <v>38</v>
      </c>
      <c r="S127" t="s">
        <v>3134</v>
      </c>
      <c r="T127" t="s">
        <v>31</v>
      </c>
      <c r="U127" t="s">
        <v>206</v>
      </c>
      <c r="V127" t="s">
        <v>46</v>
      </c>
      <c r="W127" t="s">
        <v>379</v>
      </c>
      <c r="X127" t="s">
        <v>379</v>
      </c>
      <c r="Y127">
        <v>12083</v>
      </c>
      <c r="Z127" t="s">
        <v>3530</v>
      </c>
      <c r="AA127" t="s">
        <v>3526</v>
      </c>
      <c r="AB127" t="s">
        <v>32</v>
      </c>
      <c r="AC127" t="s">
        <v>1085</v>
      </c>
      <c r="AD127" t="s">
        <v>1086</v>
      </c>
      <c r="AE127" t="s">
        <v>33</v>
      </c>
    </row>
    <row r="128" spans="1:31">
      <c r="A128" t="s">
        <v>1087</v>
      </c>
      <c r="B128" t="s">
        <v>34</v>
      </c>
      <c r="C128" t="s">
        <v>53</v>
      </c>
      <c r="D128" t="s">
        <v>261</v>
      </c>
      <c r="E128" t="s">
        <v>535</v>
      </c>
      <c r="F128" s="1">
        <v>46077.371377314812</v>
      </c>
      <c r="G128" t="s">
        <v>702</v>
      </c>
      <c r="H128" t="s">
        <v>776</v>
      </c>
      <c r="I128" t="s">
        <v>3670</v>
      </c>
      <c r="J128" t="s">
        <v>44</v>
      </c>
      <c r="K128" t="s">
        <v>205</v>
      </c>
      <c r="L128" t="s">
        <v>46</v>
      </c>
      <c r="M128" t="s">
        <v>188</v>
      </c>
      <c r="N128" t="s">
        <v>431</v>
      </c>
      <c r="O128" t="s">
        <v>30</v>
      </c>
      <c r="P128" s="1">
        <v>46077.372881944444</v>
      </c>
      <c r="Q128" s="1">
        <v>46077.371562499997</v>
      </c>
      <c r="R128" t="s">
        <v>38</v>
      </c>
      <c r="S128" t="s">
        <v>3188</v>
      </c>
      <c r="T128" t="s">
        <v>31</v>
      </c>
      <c r="U128" t="s">
        <v>206</v>
      </c>
      <c r="V128" t="s">
        <v>46</v>
      </c>
      <c r="W128" t="s">
        <v>188</v>
      </c>
      <c r="X128" t="s">
        <v>431</v>
      </c>
      <c r="Y128">
        <v>15926</v>
      </c>
      <c r="Z128" t="s">
        <v>3530</v>
      </c>
      <c r="AA128" t="s">
        <v>3526</v>
      </c>
      <c r="AB128" t="s">
        <v>32</v>
      </c>
      <c r="AC128" t="s">
        <v>1088</v>
      </c>
      <c r="AD128" t="s">
        <v>1089</v>
      </c>
      <c r="AE128" t="s">
        <v>33</v>
      </c>
    </row>
    <row r="129" spans="1:31">
      <c r="A129" t="s">
        <v>1090</v>
      </c>
      <c r="B129" t="s">
        <v>34</v>
      </c>
      <c r="C129" t="s">
        <v>1091</v>
      </c>
      <c r="D129" t="s">
        <v>1083</v>
      </c>
      <c r="E129" t="s">
        <v>1092</v>
      </c>
      <c r="F129" s="1">
        <v>46077.367638888885</v>
      </c>
      <c r="G129" t="s">
        <v>161</v>
      </c>
      <c r="H129" t="s">
        <v>776</v>
      </c>
      <c r="I129" t="s">
        <v>3667</v>
      </c>
      <c r="J129" t="s">
        <v>44</v>
      </c>
      <c r="K129" t="s">
        <v>179</v>
      </c>
      <c r="L129" t="s">
        <v>46</v>
      </c>
      <c r="M129" t="s">
        <v>188</v>
      </c>
      <c r="N129" t="s">
        <v>431</v>
      </c>
      <c r="O129" t="s">
        <v>30</v>
      </c>
      <c r="P129" s="1">
        <v>46077.369375000002</v>
      </c>
      <c r="Q129" s="1">
        <v>46077.368425925924</v>
      </c>
      <c r="R129" t="s">
        <v>38</v>
      </c>
      <c r="S129" t="s">
        <v>3189</v>
      </c>
      <c r="T129" t="s">
        <v>31</v>
      </c>
      <c r="U129" t="s">
        <v>350</v>
      </c>
      <c r="V129" t="s">
        <v>46</v>
      </c>
      <c r="W129" t="s">
        <v>188</v>
      </c>
      <c r="X129" t="s">
        <v>431</v>
      </c>
      <c r="Y129">
        <v>15903</v>
      </c>
      <c r="Z129" t="s">
        <v>3530</v>
      </c>
      <c r="AA129" t="s">
        <v>3526</v>
      </c>
      <c r="AB129" t="s">
        <v>32</v>
      </c>
      <c r="AC129" t="s">
        <v>1093</v>
      </c>
      <c r="AD129" t="s">
        <v>1094</v>
      </c>
      <c r="AE129" t="s">
        <v>33</v>
      </c>
    </row>
    <row r="130" spans="1:31">
      <c r="A130" t="s">
        <v>1095</v>
      </c>
      <c r="B130" t="s">
        <v>34</v>
      </c>
      <c r="C130" t="s">
        <v>1096</v>
      </c>
      <c r="D130" t="s">
        <v>1096</v>
      </c>
      <c r="E130" t="s">
        <v>1097</v>
      </c>
      <c r="F130" s="1">
        <v>46077.36991898148</v>
      </c>
      <c r="G130" t="s">
        <v>35</v>
      </c>
      <c r="H130" t="s">
        <v>776</v>
      </c>
      <c r="I130" t="s">
        <v>3772</v>
      </c>
      <c r="J130" t="s">
        <v>44</v>
      </c>
      <c r="K130" t="s">
        <v>205</v>
      </c>
      <c r="L130" t="s">
        <v>46</v>
      </c>
      <c r="M130" t="s">
        <v>515</v>
      </c>
      <c r="N130" t="s">
        <v>375</v>
      </c>
      <c r="O130" t="s">
        <v>30</v>
      </c>
      <c r="P130" s="1">
        <v>46077.370787037034</v>
      </c>
      <c r="Q130" s="1">
        <v>46077.370775462965</v>
      </c>
      <c r="R130" t="s">
        <v>38</v>
      </c>
      <c r="S130" t="s">
        <v>3190</v>
      </c>
      <c r="T130" t="s">
        <v>31</v>
      </c>
      <c r="U130" t="s">
        <v>206</v>
      </c>
      <c r="V130" t="s">
        <v>46</v>
      </c>
      <c r="W130" t="s">
        <v>515</v>
      </c>
      <c r="X130" t="s">
        <v>375</v>
      </c>
      <c r="Y130" t="s">
        <v>3593</v>
      </c>
      <c r="Z130" t="s">
        <v>3530</v>
      </c>
      <c r="AA130" t="s">
        <v>3526</v>
      </c>
      <c r="AB130" t="s">
        <v>32</v>
      </c>
      <c r="AC130" t="s">
        <v>1098</v>
      </c>
      <c r="AD130" t="s">
        <v>1099</v>
      </c>
      <c r="AE130" t="s">
        <v>33</v>
      </c>
    </row>
    <row r="131" spans="1:31">
      <c r="A131" t="s">
        <v>1100</v>
      </c>
      <c r="B131" t="s">
        <v>34</v>
      </c>
      <c r="C131" t="s">
        <v>25</v>
      </c>
      <c r="D131" t="s">
        <v>99</v>
      </c>
      <c r="E131" t="s">
        <v>692</v>
      </c>
      <c r="F131" s="1">
        <v>46077.363668981481</v>
      </c>
      <c r="G131" t="s">
        <v>226</v>
      </c>
      <c r="H131" t="s">
        <v>776</v>
      </c>
      <c r="I131" t="s">
        <v>3665</v>
      </c>
      <c r="J131" t="s">
        <v>44</v>
      </c>
      <c r="K131" t="s">
        <v>300</v>
      </c>
      <c r="L131" t="s">
        <v>46</v>
      </c>
      <c r="M131" t="s">
        <v>379</v>
      </c>
      <c r="N131" t="s">
        <v>379</v>
      </c>
      <c r="O131" t="s">
        <v>30</v>
      </c>
      <c r="P131" s="1">
        <v>46077.36515046296</v>
      </c>
      <c r="Q131" s="1">
        <v>46077.363749999997</v>
      </c>
      <c r="R131" t="s">
        <v>38</v>
      </c>
      <c r="S131" t="s">
        <v>3140</v>
      </c>
      <c r="T131" t="s">
        <v>31</v>
      </c>
      <c r="U131" t="s">
        <v>399</v>
      </c>
      <c r="V131" t="s">
        <v>46</v>
      </c>
      <c r="W131" t="s">
        <v>379</v>
      </c>
      <c r="X131" t="s">
        <v>379</v>
      </c>
      <c r="Y131">
        <v>15741</v>
      </c>
      <c r="Z131" t="s">
        <v>3530</v>
      </c>
      <c r="AA131" t="s">
        <v>3526</v>
      </c>
      <c r="AB131" t="s">
        <v>32</v>
      </c>
      <c r="AC131" t="s">
        <v>1101</v>
      </c>
      <c r="AD131" t="s">
        <v>1102</v>
      </c>
      <c r="AE131" t="s">
        <v>33</v>
      </c>
    </row>
    <row r="132" spans="1:31">
      <c r="A132" t="s">
        <v>1103</v>
      </c>
      <c r="B132" t="s">
        <v>34</v>
      </c>
      <c r="C132" t="s">
        <v>285</v>
      </c>
      <c r="D132" t="s">
        <v>1104</v>
      </c>
      <c r="E132" t="s">
        <v>590</v>
      </c>
      <c r="F132" s="1">
        <v>46077.362384259257</v>
      </c>
      <c r="G132" t="s">
        <v>101</v>
      </c>
      <c r="H132" t="s">
        <v>776</v>
      </c>
      <c r="I132" t="s">
        <v>3667</v>
      </c>
      <c r="J132" t="s">
        <v>44</v>
      </c>
      <c r="K132" t="s">
        <v>300</v>
      </c>
      <c r="L132" t="s">
        <v>46</v>
      </c>
      <c r="M132" t="s">
        <v>379</v>
      </c>
      <c r="N132" t="s">
        <v>379</v>
      </c>
      <c r="O132" t="s">
        <v>30</v>
      </c>
      <c r="P132" s="1">
        <v>46077.362754629627</v>
      </c>
      <c r="Q132" s="1">
        <v>46077.362743055557</v>
      </c>
      <c r="R132" t="s">
        <v>38</v>
      </c>
      <c r="S132" t="s">
        <v>3191</v>
      </c>
      <c r="T132" t="s">
        <v>31</v>
      </c>
      <c r="U132" t="s">
        <v>399</v>
      </c>
      <c r="V132" t="s">
        <v>46</v>
      </c>
      <c r="W132" t="s">
        <v>379</v>
      </c>
      <c r="X132" t="s">
        <v>379</v>
      </c>
      <c r="Y132">
        <v>10568</v>
      </c>
      <c r="Z132" t="s">
        <v>3530</v>
      </c>
      <c r="AA132" t="s">
        <v>3526</v>
      </c>
      <c r="AB132" t="s">
        <v>32</v>
      </c>
      <c r="AC132" t="s">
        <v>1105</v>
      </c>
      <c r="AD132" t="s">
        <v>1106</v>
      </c>
      <c r="AE132" t="s">
        <v>33</v>
      </c>
    </row>
    <row r="133" spans="1:31">
      <c r="A133" t="s">
        <v>1107</v>
      </c>
      <c r="B133" t="s">
        <v>34</v>
      </c>
      <c r="C133" t="s">
        <v>1108</v>
      </c>
      <c r="D133" t="s">
        <v>1109</v>
      </c>
      <c r="E133" t="s">
        <v>252</v>
      </c>
      <c r="F133" s="1">
        <v>46077.358275462961</v>
      </c>
      <c r="G133" t="s">
        <v>424</v>
      </c>
      <c r="H133" t="s">
        <v>776</v>
      </c>
      <c r="I133" t="s">
        <v>3668</v>
      </c>
      <c r="J133" t="s">
        <v>44</v>
      </c>
      <c r="K133" t="s">
        <v>179</v>
      </c>
      <c r="L133" t="s">
        <v>162</v>
      </c>
      <c r="M133" t="s">
        <v>163</v>
      </c>
      <c r="N133" t="s">
        <v>164</v>
      </c>
      <c r="O133" t="s">
        <v>30</v>
      </c>
      <c r="P133" s="1">
        <v>46079.412928240738</v>
      </c>
      <c r="Q133" s="1">
        <v>46079.412881944445</v>
      </c>
      <c r="R133" t="s">
        <v>38</v>
      </c>
      <c r="S133" t="s">
        <v>3594</v>
      </c>
      <c r="T133" t="s">
        <v>31</v>
      </c>
      <c r="U133" t="s">
        <v>104</v>
      </c>
      <c r="V133" t="s">
        <v>46</v>
      </c>
      <c r="W133" t="s">
        <v>515</v>
      </c>
      <c r="X133" t="s">
        <v>2177</v>
      </c>
      <c r="Y133">
        <v>15845</v>
      </c>
      <c r="Z133" t="s">
        <v>3536</v>
      </c>
      <c r="AA133" t="s">
        <v>3526</v>
      </c>
      <c r="AB133" t="s">
        <v>32</v>
      </c>
      <c r="AC133" t="s">
        <v>1110</v>
      </c>
      <c r="AD133" t="s">
        <v>1111</v>
      </c>
      <c r="AE133" t="s">
        <v>33</v>
      </c>
    </row>
    <row r="134" spans="1:31">
      <c r="A134" t="s">
        <v>1115</v>
      </c>
      <c r="B134" t="s">
        <v>24</v>
      </c>
      <c r="C134" t="s">
        <v>1116</v>
      </c>
      <c r="D134" t="s">
        <v>1117</v>
      </c>
      <c r="E134" t="s">
        <v>347</v>
      </c>
      <c r="F134" s="1">
        <v>46077.353437500002</v>
      </c>
      <c r="G134" t="s">
        <v>238</v>
      </c>
      <c r="H134" t="s">
        <v>776</v>
      </c>
      <c r="I134" t="s">
        <v>3665</v>
      </c>
      <c r="J134" t="s">
        <v>44</v>
      </c>
      <c r="K134" t="s">
        <v>179</v>
      </c>
      <c r="L134" t="s">
        <v>46</v>
      </c>
      <c r="M134" t="s">
        <v>348</v>
      </c>
      <c r="N134" t="s">
        <v>349</v>
      </c>
      <c r="O134" t="s">
        <v>86</v>
      </c>
      <c r="P134" s="1">
        <v>46077.355312500003</v>
      </c>
      <c r="Q134" s="1">
        <v>46077.354548611111</v>
      </c>
      <c r="R134" t="s">
        <v>38</v>
      </c>
      <c r="S134" t="e">
        <f>- EV has been reinstalled - issue has been resolved</f>
        <v>#NAME?</v>
      </c>
      <c r="T134" t="s">
        <v>31</v>
      </c>
      <c r="U134" t="s">
        <v>350</v>
      </c>
      <c r="V134" t="s">
        <v>46</v>
      </c>
      <c r="W134" t="s">
        <v>454</v>
      </c>
      <c r="X134" t="s">
        <v>488</v>
      </c>
      <c r="Y134" t="s">
        <v>3595</v>
      </c>
      <c r="Z134" t="s">
        <v>3530</v>
      </c>
      <c r="AA134" t="s">
        <v>3526</v>
      </c>
      <c r="AB134" t="s">
        <v>32</v>
      </c>
      <c r="AC134" t="s">
        <v>1118</v>
      </c>
      <c r="AD134" t="s">
        <v>1119</v>
      </c>
      <c r="AE134" t="s">
        <v>33</v>
      </c>
    </row>
    <row r="135" spans="1:31" hidden="1">
      <c r="A135" t="s">
        <v>1130</v>
      </c>
      <c r="B135" t="s">
        <v>34</v>
      </c>
      <c r="C135" t="s">
        <v>469</v>
      </c>
      <c r="D135" t="s">
        <v>1131</v>
      </c>
      <c r="E135" t="s">
        <v>926</v>
      </c>
      <c r="F135" s="1">
        <v>46077.480474537035</v>
      </c>
      <c r="G135" t="s">
        <v>26</v>
      </c>
      <c r="H135" t="s">
        <v>776</v>
      </c>
      <c r="I135" t="s">
        <v>3665</v>
      </c>
      <c r="J135" t="s">
        <v>134</v>
      </c>
      <c r="K135" t="s">
        <v>320</v>
      </c>
      <c r="L135" t="s">
        <v>46</v>
      </c>
      <c r="M135" t="s">
        <v>188</v>
      </c>
      <c r="N135" t="s">
        <v>521</v>
      </c>
      <c r="O135" t="s">
        <v>30</v>
      </c>
      <c r="P135" s="1">
        <v>46077.495844907404</v>
      </c>
      <c r="Q135" s="1">
        <v>46077.495810185188</v>
      </c>
      <c r="R135" t="s">
        <v>38</v>
      </c>
      <c r="S135" t="s">
        <v>3192</v>
      </c>
      <c r="T135" t="s">
        <v>31</v>
      </c>
      <c r="U135" t="s">
        <v>923</v>
      </c>
      <c r="V135" t="s">
        <v>46</v>
      </c>
      <c r="W135" t="s">
        <v>188</v>
      </c>
      <c r="X135" t="s">
        <v>521</v>
      </c>
      <c r="Y135">
        <v>11777</v>
      </c>
      <c r="Z135" t="s">
        <v>3531</v>
      </c>
      <c r="AA135" t="s">
        <v>3526</v>
      </c>
      <c r="AB135" t="s">
        <v>32</v>
      </c>
      <c r="AC135" t="s">
        <v>1132</v>
      </c>
      <c r="AD135" t="s">
        <v>1133</v>
      </c>
      <c r="AE135" t="s">
        <v>33</v>
      </c>
    </row>
    <row r="136" spans="1:31" hidden="1">
      <c r="A136" t="s">
        <v>1134</v>
      </c>
      <c r="B136" t="s">
        <v>34</v>
      </c>
      <c r="C136" t="s">
        <v>116</v>
      </c>
      <c r="D136" t="s">
        <v>1135</v>
      </c>
      <c r="E136" t="s">
        <v>1136</v>
      </c>
      <c r="F136" s="1">
        <v>46077.375</v>
      </c>
      <c r="G136" t="s">
        <v>226</v>
      </c>
      <c r="H136" t="s">
        <v>776</v>
      </c>
      <c r="I136" t="s">
        <v>3665</v>
      </c>
      <c r="J136" t="s">
        <v>134</v>
      </c>
      <c r="K136" t="s">
        <v>494</v>
      </c>
      <c r="L136" t="s">
        <v>162</v>
      </c>
      <c r="M136" t="s">
        <v>163</v>
      </c>
      <c r="N136" t="s">
        <v>164</v>
      </c>
      <c r="O136" t="s">
        <v>30</v>
      </c>
      <c r="P136" s="1">
        <v>46079.379201388889</v>
      </c>
      <c r="R136" t="s">
        <v>90</v>
      </c>
      <c r="T136" t="s">
        <v>31</v>
      </c>
      <c r="U136" t="s">
        <v>1137</v>
      </c>
      <c r="V136" t="s">
        <v>46</v>
      </c>
      <c r="W136" t="s">
        <v>910</v>
      </c>
      <c r="X136" t="s">
        <v>3499</v>
      </c>
      <c r="Y136">
        <v>4230</v>
      </c>
      <c r="Z136" t="s">
        <v>3536</v>
      </c>
      <c r="AA136" t="s">
        <v>3541</v>
      </c>
      <c r="AB136" t="s">
        <v>32</v>
      </c>
      <c r="AC136" t="s">
        <v>1138</v>
      </c>
      <c r="AD136" t="s">
        <v>1139</v>
      </c>
      <c r="AE136" t="s">
        <v>33</v>
      </c>
    </row>
    <row r="137" spans="1:31" hidden="1">
      <c r="A137" t="s">
        <v>1141</v>
      </c>
      <c r="B137" t="s">
        <v>24</v>
      </c>
      <c r="C137" t="s">
        <v>759</v>
      </c>
      <c r="D137" t="s">
        <v>1142</v>
      </c>
      <c r="E137" t="s">
        <v>1143</v>
      </c>
      <c r="F137" s="1">
        <v>46077.343194444446</v>
      </c>
      <c r="G137" t="s">
        <v>157</v>
      </c>
      <c r="H137" t="s">
        <v>776</v>
      </c>
      <c r="I137" t="s">
        <v>3670</v>
      </c>
      <c r="J137" t="s">
        <v>44</v>
      </c>
      <c r="K137" t="s">
        <v>680</v>
      </c>
      <c r="L137" t="s">
        <v>27</v>
      </c>
      <c r="M137" t="s">
        <v>28</v>
      </c>
      <c r="O137" t="s">
        <v>86</v>
      </c>
      <c r="P137" s="1">
        <v>46079.371122685188</v>
      </c>
      <c r="R137" t="s">
        <v>90</v>
      </c>
      <c r="T137" t="s">
        <v>31</v>
      </c>
      <c r="U137" t="s">
        <v>104</v>
      </c>
      <c r="V137" t="s">
        <v>28</v>
      </c>
      <c r="Y137" t="s">
        <v>3596</v>
      </c>
      <c r="Z137" t="s">
        <v>3536</v>
      </c>
      <c r="AA137" t="s">
        <v>3541</v>
      </c>
      <c r="AB137" t="s">
        <v>32</v>
      </c>
      <c r="AC137" t="s">
        <v>1144</v>
      </c>
      <c r="AD137" t="s">
        <v>1145</v>
      </c>
      <c r="AE137" t="s">
        <v>33</v>
      </c>
    </row>
    <row r="138" spans="1:31">
      <c r="A138" t="s">
        <v>1146</v>
      </c>
      <c r="B138" t="s">
        <v>34</v>
      </c>
      <c r="C138" t="s">
        <v>1147</v>
      </c>
      <c r="D138" t="s">
        <v>1148</v>
      </c>
      <c r="E138" t="s">
        <v>109</v>
      </c>
      <c r="F138" s="1">
        <v>46077.336921296293</v>
      </c>
      <c r="G138" t="s">
        <v>153</v>
      </c>
      <c r="H138" t="s">
        <v>776</v>
      </c>
      <c r="I138" t="s">
        <v>3669</v>
      </c>
      <c r="J138" t="s">
        <v>44</v>
      </c>
      <c r="K138" t="s">
        <v>1149</v>
      </c>
      <c r="L138" t="s">
        <v>46</v>
      </c>
      <c r="M138" t="s">
        <v>110</v>
      </c>
      <c r="N138" t="s">
        <v>111</v>
      </c>
      <c r="O138" t="s">
        <v>30</v>
      </c>
      <c r="P138" s="1">
        <v>46077.338460648149</v>
      </c>
      <c r="Q138" s="1">
        <v>46077.337060185186</v>
      </c>
      <c r="R138" t="s">
        <v>38</v>
      </c>
      <c r="S138" t="s">
        <v>3193</v>
      </c>
      <c r="T138" t="s">
        <v>31</v>
      </c>
      <c r="U138" t="s">
        <v>1150</v>
      </c>
      <c r="V138" t="s">
        <v>46</v>
      </c>
      <c r="W138" t="s">
        <v>110</v>
      </c>
      <c r="X138" t="s">
        <v>111</v>
      </c>
      <c r="Z138" t="s">
        <v>3530</v>
      </c>
      <c r="AA138" t="s">
        <v>3526</v>
      </c>
      <c r="AB138" t="s">
        <v>32</v>
      </c>
      <c r="AC138" t="s">
        <v>739</v>
      </c>
      <c r="AD138" t="s">
        <v>1151</v>
      </c>
      <c r="AE138" t="s">
        <v>33</v>
      </c>
    </row>
    <row r="139" spans="1:31" hidden="1">
      <c r="A139" t="s">
        <v>1152</v>
      </c>
      <c r="B139" t="s">
        <v>34</v>
      </c>
      <c r="C139" t="s">
        <v>79</v>
      </c>
      <c r="D139" t="s">
        <v>1153</v>
      </c>
      <c r="E139" t="s">
        <v>95</v>
      </c>
      <c r="F139" s="1">
        <v>46077.336365740739</v>
      </c>
      <c r="G139" t="s">
        <v>470</v>
      </c>
      <c r="H139" t="s">
        <v>776</v>
      </c>
      <c r="I139" t="s">
        <v>3671</v>
      </c>
      <c r="J139" t="s">
        <v>134</v>
      </c>
      <c r="K139" t="s">
        <v>320</v>
      </c>
      <c r="L139" t="s">
        <v>162</v>
      </c>
      <c r="M139" t="s">
        <v>163</v>
      </c>
      <c r="N139" t="s">
        <v>164</v>
      </c>
      <c r="O139" t="s">
        <v>30</v>
      </c>
      <c r="P139" s="1">
        <v>46078.455150462964</v>
      </c>
      <c r="Q139" s="1">
        <v>46078.454710648148</v>
      </c>
      <c r="R139" t="s">
        <v>38</v>
      </c>
      <c r="S139" t="s">
        <v>3194</v>
      </c>
      <c r="T139" t="s">
        <v>31</v>
      </c>
      <c r="U139" t="s">
        <v>104</v>
      </c>
      <c r="V139" t="s">
        <v>46</v>
      </c>
      <c r="W139" t="s">
        <v>197</v>
      </c>
      <c r="X139" t="s">
        <v>875</v>
      </c>
      <c r="Y139">
        <v>15620</v>
      </c>
      <c r="Z139" t="s">
        <v>3536</v>
      </c>
      <c r="AA139" t="s">
        <v>3526</v>
      </c>
      <c r="AB139" t="s">
        <v>32</v>
      </c>
      <c r="AC139" t="s">
        <v>1154</v>
      </c>
      <c r="AD139" t="s">
        <v>1155</v>
      </c>
      <c r="AE139" t="s">
        <v>33</v>
      </c>
    </row>
    <row r="140" spans="1:31">
      <c r="A140" t="s">
        <v>1156</v>
      </c>
      <c r="B140" t="s">
        <v>34</v>
      </c>
      <c r="C140" t="s">
        <v>66</v>
      </c>
      <c r="D140" t="s">
        <v>1157</v>
      </c>
      <c r="E140" t="s">
        <v>1158</v>
      </c>
      <c r="F140" s="1">
        <v>46077.329618055555</v>
      </c>
      <c r="G140" t="s">
        <v>470</v>
      </c>
      <c r="H140" t="s">
        <v>776</v>
      </c>
      <c r="I140" t="s">
        <v>3671</v>
      </c>
      <c r="J140" t="s">
        <v>44</v>
      </c>
      <c r="K140" t="s">
        <v>1149</v>
      </c>
      <c r="L140" t="s">
        <v>46</v>
      </c>
      <c r="M140" t="s">
        <v>379</v>
      </c>
      <c r="N140" t="s">
        <v>379</v>
      </c>
      <c r="O140" t="s">
        <v>30</v>
      </c>
      <c r="P140" s="1">
        <v>46077.337384259263</v>
      </c>
      <c r="Q140" s="1">
        <v>46077.337372685186</v>
      </c>
      <c r="R140" t="s">
        <v>38</v>
      </c>
      <c r="S140" t="s">
        <v>3195</v>
      </c>
      <c r="T140" t="s">
        <v>31</v>
      </c>
      <c r="U140" t="s">
        <v>1150</v>
      </c>
      <c r="V140" t="s">
        <v>46</v>
      </c>
      <c r="W140" t="s">
        <v>379</v>
      </c>
      <c r="X140" t="s">
        <v>379</v>
      </c>
      <c r="Y140">
        <v>5860</v>
      </c>
      <c r="Z140" t="s">
        <v>3530</v>
      </c>
      <c r="AA140" t="s">
        <v>3526</v>
      </c>
      <c r="AB140" t="s">
        <v>32</v>
      </c>
      <c r="AC140" t="s">
        <v>1159</v>
      </c>
      <c r="AD140" t="s">
        <v>1160</v>
      </c>
      <c r="AE140" t="s">
        <v>33</v>
      </c>
    </row>
    <row r="141" spans="1:31">
      <c r="A141" t="s">
        <v>1165</v>
      </c>
      <c r="B141" t="s">
        <v>34</v>
      </c>
      <c r="C141" t="s">
        <v>66</v>
      </c>
      <c r="D141" t="s">
        <v>805</v>
      </c>
      <c r="E141" t="s">
        <v>109</v>
      </c>
      <c r="F141" s="1">
        <v>46077.312303240738</v>
      </c>
      <c r="G141" t="s">
        <v>424</v>
      </c>
      <c r="H141" t="s">
        <v>776</v>
      </c>
      <c r="I141" t="s">
        <v>3668</v>
      </c>
      <c r="J141" t="s">
        <v>44</v>
      </c>
      <c r="K141" t="s">
        <v>1149</v>
      </c>
      <c r="L141" t="s">
        <v>46</v>
      </c>
      <c r="M141" t="s">
        <v>110</v>
      </c>
      <c r="N141" t="s">
        <v>111</v>
      </c>
      <c r="O141" t="s">
        <v>30</v>
      </c>
      <c r="P141" s="1">
        <v>46077.314085648148</v>
      </c>
      <c r="Q141" s="1">
        <v>46077.312442129631</v>
      </c>
      <c r="R141" t="s">
        <v>38</v>
      </c>
      <c r="S141" t="s">
        <v>3193</v>
      </c>
      <c r="T141" t="s">
        <v>31</v>
      </c>
      <c r="U141" t="s">
        <v>1150</v>
      </c>
      <c r="V141" t="s">
        <v>46</v>
      </c>
      <c r="W141" t="s">
        <v>110</v>
      </c>
      <c r="X141" t="s">
        <v>111</v>
      </c>
      <c r="Y141">
        <v>5736</v>
      </c>
      <c r="Z141" t="s">
        <v>3530</v>
      </c>
      <c r="AA141" t="s">
        <v>3526</v>
      </c>
      <c r="AB141" t="s">
        <v>32</v>
      </c>
      <c r="AC141" t="s">
        <v>806</v>
      </c>
      <c r="AD141" t="s">
        <v>807</v>
      </c>
      <c r="AE141" t="s">
        <v>33</v>
      </c>
    </row>
    <row r="142" spans="1:31">
      <c r="A142" t="s">
        <v>1166</v>
      </c>
      <c r="B142" t="s">
        <v>34</v>
      </c>
      <c r="C142" t="s">
        <v>124</v>
      </c>
      <c r="D142" t="s">
        <v>125</v>
      </c>
      <c r="E142" t="s">
        <v>1158</v>
      </c>
      <c r="F142" s="1">
        <v>46077.300023148149</v>
      </c>
      <c r="G142" t="s">
        <v>118</v>
      </c>
      <c r="H142" t="s">
        <v>776</v>
      </c>
      <c r="I142" t="s">
        <v>3666</v>
      </c>
      <c r="J142" t="s">
        <v>44</v>
      </c>
      <c r="K142" t="s">
        <v>1149</v>
      </c>
      <c r="L142" t="s">
        <v>46</v>
      </c>
      <c r="M142" t="s">
        <v>379</v>
      </c>
      <c r="N142" t="s">
        <v>379</v>
      </c>
      <c r="O142" t="s">
        <v>30</v>
      </c>
      <c r="P142" s="1">
        <v>46077.301550925928</v>
      </c>
      <c r="Q142" s="1">
        <v>46077.30064814815</v>
      </c>
      <c r="R142" t="s">
        <v>38</v>
      </c>
      <c r="S142" t="s">
        <v>3195</v>
      </c>
      <c r="T142" t="s">
        <v>31</v>
      </c>
      <c r="U142" t="s">
        <v>1150</v>
      </c>
      <c r="V142" t="s">
        <v>46</v>
      </c>
      <c r="W142" t="s">
        <v>379</v>
      </c>
      <c r="X142" t="s">
        <v>379</v>
      </c>
      <c r="Y142">
        <v>15016</v>
      </c>
      <c r="Z142" t="s">
        <v>3530</v>
      </c>
      <c r="AA142" t="s">
        <v>3526</v>
      </c>
      <c r="AB142" t="s">
        <v>32</v>
      </c>
      <c r="AC142" t="s">
        <v>126</v>
      </c>
      <c r="AD142" t="s">
        <v>127</v>
      </c>
      <c r="AE142" t="s">
        <v>33</v>
      </c>
    </row>
    <row r="143" spans="1:31">
      <c r="A143" t="s">
        <v>1167</v>
      </c>
      <c r="B143" t="s">
        <v>34</v>
      </c>
      <c r="C143" t="s">
        <v>825</v>
      </c>
      <c r="D143" t="s">
        <v>172</v>
      </c>
      <c r="E143" t="s">
        <v>109</v>
      </c>
      <c r="F143" s="1">
        <v>46077.299317129633</v>
      </c>
      <c r="G143" t="s">
        <v>62</v>
      </c>
      <c r="H143" t="s">
        <v>776</v>
      </c>
      <c r="I143" t="s">
        <v>3668</v>
      </c>
      <c r="J143" t="s">
        <v>44</v>
      </c>
      <c r="K143" t="s">
        <v>1149</v>
      </c>
      <c r="L143" t="s">
        <v>46</v>
      </c>
      <c r="M143" t="s">
        <v>110</v>
      </c>
      <c r="N143" t="s">
        <v>111</v>
      </c>
      <c r="O143" t="s">
        <v>30</v>
      </c>
      <c r="P143" s="1">
        <v>46077.300324074073</v>
      </c>
      <c r="Q143" s="1">
        <v>46077.30028935185</v>
      </c>
      <c r="R143" t="s">
        <v>38</v>
      </c>
      <c r="S143" t="s">
        <v>3193</v>
      </c>
      <c r="T143" t="s">
        <v>31</v>
      </c>
      <c r="U143" t="s">
        <v>1150</v>
      </c>
      <c r="V143" t="s">
        <v>46</v>
      </c>
      <c r="W143" t="s">
        <v>110</v>
      </c>
      <c r="X143" t="s">
        <v>111</v>
      </c>
      <c r="Y143" t="s">
        <v>3597</v>
      </c>
      <c r="Z143" t="s">
        <v>3530</v>
      </c>
      <c r="AA143" t="s">
        <v>3526</v>
      </c>
      <c r="AB143" t="s">
        <v>32</v>
      </c>
      <c r="AC143" t="s">
        <v>1168</v>
      </c>
      <c r="AD143" t="s">
        <v>1169</v>
      </c>
      <c r="AE143" t="s">
        <v>33</v>
      </c>
    </row>
    <row r="144" spans="1:31">
      <c r="A144" t="s">
        <v>1170</v>
      </c>
      <c r="B144" t="s">
        <v>34</v>
      </c>
      <c r="C144" t="s">
        <v>1027</v>
      </c>
      <c r="D144" t="s">
        <v>1028</v>
      </c>
      <c r="E144" t="s">
        <v>109</v>
      </c>
      <c r="F144" s="1">
        <v>46077.286874999998</v>
      </c>
      <c r="G144" t="s">
        <v>186</v>
      </c>
      <c r="H144" t="s">
        <v>776</v>
      </c>
      <c r="I144" t="s">
        <v>3667</v>
      </c>
      <c r="J144" t="s">
        <v>44</v>
      </c>
      <c r="K144" t="s">
        <v>1149</v>
      </c>
      <c r="L144" t="s">
        <v>46</v>
      </c>
      <c r="M144" t="s">
        <v>110</v>
      </c>
      <c r="N144" t="s">
        <v>111</v>
      </c>
      <c r="O144" t="s">
        <v>30</v>
      </c>
      <c r="P144" s="1">
        <v>46077.294606481482</v>
      </c>
      <c r="Q144" s="1">
        <v>46077.294571759259</v>
      </c>
      <c r="R144" t="s">
        <v>38</v>
      </c>
      <c r="S144" t="s">
        <v>3193</v>
      </c>
      <c r="T144" t="s">
        <v>31</v>
      </c>
      <c r="U144" t="s">
        <v>1150</v>
      </c>
      <c r="V144" t="s">
        <v>46</v>
      </c>
      <c r="W144" t="s">
        <v>110</v>
      </c>
      <c r="X144" t="s">
        <v>111</v>
      </c>
      <c r="Y144">
        <v>6231</v>
      </c>
      <c r="Z144" t="s">
        <v>3530</v>
      </c>
      <c r="AA144" t="s">
        <v>3526</v>
      </c>
      <c r="AB144" t="s">
        <v>32</v>
      </c>
      <c r="AC144" t="s">
        <v>1029</v>
      </c>
      <c r="AD144" t="s">
        <v>1030</v>
      </c>
      <c r="AE144" t="s">
        <v>33</v>
      </c>
    </row>
    <row r="145" spans="1:31" hidden="1">
      <c r="A145" t="s">
        <v>1171</v>
      </c>
      <c r="B145" t="s">
        <v>34</v>
      </c>
      <c r="C145" t="s">
        <v>1172</v>
      </c>
      <c r="D145" t="s">
        <v>99</v>
      </c>
      <c r="E145" t="s">
        <v>1082</v>
      </c>
      <c r="F145" s="1">
        <v>46077.147673611114</v>
      </c>
      <c r="G145" t="s">
        <v>153</v>
      </c>
      <c r="H145" t="s">
        <v>776</v>
      </c>
      <c r="I145" t="s">
        <v>3669</v>
      </c>
      <c r="J145" t="s">
        <v>134</v>
      </c>
      <c r="K145" t="s">
        <v>231</v>
      </c>
      <c r="L145" t="s">
        <v>46</v>
      </c>
      <c r="M145" t="s">
        <v>751</v>
      </c>
      <c r="N145" t="s">
        <v>752</v>
      </c>
      <c r="O145" t="s">
        <v>30</v>
      </c>
      <c r="P145" s="1">
        <v>46079.28738425926</v>
      </c>
      <c r="R145" t="s">
        <v>90</v>
      </c>
      <c r="T145" t="s">
        <v>31</v>
      </c>
      <c r="U145" t="s">
        <v>1150</v>
      </c>
      <c r="Y145">
        <v>3485</v>
      </c>
      <c r="Z145" t="s">
        <v>3525</v>
      </c>
      <c r="AA145" t="s">
        <v>3539</v>
      </c>
      <c r="AB145" t="s">
        <v>32</v>
      </c>
      <c r="AC145" t="s">
        <v>1173</v>
      </c>
      <c r="AD145" t="s">
        <v>1174</v>
      </c>
      <c r="AE145" t="s">
        <v>33</v>
      </c>
    </row>
    <row r="146" spans="1:31" hidden="1">
      <c r="A146" t="s">
        <v>1175</v>
      </c>
      <c r="B146" t="s">
        <v>34</v>
      </c>
      <c r="C146" t="s">
        <v>509</v>
      </c>
      <c r="D146" t="s">
        <v>1176</v>
      </c>
      <c r="E146" t="s">
        <v>1082</v>
      </c>
      <c r="F146" s="1">
        <v>46077.145266203705</v>
      </c>
      <c r="G146" t="s">
        <v>26</v>
      </c>
      <c r="H146" t="s">
        <v>776</v>
      </c>
      <c r="I146" t="s">
        <v>3665</v>
      </c>
      <c r="J146" t="s">
        <v>134</v>
      </c>
      <c r="K146" t="s">
        <v>320</v>
      </c>
      <c r="L146" t="s">
        <v>46</v>
      </c>
      <c r="M146" t="s">
        <v>751</v>
      </c>
      <c r="N146" t="s">
        <v>752</v>
      </c>
      <c r="O146" t="s">
        <v>30</v>
      </c>
      <c r="P146" s="1">
        <v>46077.476736111108</v>
      </c>
      <c r="Q146" s="1">
        <v>46077.476724537039</v>
      </c>
      <c r="R146" t="s">
        <v>38</v>
      </c>
      <c r="S146" t="e">
        <f>- Cleaned / deleted Quarantined items. - deleted temporary files, temporary internet files and cookies. - Ran SEP Active scan. - Completed successfully</f>
        <v>#NAME?</v>
      </c>
      <c r="T146" t="s">
        <v>31</v>
      </c>
      <c r="U146" t="s">
        <v>1150</v>
      </c>
      <c r="V146" t="s">
        <v>46</v>
      </c>
      <c r="W146" t="s">
        <v>751</v>
      </c>
      <c r="X146" t="s">
        <v>752</v>
      </c>
      <c r="Y146" t="s">
        <v>3598</v>
      </c>
      <c r="Z146" t="s">
        <v>3525</v>
      </c>
      <c r="AA146" t="s">
        <v>3526</v>
      </c>
      <c r="AB146" t="s">
        <v>32</v>
      </c>
      <c r="AC146" t="s">
        <v>1177</v>
      </c>
      <c r="AD146" t="s">
        <v>1178</v>
      </c>
      <c r="AE146" t="s">
        <v>33</v>
      </c>
    </row>
    <row r="147" spans="1:31">
      <c r="A147" t="s">
        <v>1179</v>
      </c>
      <c r="B147" t="s">
        <v>34</v>
      </c>
      <c r="C147" t="s">
        <v>115</v>
      </c>
      <c r="D147" t="s">
        <v>115</v>
      </c>
      <c r="E147" t="s">
        <v>109</v>
      </c>
      <c r="F147" s="1">
        <v>46077.143171296295</v>
      </c>
      <c r="G147" t="s">
        <v>96</v>
      </c>
      <c r="H147" t="s">
        <v>776</v>
      </c>
      <c r="I147" t="s">
        <v>96</v>
      </c>
      <c r="J147" t="s">
        <v>44</v>
      </c>
      <c r="K147" t="s">
        <v>1149</v>
      </c>
      <c r="L147" t="s">
        <v>46</v>
      </c>
      <c r="M147" t="s">
        <v>110</v>
      </c>
      <c r="N147" t="s">
        <v>111</v>
      </c>
      <c r="O147" t="s">
        <v>30</v>
      </c>
      <c r="P147" s="1">
        <v>46077.15079861111</v>
      </c>
      <c r="Q147" s="1">
        <v>46077.150787037041</v>
      </c>
      <c r="R147" t="s">
        <v>38</v>
      </c>
      <c r="S147" t="s">
        <v>3193</v>
      </c>
      <c r="T147" t="s">
        <v>31</v>
      </c>
      <c r="U147" t="s">
        <v>1150</v>
      </c>
      <c r="V147" t="s">
        <v>46</v>
      </c>
      <c r="W147" t="s">
        <v>110</v>
      </c>
      <c r="X147" t="s">
        <v>111</v>
      </c>
      <c r="Y147">
        <v>871</v>
      </c>
      <c r="Z147" t="s">
        <v>3530</v>
      </c>
      <c r="AA147" t="s">
        <v>3526</v>
      </c>
      <c r="AB147" t="s">
        <v>32</v>
      </c>
      <c r="AC147" t="s">
        <v>1180</v>
      </c>
      <c r="AD147" t="s">
        <v>1181</v>
      </c>
      <c r="AE147" t="s">
        <v>33</v>
      </c>
    </row>
    <row r="148" spans="1:31">
      <c r="A148" t="s">
        <v>1182</v>
      </c>
      <c r="B148" t="s">
        <v>34</v>
      </c>
      <c r="C148" t="s">
        <v>154</v>
      </c>
      <c r="D148" t="s">
        <v>261</v>
      </c>
      <c r="E148" t="s">
        <v>109</v>
      </c>
      <c r="F148" s="1">
        <v>46077.084606481483</v>
      </c>
      <c r="G148" t="s">
        <v>186</v>
      </c>
      <c r="H148" t="s">
        <v>776</v>
      </c>
      <c r="I148" t="s">
        <v>3667</v>
      </c>
      <c r="J148" t="s">
        <v>44</v>
      </c>
      <c r="K148" t="s">
        <v>1149</v>
      </c>
      <c r="L148" t="s">
        <v>46</v>
      </c>
      <c r="M148" t="s">
        <v>110</v>
      </c>
      <c r="N148" t="s">
        <v>111</v>
      </c>
      <c r="O148" t="s">
        <v>30</v>
      </c>
      <c r="P148" s="1">
        <v>46077.150671296295</v>
      </c>
      <c r="Q148" s="1">
        <v>46077.150659722225</v>
      </c>
      <c r="R148" t="s">
        <v>38</v>
      </c>
      <c r="S148" t="s">
        <v>3193</v>
      </c>
      <c r="T148" t="s">
        <v>31</v>
      </c>
      <c r="U148" t="s">
        <v>1150</v>
      </c>
      <c r="V148" t="s">
        <v>46</v>
      </c>
      <c r="W148" t="s">
        <v>110</v>
      </c>
      <c r="X148" t="s">
        <v>111</v>
      </c>
      <c r="Y148">
        <v>1927</v>
      </c>
      <c r="Z148" t="s">
        <v>3530</v>
      </c>
      <c r="AA148" t="s">
        <v>3526</v>
      </c>
      <c r="AB148" t="s">
        <v>32</v>
      </c>
      <c r="AC148" t="s">
        <v>1183</v>
      </c>
      <c r="AD148" t="s">
        <v>1184</v>
      </c>
      <c r="AE148" t="s">
        <v>33</v>
      </c>
    </row>
    <row r="149" spans="1:31">
      <c r="A149" t="s">
        <v>1185</v>
      </c>
      <c r="B149" t="s">
        <v>34</v>
      </c>
      <c r="C149" t="s">
        <v>1186</v>
      </c>
      <c r="D149" t="s">
        <v>1187</v>
      </c>
      <c r="E149" t="s">
        <v>1188</v>
      </c>
      <c r="F149" s="1">
        <v>46077.083425925928</v>
      </c>
      <c r="G149" t="s">
        <v>755</v>
      </c>
      <c r="H149" t="s">
        <v>776</v>
      </c>
      <c r="I149" t="s">
        <v>3669</v>
      </c>
      <c r="J149" t="s">
        <v>44</v>
      </c>
      <c r="K149" t="s">
        <v>1149</v>
      </c>
      <c r="L149" t="s">
        <v>46</v>
      </c>
      <c r="M149" t="s">
        <v>348</v>
      </c>
      <c r="N149" t="s">
        <v>506</v>
      </c>
      <c r="O149" t="s">
        <v>30</v>
      </c>
      <c r="P149" s="1">
        <v>46077.152280092596</v>
      </c>
      <c r="Q149" s="1">
        <v>46077.152268518519</v>
      </c>
      <c r="R149" t="s">
        <v>38</v>
      </c>
      <c r="S149" t="s">
        <v>3196</v>
      </c>
      <c r="T149" t="s">
        <v>31</v>
      </c>
      <c r="U149" t="s">
        <v>1150</v>
      </c>
      <c r="V149" t="s">
        <v>46</v>
      </c>
      <c r="W149" t="s">
        <v>348</v>
      </c>
      <c r="X149" t="s">
        <v>3197</v>
      </c>
      <c r="Y149">
        <v>11097</v>
      </c>
      <c r="Z149" t="s">
        <v>3530</v>
      </c>
      <c r="AA149" t="s">
        <v>3526</v>
      </c>
      <c r="AB149" t="s">
        <v>32</v>
      </c>
      <c r="AC149" t="s">
        <v>1189</v>
      </c>
      <c r="AD149" t="s">
        <v>1190</v>
      </c>
      <c r="AE149" t="s">
        <v>33</v>
      </c>
    </row>
    <row r="150" spans="1:31">
      <c r="A150" t="s">
        <v>1191</v>
      </c>
      <c r="B150" t="s">
        <v>34</v>
      </c>
      <c r="C150" t="s">
        <v>1192</v>
      </c>
      <c r="D150" t="s">
        <v>1153</v>
      </c>
      <c r="E150" t="s">
        <v>1158</v>
      </c>
      <c r="F150" s="1">
        <v>46077.076493055552</v>
      </c>
      <c r="G150" t="s">
        <v>67</v>
      </c>
      <c r="H150" t="s">
        <v>776</v>
      </c>
      <c r="I150" t="s">
        <v>3671</v>
      </c>
      <c r="J150" t="s">
        <v>44</v>
      </c>
      <c r="K150" t="s">
        <v>1149</v>
      </c>
      <c r="L150" t="s">
        <v>46</v>
      </c>
      <c r="M150" t="s">
        <v>379</v>
      </c>
      <c r="N150" t="s">
        <v>379</v>
      </c>
      <c r="O150" t="s">
        <v>30</v>
      </c>
      <c r="P150" s="1">
        <v>46077.151875000003</v>
      </c>
      <c r="Q150" s="1">
        <v>46077.151863425926</v>
      </c>
      <c r="R150" t="s">
        <v>38</v>
      </c>
      <c r="S150" t="s">
        <v>3195</v>
      </c>
      <c r="T150" t="s">
        <v>31</v>
      </c>
      <c r="U150" t="s">
        <v>1150</v>
      </c>
      <c r="V150" t="s">
        <v>46</v>
      </c>
      <c r="W150" t="s">
        <v>379</v>
      </c>
      <c r="X150" t="s">
        <v>379</v>
      </c>
      <c r="Y150">
        <v>6486</v>
      </c>
      <c r="Z150" t="s">
        <v>3530</v>
      </c>
      <c r="AA150" t="s">
        <v>3526</v>
      </c>
      <c r="AB150" t="s">
        <v>32</v>
      </c>
      <c r="AC150" t="s">
        <v>1193</v>
      </c>
      <c r="AD150" t="s">
        <v>1194</v>
      </c>
      <c r="AE150" t="s">
        <v>33</v>
      </c>
    </row>
    <row r="151" spans="1:31" hidden="1">
      <c r="A151" t="s">
        <v>1195</v>
      </c>
      <c r="B151" t="s">
        <v>34</v>
      </c>
      <c r="C151" t="s">
        <v>769</v>
      </c>
      <c r="D151" t="s">
        <v>770</v>
      </c>
      <c r="E151" t="s">
        <v>771</v>
      </c>
      <c r="F151" s="1">
        <v>46077.064270833333</v>
      </c>
      <c r="G151" t="s">
        <v>62</v>
      </c>
      <c r="H151" t="s">
        <v>776</v>
      </c>
      <c r="I151" t="s">
        <v>3668</v>
      </c>
      <c r="J151" t="s">
        <v>651</v>
      </c>
      <c r="K151" t="s">
        <v>772</v>
      </c>
      <c r="L151" t="s">
        <v>46</v>
      </c>
      <c r="M151" t="s">
        <v>751</v>
      </c>
      <c r="N151" t="s">
        <v>752</v>
      </c>
      <c r="O151" t="s">
        <v>30</v>
      </c>
      <c r="P151" s="1">
        <v>46077.965277777781</v>
      </c>
      <c r="Q151" s="1">
        <v>46077.965243055558</v>
      </c>
      <c r="R151" t="s">
        <v>38</v>
      </c>
      <c r="S151" t="s">
        <v>3198</v>
      </c>
      <c r="T151" t="s">
        <v>31</v>
      </c>
      <c r="U151" t="s">
        <v>1150</v>
      </c>
      <c r="V151" t="s">
        <v>46</v>
      </c>
      <c r="W151" t="s">
        <v>751</v>
      </c>
      <c r="X151" t="s">
        <v>752</v>
      </c>
      <c r="Y151" t="s">
        <v>3580</v>
      </c>
      <c r="Z151" t="s">
        <v>3530</v>
      </c>
      <c r="AA151" t="s">
        <v>3529</v>
      </c>
      <c r="AB151" t="s">
        <v>32</v>
      </c>
      <c r="AC151" t="s">
        <v>773</v>
      </c>
      <c r="AD151" t="s">
        <v>774</v>
      </c>
      <c r="AE151" t="s">
        <v>33</v>
      </c>
    </row>
    <row r="152" spans="1:31">
      <c r="A152" t="s">
        <v>1196</v>
      </c>
      <c r="B152" t="s">
        <v>34</v>
      </c>
      <c r="C152" t="s">
        <v>1197</v>
      </c>
      <c r="D152" t="s">
        <v>1198</v>
      </c>
      <c r="E152" t="s">
        <v>1199</v>
      </c>
      <c r="F152" s="1">
        <v>46077.015057870369</v>
      </c>
      <c r="G152" t="s">
        <v>470</v>
      </c>
      <c r="H152" t="s">
        <v>776</v>
      </c>
      <c r="I152" t="s">
        <v>3671</v>
      </c>
      <c r="J152" t="s">
        <v>44</v>
      </c>
      <c r="K152" t="s">
        <v>1149</v>
      </c>
      <c r="L152" t="s">
        <v>46</v>
      </c>
      <c r="M152" t="s">
        <v>57</v>
      </c>
      <c r="N152" t="s">
        <v>58</v>
      </c>
      <c r="O152" t="s">
        <v>30</v>
      </c>
      <c r="P152" s="1">
        <v>46077.151574074072</v>
      </c>
      <c r="Q152" s="1">
        <v>46077.151550925926</v>
      </c>
      <c r="R152" t="s">
        <v>38</v>
      </c>
      <c r="S152" t="s">
        <v>3199</v>
      </c>
      <c r="T152" t="s">
        <v>31</v>
      </c>
      <c r="U152" t="s">
        <v>1150</v>
      </c>
      <c r="V152" t="s">
        <v>46</v>
      </c>
      <c r="W152" t="s">
        <v>57</v>
      </c>
      <c r="X152" t="s">
        <v>58</v>
      </c>
      <c r="Y152">
        <v>4010</v>
      </c>
      <c r="Z152" t="s">
        <v>3530</v>
      </c>
      <c r="AA152" t="s">
        <v>3526</v>
      </c>
      <c r="AB152" t="s">
        <v>32</v>
      </c>
      <c r="AC152" t="s">
        <v>1200</v>
      </c>
      <c r="AD152" t="s">
        <v>1201</v>
      </c>
      <c r="AE152" t="s">
        <v>33</v>
      </c>
    </row>
    <row r="153" spans="1:31">
      <c r="A153" t="s">
        <v>1202</v>
      </c>
      <c r="B153" t="s">
        <v>34</v>
      </c>
      <c r="C153" t="s">
        <v>66</v>
      </c>
      <c r="D153" t="s">
        <v>1203</v>
      </c>
      <c r="E153" t="s">
        <v>535</v>
      </c>
      <c r="F153" s="1">
        <v>46077.003310185188</v>
      </c>
      <c r="G153" t="s">
        <v>74</v>
      </c>
      <c r="H153" t="s">
        <v>776</v>
      </c>
      <c r="I153" t="s">
        <v>3665</v>
      </c>
      <c r="J153" t="s">
        <v>44</v>
      </c>
      <c r="K153" t="s">
        <v>1149</v>
      </c>
      <c r="L153" t="s">
        <v>46</v>
      </c>
      <c r="M153" t="s">
        <v>188</v>
      </c>
      <c r="N153" t="s">
        <v>431</v>
      </c>
      <c r="O153" t="s">
        <v>30</v>
      </c>
      <c r="P153" s="1">
        <v>46077.15121527778</v>
      </c>
      <c r="Q153" s="1">
        <v>46077.151203703703</v>
      </c>
      <c r="R153" t="s">
        <v>38</v>
      </c>
      <c r="S153" t="s">
        <v>3200</v>
      </c>
      <c r="T153" t="s">
        <v>31</v>
      </c>
      <c r="U153" t="s">
        <v>1150</v>
      </c>
      <c r="V153" t="s">
        <v>46</v>
      </c>
      <c r="W153" t="s">
        <v>188</v>
      </c>
      <c r="X153" t="s">
        <v>431</v>
      </c>
      <c r="Y153">
        <v>15925</v>
      </c>
      <c r="Z153" t="s">
        <v>3530</v>
      </c>
      <c r="AA153" t="s">
        <v>3526</v>
      </c>
      <c r="AB153" t="s">
        <v>32</v>
      </c>
      <c r="AC153" t="s">
        <v>1204</v>
      </c>
      <c r="AD153" t="s">
        <v>1205</v>
      </c>
      <c r="AE153" t="s">
        <v>33</v>
      </c>
    </row>
    <row r="154" spans="1:31">
      <c r="A154" t="s">
        <v>1206</v>
      </c>
      <c r="B154" t="s">
        <v>34</v>
      </c>
      <c r="C154" t="s">
        <v>79</v>
      </c>
      <c r="D154" t="s">
        <v>985</v>
      </c>
      <c r="E154" t="s">
        <v>1158</v>
      </c>
      <c r="F154" s="1">
        <v>46077.00167824074</v>
      </c>
      <c r="G154" t="s">
        <v>132</v>
      </c>
      <c r="H154" t="s">
        <v>776</v>
      </c>
      <c r="I154" t="s">
        <v>3665</v>
      </c>
      <c r="J154" t="s">
        <v>44</v>
      </c>
      <c r="K154" t="s">
        <v>1149</v>
      </c>
      <c r="L154" t="s">
        <v>46</v>
      </c>
      <c r="M154" t="s">
        <v>379</v>
      </c>
      <c r="N154" t="s">
        <v>379</v>
      </c>
      <c r="O154" t="s">
        <v>30</v>
      </c>
      <c r="P154" s="1">
        <v>46077.150983796295</v>
      </c>
      <c r="Q154" s="1">
        <v>46077.150972222225</v>
      </c>
      <c r="R154" t="s">
        <v>38</v>
      </c>
      <c r="S154" t="s">
        <v>3195</v>
      </c>
      <c r="T154" t="s">
        <v>31</v>
      </c>
      <c r="U154" t="s">
        <v>1150</v>
      </c>
      <c r="V154" t="s">
        <v>46</v>
      </c>
      <c r="W154" t="s">
        <v>379</v>
      </c>
      <c r="X154" t="s">
        <v>379</v>
      </c>
      <c r="Y154" t="s">
        <v>3590</v>
      </c>
      <c r="Z154" t="s">
        <v>3530</v>
      </c>
      <c r="AA154" t="s">
        <v>3526</v>
      </c>
      <c r="AB154" t="s">
        <v>32</v>
      </c>
      <c r="AC154" t="s">
        <v>987</v>
      </c>
      <c r="AD154" t="s">
        <v>988</v>
      </c>
      <c r="AE154" t="s">
        <v>33</v>
      </c>
    </row>
    <row r="155" spans="1:31">
      <c r="A155" t="s">
        <v>1207</v>
      </c>
      <c r="B155" t="s">
        <v>34</v>
      </c>
      <c r="C155" t="s">
        <v>861</v>
      </c>
      <c r="D155" t="s">
        <v>1208</v>
      </c>
      <c r="E155" t="s">
        <v>109</v>
      </c>
      <c r="F155" s="1">
        <v>46077.001331018517</v>
      </c>
      <c r="G155" t="s">
        <v>153</v>
      </c>
      <c r="H155" t="s">
        <v>776</v>
      </c>
      <c r="I155" t="s">
        <v>3669</v>
      </c>
      <c r="J155" t="s">
        <v>44</v>
      </c>
      <c r="K155" t="s">
        <v>1149</v>
      </c>
      <c r="L155" t="s">
        <v>46</v>
      </c>
      <c r="M155" t="s">
        <v>110</v>
      </c>
      <c r="N155" t="s">
        <v>111</v>
      </c>
      <c r="O155" t="s">
        <v>30</v>
      </c>
      <c r="P155" s="1">
        <v>46077.150543981479</v>
      </c>
      <c r="Q155" s="1">
        <v>46077.15053240741</v>
      </c>
      <c r="R155" t="s">
        <v>38</v>
      </c>
      <c r="S155" t="s">
        <v>3193</v>
      </c>
      <c r="T155" t="s">
        <v>31</v>
      </c>
      <c r="U155" t="s">
        <v>1150</v>
      </c>
      <c r="V155" t="s">
        <v>46</v>
      </c>
      <c r="W155" t="s">
        <v>110</v>
      </c>
      <c r="X155" t="s">
        <v>111</v>
      </c>
      <c r="Y155" t="s">
        <v>3599</v>
      </c>
      <c r="Z155" t="s">
        <v>3530</v>
      </c>
      <c r="AA155" t="s">
        <v>3526</v>
      </c>
      <c r="AB155" t="s">
        <v>32</v>
      </c>
      <c r="AC155" t="s">
        <v>1209</v>
      </c>
      <c r="AD155" t="s">
        <v>1210</v>
      </c>
      <c r="AE155" t="s">
        <v>33</v>
      </c>
    </row>
    <row r="156" spans="1:31">
      <c r="A156" t="s">
        <v>1211</v>
      </c>
      <c r="B156" t="s">
        <v>34</v>
      </c>
      <c r="C156" t="s">
        <v>1212</v>
      </c>
      <c r="D156" t="s">
        <v>1213</v>
      </c>
      <c r="E156" t="s">
        <v>109</v>
      </c>
      <c r="F156" s="1">
        <v>46077.001006944447</v>
      </c>
      <c r="G156" t="s">
        <v>153</v>
      </c>
      <c r="H156" t="s">
        <v>776</v>
      </c>
      <c r="I156" t="s">
        <v>3669</v>
      </c>
      <c r="J156" t="s">
        <v>44</v>
      </c>
      <c r="K156" t="s">
        <v>1149</v>
      </c>
      <c r="L156" t="s">
        <v>46</v>
      </c>
      <c r="M156" t="s">
        <v>110</v>
      </c>
      <c r="N156" t="s">
        <v>111</v>
      </c>
      <c r="O156" t="s">
        <v>30</v>
      </c>
      <c r="P156" s="1">
        <v>46077.150416666664</v>
      </c>
      <c r="Q156" s="1">
        <v>46077.150358796294</v>
      </c>
      <c r="R156" t="s">
        <v>38</v>
      </c>
      <c r="S156" t="s">
        <v>3193</v>
      </c>
      <c r="T156" t="s">
        <v>31</v>
      </c>
      <c r="U156" t="s">
        <v>1150</v>
      </c>
      <c r="V156" t="s">
        <v>46</v>
      </c>
      <c r="W156" t="s">
        <v>110</v>
      </c>
      <c r="X156" t="s">
        <v>111</v>
      </c>
      <c r="Y156" t="s">
        <v>3600</v>
      </c>
      <c r="Z156" t="s">
        <v>3530</v>
      </c>
      <c r="AA156" t="s">
        <v>3526</v>
      </c>
      <c r="AB156" t="s">
        <v>32</v>
      </c>
      <c r="AC156" t="s">
        <v>1214</v>
      </c>
      <c r="AD156" t="s">
        <v>1215</v>
      </c>
      <c r="AE156" t="s">
        <v>33</v>
      </c>
    </row>
    <row r="157" spans="1:31">
      <c r="A157" t="s">
        <v>1216</v>
      </c>
      <c r="B157" t="s">
        <v>34</v>
      </c>
      <c r="C157" t="s">
        <v>106</v>
      </c>
      <c r="D157" t="s">
        <v>107</v>
      </c>
      <c r="E157" t="s">
        <v>109</v>
      </c>
      <c r="F157" s="1">
        <v>46076.967118055552</v>
      </c>
      <c r="G157" t="s">
        <v>108</v>
      </c>
      <c r="H157" t="s">
        <v>776</v>
      </c>
      <c r="I157" t="s">
        <v>3666</v>
      </c>
      <c r="J157" t="s">
        <v>44</v>
      </c>
      <c r="K157" t="s">
        <v>45</v>
      </c>
      <c r="L157" t="s">
        <v>46</v>
      </c>
      <c r="M157" t="s">
        <v>110</v>
      </c>
      <c r="N157" t="s">
        <v>111</v>
      </c>
      <c r="O157" t="s">
        <v>30</v>
      </c>
      <c r="P157" s="1">
        <v>46076.9690162037</v>
      </c>
      <c r="Q157" s="1">
        <v>46076.967303240737</v>
      </c>
      <c r="R157" t="s">
        <v>38</v>
      </c>
      <c r="S157" t="s">
        <v>3201</v>
      </c>
      <c r="T157" t="s">
        <v>31</v>
      </c>
      <c r="U157" t="s">
        <v>49</v>
      </c>
      <c r="V157" t="s">
        <v>46</v>
      </c>
      <c r="W157" t="s">
        <v>110</v>
      </c>
      <c r="X157" t="s">
        <v>111</v>
      </c>
      <c r="Y157" t="s">
        <v>3537</v>
      </c>
      <c r="Z157" t="s">
        <v>3530</v>
      </c>
      <c r="AA157" t="s">
        <v>3526</v>
      </c>
      <c r="AB157" t="s">
        <v>32</v>
      </c>
      <c r="AC157" t="s">
        <v>112</v>
      </c>
      <c r="AD157" t="s">
        <v>113</v>
      </c>
      <c r="AE157" t="s">
        <v>33</v>
      </c>
    </row>
    <row r="158" spans="1:31" hidden="1">
      <c r="A158" t="s">
        <v>1217</v>
      </c>
      <c r="B158" t="s">
        <v>24</v>
      </c>
      <c r="C158" t="s">
        <v>708</v>
      </c>
      <c r="D158" t="s">
        <v>889</v>
      </c>
      <c r="E158" t="s">
        <v>1218</v>
      </c>
      <c r="F158" s="1">
        <v>46076.94699074074</v>
      </c>
      <c r="G158" t="s">
        <v>62</v>
      </c>
      <c r="H158" t="s">
        <v>776</v>
      </c>
      <c r="I158" t="s">
        <v>3668</v>
      </c>
      <c r="J158" t="s">
        <v>134</v>
      </c>
      <c r="K158" t="s">
        <v>1219</v>
      </c>
      <c r="L158" t="s">
        <v>46</v>
      </c>
      <c r="M158" t="s">
        <v>338</v>
      </c>
      <c r="N158" t="s">
        <v>890</v>
      </c>
      <c r="O158" t="s">
        <v>284</v>
      </c>
      <c r="P158" s="1">
        <v>46079.28738425926</v>
      </c>
      <c r="R158" t="s">
        <v>90</v>
      </c>
      <c r="T158" t="s">
        <v>31</v>
      </c>
      <c r="U158" t="s">
        <v>49</v>
      </c>
      <c r="Y158" t="s">
        <v>3586</v>
      </c>
      <c r="Z158" t="s">
        <v>3525</v>
      </c>
      <c r="AA158" t="s">
        <v>3539</v>
      </c>
      <c r="AB158" t="s">
        <v>32</v>
      </c>
      <c r="AC158" t="s">
        <v>891</v>
      </c>
      <c r="AD158" t="s">
        <v>892</v>
      </c>
      <c r="AE158" t="s">
        <v>33</v>
      </c>
    </row>
    <row r="159" spans="1:31" hidden="1">
      <c r="A159" t="s">
        <v>1221</v>
      </c>
      <c r="B159" t="s">
        <v>34</v>
      </c>
      <c r="C159" t="s">
        <v>465</v>
      </c>
      <c r="D159" t="s">
        <v>170</v>
      </c>
      <c r="E159" t="s">
        <v>1222</v>
      </c>
      <c r="F159" s="1">
        <v>46076.85396990741</v>
      </c>
      <c r="G159" t="s">
        <v>74</v>
      </c>
      <c r="H159" t="s">
        <v>776</v>
      </c>
      <c r="I159" t="s">
        <v>3665</v>
      </c>
      <c r="J159" t="s">
        <v>134</v>
      </c>
      <c r="K159" t="s">
        <v>642</v>
      </c>
      <c r="L159" t="s">
        <v>46</v>
      </c>
      <c r="M159" t="s">
        <v>94</v>
      </c>
      <c r="N159" t="s">
        <v>95</v>
      </c>
      <c r="O159" t="s">
        <v>30</v>
      </c>
      <c r="P159" s="1">
        <v>46079.38853009259</v>
      </c>
      <c r="R159" t="s">
        <v>90</v>
      </c>
      <c r="T159" t="s">
        <v>31</v>
      </c>
      <c r="U159" t="s">
        <v>49</v>
      </c>
      <c r="Y159">
        <v>15014</v>
      </c>
      <c r="Z159" t="s">
        <v>3525</v>
      </c>
      <c r="AA159" t="s">
        <v>3535</v>
      </c>
      <c r="AB159" t="s">
        <v>32</v>
      </c>
      <c r="AC159" t="s">
        <v>1223</v>
      </c>
      <c r="AD159" t="s">
        <v>1224</v>
      </c>
      <c r="AE159" t="s">
        <v>33</v>
      </c>
    </row>
    <row r="160" spans="1:31" hidden="1">
      <c r="A160" t="s">
        <v>1225</v>
      </c>
      <c r="B160" t="s">
        <v>34</v>
      </c>
      <c r="C160" t="s">
        <v>1226</v>
      </c>
      <c r="D160" t="s">
        <v>1227</v>
      </c>
      <c r="E160" t="s">
        <v>1222</v>
      </c>
      <c r="F160" s="1">
        <v>46076.852592592593</v>
      </c>
      <c r="G160" t="s">
        <v>67</v>
      </c>
      <c r="H160" t="s">
        <v>776</v>
      </c>
      <c r="I160" t="s">
        <v>3671</v>
      </c>
      <c r="J160" t="s">
        <v>134</v>
      </c>
      <c r="K160" t="s">
        <v>477</v>
      </c>
      <c r="L160" t="s">
        <v>46</v>
      </c>
      <c r="M160" t="s">
        <v>94</v>
      </c>
      <c r="N160" t="s">
        <v>95</v>
      </c>
      <c r="O160" t="s">
        <v>30</v>
      </c>
      <c r="P160" s="1">
        <v>46079.28738425926</v>
      </c>
      <c r="R160" t="s">
        <v>90</v>
      </c>
      <c r="T160" t="s">
        <v>31</v>
      </c>
      <c r="U160" t="s">
        <v>49</v>
      </c>
      <c r="Y160">
        <v>2976</v>
      </c>
      <c r="Z160" t="s">
        <v>3525</v>
      </c>
      <c r="AA160" t="s">
        <v>3535</v>
      </c>
      <c r="AB160" t="s">
        <v>32</v>
      </c>
      <c r="AC160" t="s">
        <v>1228</v>
      </c>
      <c r="AD160" t="s">
        <v>1229</v>
      </c>
      <c r="AE160" t="s">
        <v>33</v>
      </c>
    </row>
    <row r="161" spans="1:31" hidden="1">
      <c r="A161" t="s">
        <v>1231</v>
      </c>
      <c r="B161" t="s">
        <v>34</v>
      </c>
      <c r="C161" t="s">
        <v>1232</v>
      </c>
      <c r="D161" t="s">
        <v>1233</v>
      </c>
      <c r="E161" t="s">
        <v>1234</v>
      </c>
      <c r="F161" s="1">
        <v>46076.839537037034</v>
      </c>
      <c r="G161" t="s">
        <v>168</v>
      </c>
      <c r="H161" t="s">
        <v>776</v>
      </c>
      <c r="I161" t="s">
        <v>3669</v>
      </c>
      <c r="J161" t="s">
        <v>134</v>
      </c>
      <c r="K161" t="s">
        <v>320</v>
      </c>
      <c r="L161" t="s">
        <v>46</v>
      </c>
      <c r="M161" t="s">
        <v>188</v>
      </c>
      <c r="N161" t="s">
        <v>1235</v>
      </c>
      <c r="O161" t="s">
        <v>30</v>
      </c>
      <c r="P161" s="1">
        <v>46078.367523148147</v>
      </c>
      <c r="Q161" s="1">
        <v>46078.3675</v>
      </c>
      <c r="R161" t="s">
        <v>38</v>
      </c>
      <c r="S161" t="s">
        <v>3202</v>
      </c>
      <c r="T161" t="s">
        <v>31</v>
      </c>
      <c r="U161" t="s">
        <v>49</v>
      </c>
      <c r="V161" t="s">
        <v>46</v>
      </c>
      <c r="W161" t="s">
        <v>188</v>
      </c>
      <c r="X161" t="s">
        <v>521</v>
      </c>
      <c r="Y161">
        <v>13171</v>
      </c>
      <c r="Z161" t="s">
        <v>3530</v>
      </c>
      <c r="AA161" t="s">
        <v>3526</v>
      </c>
      <c r="AB161" t="s">
        <v>32</v>
      </c>
      <c r="AC161" t="s">
        <v>1236</v>
      </c>
      <c r="AD161" t="s">
        <v>1237</v>
      </c>
      <c r="AE161" t="s">
        <v>33</v>
      </c>
    </row>
    <row r="162" spans="1:31" hidden="1">
      <c r="A162" t="s">
        <v>1239</v>
      </c>
      <c r="B162" t="s">
        <v>24</v>
      </c>
      <c r="C162" t="s">
        <v>1240</v>
      </c>
      <c r="D162" t="s">
        <v>79</v>
      </c>
      <c r="E162" t="s">
        <v>1241</v>
      </c>
      <c r="F162" s="1">
        <v>46076.798530092594</v>
      </c>
      <c r="G162" t="s">
        <v>74</v>
      </c>
      <c r="H162" t="s">
        <v>776</v>
      </c>
      <c r="I162" t="s">
        <v>3665</v>
      </c>
      <c r="J162" t="s">
        <v>44</v>
      </c>
      <c r="K162" t="s">
        <v>680</v>
      </c>
      <c r="L162" t="s">
        <v>46</v>
      </c>
      <c r="M162" t="s">
        <v>454</v>
      </c>
      <c r="N162" t="s">
        <v>455</v>
      </c>
      <c r="O162" t="s">
        <v>86</v>
      </c>
      <c r="P162" s="1">
        <v>46079.28738425926</v>
      </c>
      <c r="R162" t="s">
        <v>90</v>
      </c>
      <c r="T162" t="s">
        <v>31</v>
      </c>
      <c r="U162" t="s">
        <v>49</v>
      </c>
      <c r="Y162">
        <v>15383</v>
      </c>
      <c r="Z162" t="s">
        <v>3525</v>
      </c>
      <c r="AA162" t="s">
        <v>3541</v>
      </c>
      <c r="AB162" t="s">
        <v>32</v>
      </c>
      <c r="AC162" t="s">
        <v>1242</v>
      </c>
      <c r="AD162" t="s">
        <v>1243</v>
      </c>
      <c r="AE162" t="s">
        <v>33</v>
      </c>
    </row>
    <row r="163" spans="1:31" hidden="1">
      <c r="A163" t="s">
        <v>1244</v>
      </c>
      <c r="B163" t="s">
        <v>24</v>
      </c>
      <c r="C163" t="s">
        <v>1245</v>
      </c>
      <c r="D163" t="s">
        <v>1246</v>
      </c>
      <c r="E163" t="s">
        <v>1247</v>
      </c>
      <c r="F163" s="1">
        <v>46076.689398148148</v>
      </c>
      <c r="G163" t="s">
        <v>62</v>
      </c>
      <c r="H163" t="s">
        <v>776</v>
      </c>
      <c r="I163" t="s">
        <v>3668</v>
      </c>
      <c r="J163" t="s">
        <v>44</v>
      </c>
      <c r="K163" t="s">
        <v>680</v>
      </c>
      <c r="L163" t="s">
        <v>636</v>
      </c>
      <c r="M163" t="s">
        <v>637</v>
      </c>
      <c r="N163" t="s">
        <v>1238</v>
      </c>
      <c r="O163" t="s">
        <v>86</v>
      </c>
      <c r="P163" s="1">
        <v>46079.338136574072</v>
      </c>
      <c r="R163" t="s">
        <v>90</v>
      </c>
      <c r="T163" t="s">
        <v>31</v>
      </c>
      <c r="U163" t="s">
        <v>49</v>
      </c>
      <c r="Y163" t="s">
        <v>3601</v>
      </c>
      <c r="Z163" t="s">
        <v>3525</v>
      </c>
      <c r="AA163" t="s">
        <v>3541</v>
      </c>
      <c r="AB163" t="s">
        <v>32</v>
      </c>
      <c r="AC163" t="s">
        <v>983</v>
      </c>
      <c r="AD163" t="s">
        <v>1248</v>
      </c>
      <c r="AE163" t="s">
        <v>33</v>
      </c>
    </row>
    <row r="164" spans="1:31" hidden="1">
      <c r="A164" t="s">
        <v>1249</v>
      </c>
      <c r="B164" t="s">
        <v>24</v>
      </c>
      <c r="C164" t="s">
        <v>175</v>
      </c>
      <c r="D164" t="s">
        <v>852</v>
      </c>
      <c r="E164" t="s">
        <v>1250</v>
      </c>
      <c r="F164" s="1">
        <v>46076.676180555558</v>
      </c>
      <c r="G164" t="s">
        <v>26</v>
      </c>
      <c r="H164" t="s">
        <v>776</v>
      </c>
      <c r="I164" t="s">
        <v>3665</v>
      </c>
      <c r="J164" t="s">
        <v>134</v>
      </c>
      <c r="K164" t="s">
        <v>765</v>
      </c>
      <c r="L164" t="s">
        <v>46</v>
      </c>
      <c r="M164" t="s">
        <v>197</v>
      </c>
      <c r="N164" t="s">
        <v>725</v>
      </c>
      <c r="O164" t="s">
        <v>284</v>
      </c>
      <c r="P164" s="1">
        <v>46077.625243055554</v>
      </c>
      <c r="Q164" s="1">
        <v>46077.625219907408</v>
      </c>
      <c r="R164" t="s">
        <v>38</v>
      </c>
      <c r="S164" t="s">
        <v>3203</v>
      </c>
      <c r="T164" t="s">
        <v>31</v>
      </c>
      <c r="U164" t="s">
        <v>49</v>
      </c>
      <c r="V164" t="s">
        <v>46</v>
      </c>
      <c r="W164" t="s">
        <v>197</v>
      </c>
      <c r="X164" t="s">
        <v>725</v>
      </c>
      <c r="Y164">
        <v>11368</v>
      </c>
      <c r="Z164" t="s">
        <v>3525</v>
      </c>
      <c r="AA164" t="s">
        <v>3526</v>
      </c>
      <c r="AB164" t="s">
        <v>32</v>
      </c>
      <c r="AC164" t="s">
        <v>854</v>
      </c>
      <c r="AD164" t="s">
        <v>855</v>
      </c>
      <c r="AE164" t="s">
        <v>33</v>
      </c>
    </row>
    <row r="165" spans="1:31" hidden="1">
      <c r="A165" t="s">
        <v>1254</v>
      </c>
      <c r="B165" t="s">
        <v>34</v>
      </c>
      <c r="C165" t="s">
        <v>79</v>
      </c>
      <c r="D165" t="s">
        <v>1255</v>
      </c>
      <c r="E165" t="s">
        <v>1256</v>
      </c>
      <c r="F165" s="1">
        <v>46076.629710648151</v>
      </c>
      <c r="G165" t="s">
        <v>26</v>
      </c>
      <c r="H165" t="s">
        <v>776</v>
      </c>
      <c r="I165" t="s">
        <v>3665</v>
      </c>
      <c r="J165" t="s">
        <v>134</v>
      </c>
      <c r="K165" t="s">
        <v>765</v>
      </c>
      <c r="L165" t="s">
        <v>46</v>
      </c>
      <c r="M165" t="s">
        <v>188</v>
      </c>
      <c r="N165" t="s">
        <v>521</v>
      </c>
      <c r="O165" t="s">
        <v>30</v>
      </c>
      <c r="P165" s="1">
        <v>46077.621550925927</v>
      </c>
      <c r="Q165" s="1">
        <v>46077.621527777781</v>
      </c>
      <c r="R165" t="s">
        <v>38</v>
      </c>
      <c r="S165" t="s">
        <v>3204</v>
      </c>
      <c r="T165" t="s">
        <v>31</v>
      </c>
      <c r="U165" t="s">
        <v>49</v>
      </c>
      <c r="V165" t="s">
        <v>46</v>
      </c>
      <c r="W165" t="s">
        <v>188</v>
      </c>
      <c r="X165" t="s">
        <v>521</v>
      </c>
      <c r="Y165">
        <v>4676</v>
      </c>
      <c r="Z165" t="s">
        <v>3525</v>
      </c>
      <c r="AA165" t="s">
        <v>3526</v>
      </c>
      <c r="AB165" t="s">
        <v>181</v>
      </c>
      <c r="AC165" t="s">
        <v>1257</v>
      </c>
      <c r="AD165" t="s">
        <v>1258</v>
      </c>
      <c r="AE165" t="s">
        <v>33</v>
      </c>
    </row>
    <row r="166" spans="1:31" hidden="1">
      <c r="A166" t="s">
        <v>1262</v>
      </c>
      <c r="B166" t="s">
        <v>24</v>
      </c>
      <c r="C166" t="s">
        <v>1263</v>
      </c>
      <c r="D166" t="s">
        <v>1264</v>
      </c>
      <c r="E166" t="s">
        <v>1265</v>
      </c>
      <c r="F166" s="1">
        <v>46076.621238425927</v>
      </c>
      <c r="G166" t="s">
        <v>168</v>
      </c>
      <c r="H166" t="s">
        <v>776</v>
      </c>
      <c r="I166" t="s">
        <v>3669</v>
      </c>
      <c r="J166" t="s">
        <v>134</v>
      </c>
      <c r="K166" t="s">
        <v>135</v>
      </c>
      <c r="L166" t="s">
        <v>46</v>
      </c>
      <c r="M166" t="s">
        <v>197</v>
      </c>
      <c r="N166" t="s">
        <v>725</v>
      </c>
      <c r="O166" t="s">
        <v>86</v>
      </c>
      <c r="P166" s="1">
        <v>46079.344965277778</v>
      </c>
      <c r="Q166" s="1">
        <v>46079.344953703701</v>
      </c>
      <c r="R166" t="s">
        <v>38</v>
      </c>
      <c r="S166" t="s">
        <v>3603</v>
      </c>
      <c r="T166" t="s">
        <v>31</v>
      </c>
      <c r="U166" t="s">
        <v>49</v>
      </c>
      <c r="V166" t="s">
        <v>46</v>
      </c>
      <c r="W166" t="s">
        <v>197</v>
      </c>
      <c r="X166" t="s">
        <v>725</v>
      </c>
      <c r="Y166" t="s">
        <v>3604</v>
      </c>
      <c r="Z166" t="s">
        <v>3525</v>
      </c>
      <c r="AA166" t="s">
        <v>3526</v>
      </c>
      <c r="AB166" t="s">
        <v>32</v>
      </c>
      <c r="AC166" t="s">
        <v>1266</v>
      </c>
      <c r="AD166" t="s">
        <v>1267</v>
      </c>
      <c r="AE166" t="s">
        <v>33</v>
      </c>
    </row>
    <row r="167" spans="1:31">
      <c r="A167" t="s">
        <v>1269</v>
      </c>
      <c r="B167" t="s">
        <v>34</v>
      </c>
      <c r="C167" t="s">
        <v>1270</v>
      </c>
      <c r="D167" t="s">
        <v>1271</v>
      </c>
      <c r="E167" t="s">
        <v>1272</v>
      </c>
      <c r="F167" s="1">
        <v>46076.6091087963</v>
      </c>
      <c r="G167" t="s">
        <v>26</v>
      </c>
      <c r="H167" t="s">
        <v>776</v>
      </c>
      <c r="I167" t="s">
        <v>3665</v>
      </c>
      <c r="J167" t="s">
        <v>44</v>
      </c>
      <c r="K167" t="s">
        <v>253</v>
      </c>
      <c r="L167" t="s">
        <v>46</v>
      </c>
      <c r="M167" t="s">
        <v>47</v>
      </c>
      <c r="N167" t="s">
        <v>48</v>
      </c>
      <c r="O167" t="s">
        <v>30</v>
      </c>
      <c r="P167" s="1">
        <v>46077.407430555555</v>
      </c>
      <c r="Q167" s="1">
        <v>46077.407395833332</v>
      </c>
      <c r="R167" t="s">
        <v>38</v>
      </c>
      <c r="S167" t="s">
        <v>3205</v>
      </c>
      <c r="T167" t="s">
        <v>31</v>
      </c>
      <c r="U167" t="s">
        <v>367</v>
      </c>
      <c r="V167" t="s">
        <v>46</v>
      </c>
      <c r="W167" t="s">
        <v>47</v>
      </c>
      <c r="X167" t="s">
        <v>48</v>
      </c>
      <c r="Y167">
        <v>10699</v>
      </c>
      <c r="Z167" t="s">
        <v>3530</v>
      </c>
      <c r="AA167" t="s">
        <v>3526</v>
      </c>
      <c r="AB167" t="s">
        <v>32</v>
      </c>
      <c r="AC167" t="s">
        <v>1273</v>
      </c>
      <c r="AD167" t="s">
        <v>1274</v>
      </c>
      <c r="AE167" t="s">
        <v>33</v>
      </c>
    </row>
    <row r="168" spans="1:31">
      <c r="A168" t="s">
        <v>1275</v>
      </c>
      <c r="B168" t="s">
        <v>24</v>
      </c>
      <c r="C168" t="s">
        <v>1276</v>
      </c>
      <c r="D168" t="s">
        <v>172</v>
      </c>
      <c r="E168" t="s">
        <v>1003</v>
      </c>
      <c r="F168" s="1">
        <v>46076.604571759257</v>
      </c>
      <c r="G168" t="s">
        <v>1277</v>
      </c>
      <c r="H168" t="s">
        <v>776</v>
      </c>
      <c r="I168" t="s">
        <v>3666</v>
      </c>
      <c r="J168" t="s">
        <v>44</v>
      </c>
      <c r="K168" t="s">
        <v>253</v>
      </c>
      <c r="L168" t="s">
        <v>46</v>
      </c>
      <c r="M168" t="s">
        <v>443</v>
      </c>
      <c r="N168" t="s">
        <v>792</v>
      </c>
      <c r="O168" t="s">
        <v>86</v>
      </c>
      <c r="P168" s="1">
        <v>46077.41064814815</v>
      </c>
      <c r="Q168" s="1">
        <v>46077.410474537035</v>
      </c>
      <c r="R168" t="s">
        <v>38</v>
      </c>
      <c r="S168" t="s">
        <v>3176</v>
      </c>
      <c r="T168" t="s">
        <v>31</v>
      </c>
      <c r="U168" t="s">
        <v>367</v>
      </c>
      <c r="V168" t="s">
        <v>46</v>
      </c>
      <c r="W168" t="s">
        <v>3113</v>
      </c>
      <c r="X168" t="s">
        <v>3153</v>
      </c>
      <c r="Y168">
        <v>14806</v>
      </c>
      <c r="Z168" t="s">
        <v>3530</v>
      </c>
      <c r="AA168" t="s">
        <v>3526</v>
      </c>
      <c r="AB168" t="s">
        <v>32</v>
      </c>
      <c r="AC168" t="s">
        <v>1278</v>
      </c>
      <c r="AD168" t="s">
        <v>1279</v>
      </c>
      <c r="AE168" t="s">
        <v>33</v>
      </c>
    </row>
    <row r="169" spans="1:31" hidden="1">
      <c r="A169" t="s">
        <v>1280</v>
      </c>
      <c r="B169" t="s">
        <v>34</v>
      </c>
      <c r="C169" t="s">
        <v>737</v>
      </c>
      <c r="D169" t="s">
        <v>738</v>
      </c>
      <c r="E169" t="s">
        <v>1281</v>
      </c>
      <c r="F169" s="1">
        <v>46076.603310185186</v>
      </c>
      <c r="G169" t="s">
        <v>153</v>
      </c>
      <c r="H169" t="s">
        <v>776</v>
      </c>
      <c r="I169" t="s">
        <v>3669</v>
      </c>
      <c r="J169" t="s">
        <v>134</v>
      </c>
      <c r="K169" t="s">
        <v>320</v>
      </c>
      <c r="L169" t="s">
        <v>46</v>
      </c>
      <c r="M169" t="s">
        <v>495</v>
      </c>
      <c r="N169" t="s">
        <v>496</v>
      </c>
      <c r="O169" t="s">
        <v>30</v>
      </c>
      <c r="P169" s="1">
        <v>46077.430636574078</v>
      </c>
      <c r="Q169" s="1">
        <v>46077.430625000001</v>
      </c>
      <c r="R169" t="s">
        <v>38</v>
      </c>
      <c r="S169" t="s">
        <v>3206</v>
      </c>
      <c r="T169" t="s">
        <v>31</v>
      </c>
      <c r="U169" t="s">
        <v>137</v>
      </c>
      <c r="V169" t="s">
        <v>46</v>
      </c>
      <c r="W169" t="s">
        <v>94</v>
      </c>
      <c r="X169" t="s">
        <v>3207</v>
      </c>
      <c r="Y169" t="s">
        <v>3577</v>
      </c>
      <c r="Z169" t="s">
        <v>3525</v>
      </c>
      <c r="AA169" t="s">
        <v>3526</v>
      </c>
      <c r="AB169" t="s">
        <v>32</v>
      </c>
      <c r="AC169" t="s">
        <v>740</v>
      </c>
      <c r="AD169" t="s">
        <v>741</v>
      </c>
      <c r="AE169" t="s">
        <v>33</v>
      </c>
    </row>
    <row r="170" spans="1:31">
      <c r="A170" t="s">
        <v>1288</v>
      </c>
      <c r="B170" t="s">
        <v>34</v>
      </c>
      <c r="C170" t="s">
        <v>1289</v>
      </c>
      <c r="D170" t="s">
        <v>172</v>
      </c>
      <c r="E170" t="s">
        <v>505</v>
      </c>
      <c r="F170" s="1">
        <v>46076.561388888891</v>
      </c>
      <c r="G170" t="s">
        <v>67</v>
      </c>
      <c r="H170" t="s">
        <v>776</v>
      </c>
      <c r="I170" t="s">
        <v>3671</v>
      </c>
      <c r="J170" t="s">
        <v>44</v>
      </c>
      <c r="K170" t="s">
        <v>205</v>
      </c>
      <c r="L170" t="s">
        <v>46</v>
      </c>
      <c r="M170" t="s">
        <v>348</v>
      </c>
      <c r="N170" t="s">
        <v>506</v>
      </c>
      <c r="O170" t="s">
        <v>30</v>
      </c>
      <c r="P170" s="1">
        <v>46076.561921296299</v>
      </c>
      <c r="Q170" s="1">
        <v>46076.561863425923</v>
      </c>
      <c r="R170" t="s">
        <v>38</v>
      </c>
      <c r="S170" t="s">
        <v>3208</v>
      </c>
      <c r="T170" t="s">
        <v>31</v>
      </c>
      <c r="U170" t="s">
        <v>206</v>
      </c>
      <c r="V170" t="s">
        <v>46</v>
      </c>
      <c r="W170" t="s">
        <v>348</v>
      </c>
      <c r="X170" t="s">
        <v>506</v>
      </c>
      <c r="Y170">
        <v>5873</v>
      </c>
      <c r="Z170" t="s">
        <v>3530</v>
      </c>
      <c r="AA170" t="s">
        <v>3526</v>
      </c>
      <c r="AB170" t="s">
        <v>32</v>
      </c>
      <c r="AC170" t="s">
        <v>1290</v>
      </c>
      <c r="AD170" t="s">
        <v>1291</v>
      </c>
      <c r="AE170" t="s">
        <v>33</v>
      </c>
    </row>
    <row r="171" spans="1:31" hidden="1">
      <c r="A171" t="s">
        <v>1295</v>
      </c>
      <c r="B171" t="s">
        <v>34</v>
      </c>
      <c r="C171" t="s">
        <v>825</v>
      </c>
      <c r="D171" t="s">
        <v>842</v>
      </c>
      <c r="E171" t="s">
        <v>1296</v>
      </c>
      <c r="F171" s="1">
        <v>46076.556550925925</v>
      </c>
      <c r="G171" t="s">
        <v>62</v>
      </c>
      <c r="H171" t="s">
        <v>776</v>
      </c>
      <c r="I171" t="s">
        <v>3668</v>
      </c>
      <c r="J171" t="s">
        <v>651</v>
      </c>
      <c r="K171" t="s">
        <v>772</v>
      </c>
      <c r="L171" t="s">
        <v>162</v>
      </c>
      <c r="M171" t="s">
        <v>163</v>
      </c>
      <c r="N171" t="s">
        <v>164</v>
      </c>
      <c r="O171" t="s">
        <v>30</v>
      </c>
      <c r="P171" s="1">
        <v>46079.344236111108</v>
      </c>
      <c r="R171" t="s">
        <v>90</v>
      </c>
      <c r="T171" t="s">
        <v>31</v>
      </c>
      <c r="U171" t="s">
        <v>104</v>
      </c>
      <c r="Y171">
        <v>15060</v>
      </c>
      <c r="Z171" t="s">
        <v>3536</v>
      </c>
      <c r="AA171" t="s">
        <v>3539</v>
      </c>
      <c r="AB171" t="s">
        <v>32</v>
      </c>
      <c r="AC171" t="s">
        <v>843</v>
      </c>
      <c r="AD171" t="s">
        <v>844</v>
      </c>
      <c r="AE171" t="s">
        <v>33</v>
      </c>
    </row>
    <row r="172" spans="1:31" hidden="1">
      <c r="A172" t="s">
        <v>1297</v>
      </c>
      <c r="B172" t="s">
        <v>24</v>
      </c>
      <c r="C172" t="s">
        <v>1298</v>
      </c>
      <c r="D172" t="s">
        <v>1299</v>
      </c>
      <c r="E172" t="s">
        <v>1300</v>
      </c>
      <c r="F172" s="1">
        <v>46076.546238425923</v>
      </c>
      <c r="G172" t="s">
        <v>93</v>
      </c>
      <c r="H172" t="s">
        <v>776</v>
      </c>
      <c r="I172" t="s">
        <v>3666</v>
      </c>
      <c r="J172" t="s">
        <v>134</v>
      </c>
      <c r="K172" t="s">
        <v>1301</v>
      </c>
      <c r="L172" t="s">
        <v>162</v>
      </c>
      <c r="M172" t="s">
        <v>163</v>
      </c>
      <c r="N172" t="s">
        <v>164</v>
      </c>
      <c r="O172" t="s">
        <v>86</v>
      </c>
      <c r="P172" s="1">
        <v>46077.472974537035</v>
      </c>
      <c r="Q172" s="1">
        <v>46077.472951388889</v>
      </c>
      <c r="R172" t="s">
        <v>38</v>
      </c>
      <c r="S172" t="s">
        <v>3209</v>
      </c>
      <c r="T172" t="s">
        <v>31</v>
      </c>
      <c r="U172" t="s">
        <v>104</v>
      </c>
      <c r="V172" t="s">
        <v>27</v>
      </c>
      <c r="W172" t="s">
        <v>28</v>
      </c>
      <c r="X172" t="s">
        <v>1230</v>
      </c>
      <c r="Y172" t="s">
        <v>3605</v>
      </c>
      <c r="Z172" t="s">
        <v>3536</v>
      </c>
      <c r="AA172" t="s">
        <v>3526</v>
      </c>
      <c r="AB172" t="s">
        <v>32</v>
      </c>
      <c r="AC172" t="s">
        <v>1302</v>
      </c>
      <c r="AD172" t="s">
        <v>1303</v>
      </c>
      <c r="AE172" t="s">
        <v>33</v>
      </c>
    </row>
    <row r="173" spans="1:31" hidden="1">
      <c r="A173" t="s">
        <v>1304</v>
      </c>
      <c r="B173" t="s">
        <v>34</v>
      </c>
      <c r="C173" t="s">
        <v>691</v>
      </c>
      <c r="D173" t="s">
        <v>221</v>
      </c>
      <c r="E173" t="s">
        <v>679</v>
      </c>
      <c r="F173" s="1">
        <v>46076.538368055553</v>
      </c>
      <c r="G173" t="s">
        <v>242</v>
      </c>
      <c r="H173" t="s">
        <v>776</v>
      </c>
      <c r="I173" t="s">
        <v>3671</v>
      </c>
      <c r="J173" t="s">
        <v>44</v>
      </c>
      <c r="K173" t="s">
        <v>473</v>
      </c>
      <c r="L173" t="s">
        <v>162</v>
      </c>
      <c r="M173" t="s">
        <v>163</v>
      </c>
      <c r="N173" t="s">
        <v>164</v>
      </c>
      <c r="O173" t="s">
        <v>30</v>
      </c>
      <c r="P173" s="1">
        <v>46079.416655092595</v>
      </c>
      <c r="R173" t="s">
        <v>90</v>
      </c>
      <c r="T173" t="s">
        <v>31</v>
      </c>
      <c r="U173" t="s">
        <v>104</v>
      </c>
      <c r="Y173">
        <v>13361</v>
      </c>
      <c r="Z173" t="s">
        <v>3536</v>
      </c>
      <c r="AA173" t="s">
        <v>3541</v>
      </c>
      <c r="AB173" t="s">
        <v>32</v>
      </c>
      <c r="AC173" t="s">
        <v>1305</v>
      </c>
      <c r="AD173" t="s">
        <v>1306</v>
      </c>
      <c r="AE173" t="s">
        <v>33</v>
      </c>
    </row>
    <row r="174" spans="1:31" hidden="1">
      <c r="A174" t="s">
        <v>1307</v>
      </c>
      <c r="B174" t="s">
        <v>34</v>
      </c>
      <c r="C174" t="s">
        <v>246</v>
      </c>
      <c r="D174" t="s">
        <v>247</v>
      </c>
      <c r="E174" t="s">
        <v>679</v>
      </c>
      <c r="F174" s="1">
        <v>46076.538344907407</v>
      </c>
      <c r="G174" t="s">
        <v>210</v>
      </c>
      <c r="H174" t="s">
        <v>776</v>
      </c>
      <c r="I174" t="s">
        <v>3667</v>
      </c>
      <c r="J174" t="s">
        <v>44</v>
      </c>
      <c r="K174" t="s">
        <v>473</v>
      </c>
      <c r="L174" t="s">
        <v>162</v>
      </c>
      <c r="M174" t="s">
        <v>163</v>
      </c>
      <c r="N174" t="s">
        <v>164</v>
      </c>
      <c r="O174" t="s">
        <v>30</v>
      </c>
      <c r="P174" s="1">
        <v>46078.557708333334</v>
      </c>
      <c r="R174" t="s">
        <v>64</v>
      </c>
      <c r="T174" t="s">
        <v>31</v>
      </c>
      <c r="U174" t="s">
        <v>104</v>
      </c>
      <c r="Y174" t="s">
        <v>3546</v>
      </c>
      <c r="Z174" t="s">
        <v>3536</v>
      </c>
      <c r="AB174" t="s">
        <v>32</v>
      </c>
      <c r="AC174" t="s">
        <v>248</v>
      </c>
      <c r="AD174" t="s">
        <v>249</v>
      </c>
      <c r="AE174" t="s">
        <v>777</v>
      </c>
    </row>
    <row r="175" spans="1:31" hidden="1">
      <c r="A175" t="s">
        <v>1308</v>
      </c>
      <c r="B175" t="s">
        <v>34</v>
      </c>
      <c r="C175" t="s">
        <v>234</v>
      </c>
      <c r="D175" t="s">
        <v>598</v>
      </c>
      <c r="E175" t="s">
        <v>679</v>
      </c>
      <c r="F175" s="1">
        <v>46076.536793981482</v>
      </c>
      <c r="G175" t="s">
        <v>242</v>
      </c>
      <c r="H175" t="s">
        <v>776</v>
      </c>
      <c r="I175" t="s">
        <v>3671</v>
      </c>
      <c r="J175" t="s">
        <v>44</v>
      </c>
      <c r="K175" t="s">
        <v>473</v>
      </c>
      <c r="L175" t="s">
        <v>162</v>
      </c>
      <c r="M175" t="s">
        <v>163</v>
      </c>
      <c r="N175" t="s">
        <v>164</v>
      </c>
      <c r="O175" t="s">
        <v>30</v>
      </c>
      <c r="P175" s="1">
        <v>46079.415520833332</v>
      </c>
      <c r="R175" t="s">
        <v>90</v>
      </c>
      <c r="T175" t="s">
        <v>31</v>
      </c>
      <c r="U175" t="s">
        <v>104</v>
      </c>
      <c r="Y175">
        <v>12729</v>
      </c>
      <c r="Z175" t="s">
        <v>3536</v>
      </c>
      <c r="AA175" t="s">
        <v>3541</v>
      </c>
      <c r="AB175" t="s">
        <v>32</v>
      </c>
      <c r="AC175" t="s">
        <v>1309</v>
      </c>
      <c r="AD175" t="s">
        <v>1310</v>
      </c>
      <c r="AE175" t="s">
        <v>33</v>
      </c>
    </row>
    <row r="176" spans="1:31" hidden="1">
      <c r="A176" t="s">
        <v>1311</v>
      </c>
      <c r="B176" t="s">
        <v>34</v>
      </c>
      <c r="C176" t="s">
        <v>1312</v>
      </c>
      <c r="D176" t="s">
        <v>1313</v>
      </c>
      <c r="E176" t="s">
        <v>679</v>
      </c>
      <c r="F176" s="1">
        <v>46076.535451388889</v>
      </c>
      <c r="G176" t="s">
        <v>242</v>
      </c>
      <c r="H176" t="s">
        <v>776</v>
      </c>
      <c r="I176" t="s">
        <v>3671</v>
      </c>
      <c r="J176" t="s">
        <v>44</v>
      </c>
      <c r="K176" t="s">
        <v>473</v>
      </c>
      <c r="L176" t="s">
        <v>162</v>
      </c>
      <c r="M176" t="s">
        <v>163</v>
      </c>
      <c r="N176" t="s">
        <v>164</v>
      </c>
      <c r="O176" t="s">
        <v>30</v>
      </c>
      <c r="P176" s="1">
        <v>46079.414733796293</v>
      </c>
      <c r="R176" t="s">
        <v>90</v>
      </c>
      <c r="T176" t="s">
        <v>31</v>
      </c>
      <c r="U176" t="s">
        <v>104</v>
      </c>
      <c r="Y176">
        <v>10018</v>
      </c>
      <c r="Z176" t="s">
        <v>3536</v>
      </c>
      <c r="AA176" t="s">
        <v>3541</v>
      </c>
      <c r="AB176" t="s">
        <v>32</v>
      </c>
      <c r="AC176" t="s">
        <v>1314</v>
      </c>
      <c r="AD176" t="s">
        <v>1315</v>
      </c>
      <c r="AE176" t="s">
        <v>33</v>
      </c>
    </row>
    <row r="177" spans="1:31">
      <c r="A177" t="s">
        <v>1318</v>
      </c>
      <c r="B177" t="s">
        <v>34</v>
      </c>
      <c r="C177" t="s">
        <v>311</v>
      </c>
      <c r="D177" t="s">
        <v>435</v>
      </c>
      <c r="E177" t="s">
        <v>535</v>
      </c>
      <c r="F177" s="1">
        <v>46076.539004629631</v>
      </c>
      <c r="G177" t="s">
        <v>238</v>
      </c>
      <c r="H177" t="s">
        <v>776</v>
      </c>
      <c r="I177" t="s">
        <v>3665</v>
      </c>
      <c r="J177" t="s">
        <v>44</v>
      </c>
      <c r="K177" t="s">
        <v>733</v>
      </c>
      <c r="L177" t="s">
        <v>46</v>
      </c>
      <c r="M177" t="s">
        <v>188</v>
      </c>
      <c r="N177" t="s">
        <v>431</v>
      </c>
      <c r="O177" t="s">
        <v>30</v>
      </c>
      <c r="P177" s="1">
        <v>46076.539340277777</v>
      </c>
      <c r="Q177" s="1">
        <v>46076.539305555554</v>
      </c>
      <c r="R177" t="s">
        <v>38</v>
      </c>
      <c r="S177" t="s">
        <v>3210</v>
      </c>
      <c r="T177" t="s">
        <v>31</v>
      </c>
      <c r="U177" t="s">
        <v>726</v>
      </c>
      <c r="V177" t="s">
        <v>46</v>
      </c>
      <c r="W177" t="s">
        <v>188</v>
      </c>
      <c r="X177" t="s">
        <v>431</v>
      </c>
      <c r="Y177">
        <v>11503</v>
      </c>
      <c r="Z177" t="s">
        <v>3530</v>
      </c>
      <c r="AA177" t="s">
        <v>3526</v>
      </c>
      <c r="AB177" t="s">
        <v>32</v>
      </c>
      <c r="AC177" t="s">
        <v>1004</v>
      </c>
      <c r="AD177" t="s">
        <v>1005</v>
      </c>
      <c r="AE177" t="s">
        <v>33</v>
      </c>
    </row>
    <row r="178" spans="1:31" hidden="1">
      <c r="A178" t="s">
        <v>1319</v>
      </c>
      <c r="B178" t="s">
        <v>34</v>
      </c>
      <c r="C178" t="s">
        <v>691</v>
      </c>
      <c r="D178" t="s">
        <v>1039</v>
      </c>
      <c r="E178" t="s">
        <v>1320</v>
      </c>
      <c r="F178" s="1">
        <v>46076.532592592594</v>
      </c>
      <c r="G178" t="s">
        <v>593</v>
      </c>
      <c r="H178" t="s">
        <v>776</v>
      </c>
      <c r="I178" t="s">
        <v>3669</v>
      </c>
      <c r="J178" t="s">
        <v>44</v>
      </c>
      <c r="K178" t="s">
        <v>473</v>
      </c>
      <c r="L178" t="s">
        <v>162</v>
      </c>
      <c r="M178" t="s">
        <v>163</v>
      </c>
      <c r="N178" t="s">
        <v>164</v>
      </c>
      <c r="O178" t="s">
        <v>37</v>
      </c>
      <c r="P178" s="1">
        <v>46079.413738425923</v>
      </c>
      <c r="R178" t="s">
        <v>90</v>
      </c>
      <c r="T178" t="s">
        <v>31</v>
      </c>
      <c r="U178" t="s">
        <v>104</v>
      </c>
      <c r="Y178">
        <v>15738</v>
      </c>
      <c r="Z178" t="s">
        <v>3536</v>
      </c>
      <c r="AA178" t="s">
        <v>3541</v>
      </c>
      <c r="AB178" t="s">
        <v>32</v>
      </c>
      <c r="AC178" t="s">
        <v>1040</v>
      </c>
      <c r="AD178" t="s">
        <v>1041</v>
      </c>
      <c r="AE178" t="s">
        <v>33</v>
      </c>
    </row>
    <row r="179" spans="1:31">
      <c r="A179" t="s">
        <v>1321</v>
      </c>
      <c r="B179" t="s">
        <v>34</v>
      </c>
      <c r="C179" t="s">
        <v>241</v>
      </c>
      <c r="D179" t="s">
        <v>332</v>
      </c>
      <c r="E179" t="s">
        <v>505</v>
      </c>
      <c r="F179" s="1">
        <v>46076.525509259256</v>
      </c>
      <c r="G179" t="s">
        <v>262</v>
      </c>
      <c r="H179" t="s">
        <v>776</v>
      </c>
      <c r="I179" t="s">
        <v>3666</v>
      </c>
      <c r="J179" t="s">
        <v>44</v>
      </c>
      <c r="K179" t="s">
        <v>205</v>
      </c>
      <c r="L179" t="s">
        <v>46</v>
      </c>
      <c r="M179" t="s">
        <v>348</v>
      </c>
      <c r="N179" t="s">
        <v>506</v>
      </c>
      <c r="O179" t="s">
        <v>30</v>
      </c>
      <c r="P179" s="1">
        <v>46076.537407407406</v>
      </c>
      <c r="Q179" s="1">
        <v>46076.537395833337</v>
      </c>
      <c r="R179" t="s">
        <v>38</v>
      </c>
      <c r="S179" t="s">
        <v>3211</v>
      </c>
      <c r="T179" t="s">
        <v>31</v>
      </c>
      <c r="U179" t="s">
        <v>206</v>
      </c>
      <c r="V179" t="s">
        <v>46</v>
      </c>
      <c r="W179" t="s">
        <v>348</v>
      </c>
      <c r="X179" t="s">
        <v>506</v>
      </c>
      <c r="Y179">
        <v>15837</v>
      </c>
      <c r="Z179" t="s">
        <v>3530</v>
      </c>
      <c r="AA179" t="s">
        <v>3526</v>
      </c>
      <c r="AB179" t="s">
        <v>32</v>
      </c>
      <c r="AC179" t="s">
        <v>1322</v>
      </c>
      <c r="AD179" t="s">
        <v>1323</v>
      </c>
      <c r="AE179" t="s">
        <v>33</v>
      </c>
    </row>
    <row r="180" spans="1:31">
      <c r="A180" t="s">
        <v>1324</v>
      </c>
      <c r="B180" t="s">
        <v>34</v>
      </c>
      <c r="C180" t="s">
        <v>825</v>
      </c>
      <c r="D180" t="s">
        <v>842</v>
      </c>
      <c r="E180" t="s">
        <v>252</v>
      </c>
      <c r="F180" s="1">
        <v>46076.520185185182</v>
      </c>
      <c r="G180" t="s">
        <v>62</v>
      </c>
      <c r="H180" t="s">
        <v>776</v>
      </c>
      <c r="I180" t="s">
        <v>3668</v>
      </c>
      <c r="J180" t="s">
        <v>44</v>
      </c>
      <c r="K180" t="s">
        <v>179</v>
      </c>
      <c r="L180" t="s">
        <v>162</v>
      </c>
      <c r="M180" t="s">
        <v>163</v>
      </c>
      <c r="N180" t="s">
        <v>164</v>
      </c>
      <c r="O180" t="s">
        <v>30</v>
      </c>
      <c r="P180" s="1">
        <v>46077.472337962965</v>
      </c>
      <c r="Q180" s="1">
        <v>46077.472280092596</v>
      </c>
      <c r="R180" t="s">
        <v>38</v>
      </c>
      <c r="S180" t="s">
        <v>3212</v>
      </c>
      <c r="T180" t="s">
        <v>31</v>
      </c>
      <c r="U180" t="s">
        <v>104</v>
      </c>
      <c r="V180" t="s">
        <v>46</v>
      </c>
      <c r="W180" t="s">
        <v>47</v>
      </c>
      <c r="X180" t="s">
        <v>3213</v>
      </c>
      <c r="Y180">
        <v>15060</v>
      </c>
      <c r="Z180" t="s">
        <v>3536</v>
      </c>
      <c r="AA180" t="s">
        <v>3526</v>
      </c>
      <c r="AB180" t="s">
        <v>32</v>
      </c>
      <c r="AC180" t="s">
        <v>843</v>
      </c>
      <c r="AD180" t="s">
        <v>844</v>
      </c>
      <c r="AE180" t="s">
        <v>33</v>
      </c>
    </row>
    <row r="181" spans="1:31">
      <c r="A181" t="s">
        <v>1325</v>
      </c>
      <c r="B181" t="s">
        <v>34</v>
      </c>
      <c r="C181" t="s">
        <v>825</v>
      </c>
      <c r="D181" t="s">
        <v>842</v>
      </c>
      <c r="E181" t="s">
        <v>252</v>
      </c>
      <c r="F181" s="1">
        <v>46076.519363425927</v>
      </c>
      <c r="G181" t="s">
        <v>62</v>
      </c>
      <c r="H181" t="s">
        <v>776</v>
      </c>
      <c r="I181" t="s">
        <v>3668</v>
      </c>
      <c r="J181" t="s">
        <v>44</v>
      </c>
      <c r="K181" t="s">
        <v>205</v>
      </c>
      <c r="L181" t="s">
        <v>162</v>
      </c>
      <c r="M181" t="s">
        <v>163</v>
      </c>
      <c r="N181" t="s">
        <v>164</v>
      </c>
      <c r="O181" t="s">
        <v>30</v>
      </c>
      <c r="P181" s="1">
        <v>46078.543599537035</v>
      </c>
      <c r="Q181" s="1">
        <v>46078.543553240743</v>
      </c>
      <c r="R181" t="s">
        <v>38</v>
      </c>
      <c r="S181" t="s">
        <v>3214</v>
      </c>
      <c r="T181" t="s">
        <v>31</v>
      </c>
      <c r="U181" t="s">
        <v>104</v>
      </c>
      <c r="V181" t="s">
        <v>46</v>
      </c>
      <c r="W181" t="s">
        <v>515</v>
      </c>
      <c r="X181" t="s">
        <v>2177</v>
      </c>
      <c r="Y181">
        <v>15060</v>
      </c>
      <c r="Z181" t="s">
        <v>3536</v>
      </c>
      <c r="AA181" t="s">
        <v>3526</v>
      </c>
      <c r="AB181" t="s">
        <v>32</v>
      </c>
      <c r="AC181" t="s">
        <v>843</v>
      </c>
      <c r="AD181" t="s">
        <v>844</v>
      </c>
      <c r="AE181" t="s">
        <v>33</v>
      </c>
    </row>
    <row r="182" spans="1:31">
      <c r="A182" t="s">
        <v>1334</v>
      </c>
      <c r="B182" t="s">
        <v>24</v>
      </c>
      <c r="C182" t="s">
        <v>704</v>
      </c>
      <c r="D182" t="s">
        <v>1112</v>
      </c>
      <c r="E182" t="s">
        <v>1335</v>
      </c>
      <c r="F182" s="1">
        <v>46076.514803240738</v>
      </c>
      <c r="G182" t="s">
        <v>298</v>
      </c>
      <c r="H182" t="s">
        <v>776</v>
      </c>
      <c r="I182" t="s">
        <v>3669</v>
      </c>
      <c r="J182" t="s">
        <v>44</v>
      </c>
      <c r="K182" t="s">
        <v>411</v>
      </c>
      <c r="L182" t="s">
        <v>46</v>
      </c>
      <c r="M182" t="s">
        <v>197</v>
      </c>
      <c r="N182" t="s">
        <v>875</v>
      </c>
      <c r="O182" t="s">
        <v>86</v>
      </c>
      <c r="P182" s="1">
        <v>46076.528020833335</v>
      </c>
      <c r="Q182" s="1">
        <v>46076.527962962966</v>
      </c>
      <c r="R182" t="s">
        <v>38</v>
      </c>
      <c r="S182" t="s">
        <v>3215</v>
      </c>
      <c r="T182" t="s">
        <v>31</v>
      </c>
      <c r="U182" t="s">
        <v>413</v>
      </c>
      <c r="V182" t="s">
        <v>46</v>
      </c>
      <c r="W182" t="s">
        <v>197</v>
      </c>
      <c r="X182" t="s">
        <v>875</v>
      </c>
      <c r="Y182">
        <v>15347</v>
      </c>
      <c r="Z182" t="s">
        <v>3530</v>
      </c>
      <c r="AA182" t="s">
        <v>3526</v>
      </c>
      <c r="AB182" t="s">
        <v>32</v>
      </c>
      <c r="AC182" t="s">
        <v>1113</v>
      </c>
      <c r="AD182" t="s">
        <v>1114</v>
      </c>
      <c r="AE182" t="s">
        <v>33</v>
      </c>
    </row>
    <row r="183" spans="1:31">
      <c r="A183" t="s">
        <v>1337</v>
      </c>
      <c r="B183" t="s">
        <v>34</v>
      </c>
      <c r="C183" t="s">
        <v>1338</v>
      </c>
      <c r="D183" t="s">
        <v>1339</v>
      </c>
      <c r="E183" t="s">
        <v>119</v>
      </c>
      <c r="F183" s="1">
        <v>46076.512939814813</v>
      </c>
      <c r="G183" t="s">
        <v>35</v>
      </c>
      <c r="H183" t="s">
        <v>776</v>
      </c>
      <c r="I183" t="s">
        <v>3772</v>
      </c>
      <c r="J183" t="s">
        <v>44</v>
      </c>
      <c r="K183" t="s">
        <v>179</v>
      </c>
      <c r="L183" t="s">
        <v>162</v>
      </c>
      <c r="M183" t="s">
        <v>163</v>
      </c>
      <c r="N183" t="s">
        <v>164</v>
      </c>
      <c r="O183" t="s">
        <v>30</v>
      </c>
      <c r="P183" s="1">
        <v>46079.409456018519</v>
      </c>
      <c r="Q183" s="1">
        <v>46079.409432870372</v>
      </c>
      <c r="R183" t="s">
        <v>38</v>
      </c>
      <c r="S183" t="s">
        <v>3607</v>
      </c>
      <c r="T183" t="s">
        <v>31</v>
      </c>
      <c r="U183" t="s">
        <v>104</v>
      </c>
      <c r="V183" t="s">
        <v>46</v>
      </c>
      <c r="W183" t="s">
        <v>188</v>
      </c>
      <c r="X183" t="s">
        <v>431</v>
      </c>
      <c r="Y183" t="s">
        <v>3608</v>
      </c>
      <c r="Z183" t="s">
        <v>3536</v>
      </c>
      <c r="AA183" t="s">
        <v>3526</v>
      </c>
      <c r="AB183" t="s">
        <v>32</v>
      </c>
      <c r="AC183" t="s">
        <v>1340</v>
      </c>
      <c r="AD183" t="s">
        <v>1341</v>
      </c>
      <c r="AE183" t="s">
        <v>33</v>
      </c>
    </row>
    <row r="184" spans="1:31">
      <c r="A184" t="s">
        <v>1342</v>
      </c>
      <c r="B184" t="s">
        <v>34</v>
      </c>
      <c r="C184" t="s">
        <v>1343</v>
      </c>
      <c r="D184" t="s">
        <v>1344</v>
      </c>
      <c r="E184" t="s">
        <v>1345</v>
      </c>
      <c r="F184" s="1">
        <v>46076.512546296297</v>
      </c>
      <c r="G184" t="s">
        <v>150</v>
      </c>
      <c r="H184" t="s">
        <v>776</v>
      </c>
      <c r="I184" t="s">
        <v>3671</v>
      </c>
      <c r="J184" t="s">
        <v>44</v>
      </c>
      <c r="K184" t="s">
        <v>179</v>
      </c>
      <c r="L184" t="s">
        <v>46</v>
      </c>
      <c r="M184" t="s">
        <v>1346</v>
      </c>
      <c r="N184" t="s">
        <v>1347</v>
      </c>
      <c r="O184" t="s">
        <v>30</v>
      </c>
      <c r="P184" s="1">
        <v>46076.524745370371</v>
      </c>
      <c r="Q184" s="1">
        <v>46076.524733796294</v>
      </c>
      <c r="R184" t="s">
        <v>38</v>
      </c>
      <c r="S184" t="s">
        <v>3216</v>
      </c>
      <c r="T184" t="s">
        <v>31</v>
      </c>
      <c r="U184" t="s">
        <v>243</v>
      </c>
      <c r="V184" t="s">
        <v>46</v>
      </c>
      <c r="W184" t="s">
        <v>348</v>
      </c>
      <c r="X184" t="s">
        <v>3197</v>
      </c>
      <c r="Y184">
        <v>3102</v>
      </c>
      <c r="Z184" t="s">
        <v>3525</v>
      </c>
      <c r="AA184" t="s">
        <v>3526</v>
      </c>
      <c r="AB184" t="s">
        <v>181</v>
      </c>
      <c r="AC184" t="s">
        <v>1348</v>
      </c>
      <c r="AD184" t="s">
        <v>1349</v>
      </c>
      <c r="AE184" t="s">
        <v>33</v>
      </c>
    </row>
    <row r="185" spans="1:31">
      <c r="A185" t="s">
        <v>1350</v>
      </c>
      <c r="B185" t="s">
        <v>34</v>
      </c>
      <c r="C185" t="s">
        <v>278</v>
      </c>
      <c r="D185" t="s">
        <v>279</v>
      </c>
      <c r="E185" t="s">
        <v>430</v>
      </c>
      <c r="F185" s="1">
        <v>46076.510567129626</v>
      </c>
      <c r="G185" t="s">
        <v>245</v>
      </c>
      <c r="H185" t="s">
        <v>776</v>
      </c>
      <c r="I185" t="s">
        <v>3665</v>
      </c>
      <c r="J185" t="s">
        <v>44</v>
      </c>
      <c r="K185" t="s">
        <v>253</v>
      </c>
      <c r="L185" t="s">
        <v>46</v>
      </c>
      <c r="M185" t="s">
        <v>188</v>
      </c>
      <c r="N185" t="s">
        <v>431</v>
      </c>
      <c r="O185" t="s">
        <v>30</v>
      </c>
      <c r="P185" s="1">
        <v>46077.393495370372</v>
      </c>
      <c r="Q185" s="1">
        <v>46077.393437500003</v>
      </c>
      <c r="R185" t="s">
        <v>38</v>
      </c>
      <c r="S185" t="s">
        <v>3175</v>
      </c>
      <c r="T185" t="s">
        <v>31</v>
      </c>
      <c r="U185" t="s">
        <v>367</v>
      </c>
      <c r="V185" t="s">
        <v>46</v>
      </c>
      <c r="W185" t="s">
        <v>188</v>
      </c>
      <c r="X185" t="s">
        <v>431</v>
      </c>
      <c r="Y185">
        <v>12824</v>
      </c>
      <c r="Z185" t="s">
        <v>3530</v>
      </c>
      <c r="AA185" t="s">
        <v>3526</v>
      </c>
      <c r="AB185" t="s">
        <v>32</v>
      </c>
      <c r="AC185" t="s">
        <v>280</v>
      </c>
      <c r="AD185" t="s">
        <v>281</v>
      </c>
      <c r="AE185" t="s">
        <v>33</v>
      </c>
    </row>
    <row r="186" spans="1:31" hidden="1">
      <c r="A186" t="s">
        <v>1351</v>
      </c>
      <c r="B186" t="s">
        <v>24</v>
      </c>
      <c r="C186" t="s">
        <v>483</v>
      </c>
      <c r="D186" t="s">
        <v>970</v>
      </c>
      <c r="E186" t="s">
        <v>1352</v>
      </c>
      <c r="F186" s="1">
        <v>46076.510798611111</v>
      </c>
      <c r="G186" t="s">
        <v>186</v>
      </c>
      <c r="H186" t="s">
        <v>776</v>
      </c>
      <c r="I186" t="s">
        <v>3667</v>
      </c>
      <c r="J186" t="s">
        <v>134</v>
      </c>
      <c r="K186" t="s">
        <v>1219</v>
      </c>
      <c r="L186" t="s">
        <v>46</v>
      </c>
      <c r="M186" t="s">
        <v>1353</v>
      </c>
      <c r="N186" t="s">
        <v>1354</v>
      </c>
      <c r="O186" t="s">
        <v>86</v>
      </c>
      <c r="P186" s="1">
        <v>46076.632604166669</v>
      </c>
      <c r="Q186" s="1">
        <v>46076.632592592592</v>
      </c>
      <c r="R186" t="s">
        <v>38</v>
      </c>
      <c r="S186" t="s">
        <v>3217</v>
      </c>
      <c r="T186" t="s">
        <v>31</v>
      </c>
      <c r="U186" t="s">
        <v>190</v>
      </c>
      <c r="V186" t="s">
        <v>46</v>
      </c>
      <c r="W186" t="s">
        <v>3218</v>
      </c>
      <c r="X186" t="s">
        <v>3218</v>
      </c>
      <c r="Y186">
        <v>6141</v>
      </c>
      <c r="Z186" t="s">
        <v>3530</v>
      </c>
      <c r="AA186" t="s">
        <v>3529</v>
      </c>
      <c r="AB186" t="s">
        <v>32</v>
      </c>
      <c r="AC186" t="s">
        <v>972</v>
      </c>
      <c r="AD186" t="s">
        <v>973</v>
      </c>
      <c r="AE186" t="s">
        <v>33</v>
      </c>
    </row>
    <row r="187" spans="1:31">
      <c r="A187" t="s">
        <v>1355</v>
      </c>
      <c r="B187" t="s">
        <v>34</v>
      </c>
      <c r="C187" t="s">
        <v>1356</v>
      </c>
      <c r="D187" t="s">
        <v>79</v>
      </c>
      <c r="E187" t="s">
        <v>178</v>
      </c>
      <c r="F187" s="1">
        <v>46076.50712962963</v>
      </c>
      <c r="G187" t="s">
        <v>168</v>
      </c>
      <c r="H187" t="s">
        <v>776</v>
      </c>
      <c r="I187" t="s">
        <v>3669</v>
      </c>
      <c r="J187" t="s">
        <v>44</v>
      </c>
      <c r="K187" t="s">
        <v>699</v>
      </c>
      <c r="L187" t="s">
        <v>162</v>
      </c>
      <c r="M187" t="s">
        <v>163</v>
      </c>
      <c r="N187" t="s">
        <v>164</v>
      </c>
      <c r="O187" t="s">
        <v>30</v>
      </c>
      <c r="P187" s="1">
        <v>46076.57236111111</v>
      </c>
      <c r="Q187" s="1">
        <v>46076.57234953704</v>
      </c>
      <c r="R187" t="s">
        <v>38</v>
      </c>
      <c r="S187" t="s">
        <v>3219</v>
      </c>
      <c r="T187" t="s">
        <v>31</v>
      </c>
      <c r="U187" t="s">
        <v>104</v>
      </c>
      <c r="V187" t="s">
        <v>337</v>
      </c>
      <c r="W187" t="s">
        <v>3221</v>
      </c>
      <c r="X187" t="s">
        <v>3220</v>
      </c>
      <c r="Y187" t="s">
        <v>3609</v>
      </c>
      <c r="Z187" t="s">
        <v>3536</v>
      </c>
      <c r="AA187" t="s">
        <v>3526</v>
      </c>
      <c r="AB187" t="s">
        <v>32</v>
      </c>
      <c r="AC187" t="s">
        <v>1357</v>
      </c>
      <c r="AD187" t="s">
        <v>1358</v>
      </c>
      <c r="AE187" t="s">
        <v>33</v>
      </c>
    </row>
    <row r="188" spans="1:31" hidden="1">
      <c r="A188" t="s">
        <v>1359</v>
      </c>
      <c r="B188" t="s">
        <v>24</v>
      </c>
      <c r="C188" t="s">
        <v>1360</v>
      </c>
      <c r="D188" t="s">
        <v>1361</v>
      </c>
      <c r="E188" t="s">
        <v>1362</v>
      </c>
      <c r="F188" s="1">
        <v>46076.506527777776</v>
      </c>
      <c r="G188" t="s">
        <v>62</v>
      </c>
      <c r="H188" t="s">
        <v>776</v>
      </c>
      <c r="I188" t="s">
        <v>3668</v>
      </c>
      <c r="J188" t="s">
        <v>134</v>
      </c>
      <c r="K188" t="s">
        <v>320</v>
      </c>
      <c r="L188" t="s">
        <v>162</v>
      </c>
      <c r="M188" t="s">
        <v>163</v>
      </c>
      <c r="N188" t="s">
        <v>164</v>
      </c>
      <c r="O188" t="s">
        <v>86</v>
      </c>
      <c r="P188" s="1">
        <v>46079.341261574074</v>
      </c>
      <c r="R188" t="s">
        <v>90</v>
      </c>
      <c r="T188" t="s">
        <v>31</v>
      </c>
      <c r="U188" t="s">
        <v>104</v>
      </c>
      <c r="Y188" t="s">
        <v>3610</v>
      </c>
      <c r="Z188" t="s">
        <v>3536</v>
      </c>
      <c r="AA188" t="s">
        <v>3539</v>
      </c>
      <c r="AB188" t="s">
        <v>32</v>
      </c>
      <c r="AC188" t="s">
        <v>1363</v>
      </c>
      <c r="AD188" t="s">
        <v>1364</v>
      </c>
      <c r="AE188" t="s">
        <v>33</v>
      </c>
    </row>
    <row r="189" spans="1:31">
      <c r="A189" t="s">
        <v>1369</v>
      </c>
      <c r="B189" t="s">
        <v>34</v>
      </c>
      <c r="C189" t="s">
        <v>887</v>
      </c>
      <c r="D189" t="s">
        <v>1370</v>
      </c>
      <c r="E189" t="s">
        <v>543</v>
      </c>
      <c r="F189" s="1">
        <v>46076.504641203705</v>
      </c>
      <c r="G189" t="s">
        <v>101</v>
      </c>
      <c r="H189" t="s">
        <v>776</v>
      </c>
      <c r="I189" t="s">
        <v>3667</v>
      </c>
      <c r="J189" t="s">
        <v>44</v>
      </c>
      <c r="K189" t="s">
        <v>514</v>
      </c>
      <c r="L189" t="s">
        <v>46</v>
      </c>
      <c r="M189" t="s">
        <v>379</v>
      </c>
      <c r="N189" t="s">
        <v>379</v>
      </c>
      <c r="O189" t="s">
        <v>30</v>
      </c>
      <c r="P189" s="1">
        <v>46076.505196759259</v>
      </c>
      <c r="Q189" s="1">
        <v>46076.505173611113</v>
      </c>
      <c r="R189" t="s">
        <v>38</v>
      </c>
      <c r="S189" t="s">
        <v>3222</v>
      </c>
      <c r="T189" t="s">
        <v>31</v>
      </c>
      <c r="U189" t="s">
        <v>266</v>
      </c>
      <c r="V189" t="s">
        <v>46</v>
      </c>
      <c r="W189" t="s">
        <v>379</v>
      </c>
      <c r="X189" t="s">
        <v>379</v>
      </c>
      <c r="Y189">
        <v>14326</v>
      </c>
      <c r="Z189" t="s">
        <v>3530</v>
      </c>
      <c r="AA189" t="s">
        <v>3526</v>
      </c>
      <c r="AB189" t="s">
        <v>32</v>
      </c>
      <c r="AC189" t="s">
        <v>1371</v>
      </c>
      <c r="AD189" t="s">
        <v>1372</v>
      </c>
      <c r="AE189" t="s">
        <v>33</v>
      </c>
    </row>
    <row r="190" spans="1:31" hidden="1">
      <c r="A190" t="s">
        <v>1374</v>
      </c>
      <c r="B190" t="s">
        <v>24</v>
      </c>
      <c r="C190" t="s">
        <v>497</v>
      </c>
      <c r="D190" t="s">
        <v>498</v>
      </c>
      <c r="E190" t="s">
        <v>1375</v>
      </c>
      <c r="F190" s="1">
        <v>46076.50199074074</v>
      </c>
      <c r="G190" t="s">
        <v>62</v>
      </c>
      <c r="H190" t="s">
        <v>776</v>
      </c>
      <c r="I190" t="s">
        <v>3668</v>
      </c>
      <c r="J190" t="s">
        <v>134</v>
      </c>
      <c r="K190" t="s">
        <v>642</v>
      </c>
      <c r="L190" t="s">
        <v>162</v>
      </c>
      <c r="M190" t="s">
        <v>163</v>
      </c>
      <c r="N190" t="s">
        <v>164</v>
      </c>
      <c r="O190" t="s">
        <v>86</v>
      </c>
      <c r="P190" s="1">
        <v>46079.287349537037</v>
      </c>
      <c r="R190" t="s">
        <v>90</v>
      </c>
      <c r="T190" t="s">
        <v>31</v>
      </c>
      <c r="U190" t="s">
        <v>104</v>
      </c>
      <c r="Y190" t="s">
        <v>3559</v>
      </c>
      <c r="Z190" t="s">
        <v>3536</v>
      </c>
      <c r="AA190" t="s">
        <v>3539</v>
      </c>
      <c r="AB190" t="s">
        <v>32</v>
      </c>
      <c r="AC190" t="s">
        <v>499</v>
      </c>
      <c r="AD190" t="s">
        <v>500</v>
      </c>
      <c r="AE190" t="s">
        <v>33</v>
      </c>
    </row>
    <row r="191" spans="1:31">
      <c r="A191" t="s">
        <v>1376</v>
      </c>
      <c r="B191" t="s">
        <v>34</v>
      </c>
      <c r="C191" t="s">
        <v>1377</v>
      </c>
      <c r="D191" t="s">
        <v>1378</v>
      </c>
      <c r="E191" t="s">
        <v>1379</v>
      </c>
      <c r="F191" s="1">
        <v>46076.501307870371</v>
      </c>
      <c r="G191" t="s">
        <v>26</v>
      </c>
      <c r="H191" t="s">
        <v>776</v>
      </c>
      <c r="I191" t="s">
        <v>3665</v>
      </c>
      <c r="J191" t="s">
        <v>44</v>
      </c>
      <c r="K191" t="s">
        <v>253</v>
      </c>
      <c r="L191" t="s">
        <v>27</v>
      </c>
      <c r="M191" t="s">
        <v>28</v>
      </c>
      <c r="N191" t="s">
        <v>839</v>
      </c>
      <c r="O191" t="s">
        <v>30</v>
      </c>
      <c r="P191" s="1">
        <v>46077.392800925925</v>
      </c>
      <c r="Q191" s="1">
        <v>46077.392777777779</v>
      </c>
      <c r="R191" t="s">
        <v>38</v>
      </c>
      <c r="S191" t="s">
        <v>3223</v>
      </c>
      <c r="T191" t="s">
        <v>31</v>
      </c>
      <c r="U191" t="s">
        <v>367</v>
      </c>
      <c r="V191" t="s">
        <v>27</v>
      </c>
      <c r="W191" t="s">
        <v>28</v>
      </c>
      <c r="X191" t="s">
        <v>839</v>
      </c>
      <c r="Y191">
        <v>13774</v>
      </c>
      <c r="Z191" t="s">
        <v>3530</v>
      </c>
      <c r="AA191" t="s">
        <v>3526</v>
      </c>
      <c r="AB191" t="s">
        <v>32</v>
      </c>
      <c r="AC191" t="s">
        <v>1380</v>
      </c>
      <c r="AD191" t="s">
        <v>1381</v>
      </c>
      <c r="AE191" t="s">
        <v>33</v>
      </c>
    </row>
    <row r="192" spans="1:31">
      <c r="A192" t="s">
        <v>1382</v>
      </c>
      <c r="B192" t="s">
        <v>34</v>
      </c>
      <c r="C192" t="s">
        <v>1383</v>
      </c>
      <c r="D192" t="s">
        <v>1384</v>
      </c>
      <c r="E192" t="s">
        <v>1385</v>
      </c>
      <c r="F192" s="1">
        <v>46076.538449074076</v>
      </c>
      <c r="G192" t="s">
        <v>702</v>
      </c>
      <c r="H192" t="s">
        <v>776</v>
      </c>
      <c r="I192" t="s">
        <v>3670</v>
      </c>
      <c r="J192" t="s">
        <v>44</v>
      </c>
      <c r="K192" t="s">
        <v>733</v>
      </c>
      <c r="L192" t="s">
        <v>46</v>
      </c>
      <c r="M192" t="s">
        <v>379</v>
      </c>
      <c r="N192" t="s">
        <v>379</v>
      </c>
      <c r="O192" t="s">
        <v>30</v>
      </c>
      <c r="P192" s="1">
        <v>46076.53875</v>
      </c>
      <c r="Q192" s="1">
        <v>46076.538738425923</v>
      </c>
      <c r="R192" t="s">
        <v>38</v>
      </c>
      <c r="S192" t="s">
        <v>1385</v>
      </c>
      <c r="T192" t="s">
        <v>31</v>
      </c>
      <c r="U192" t="s">
        <v>726</v>
      </c>
      <c r="V192" t="s">
        <v>46</v>
      </c>
      <c r="W192" t="s">
        <v>379</v>
      </c>
      <c r="X192" t="s">
        <v>379</v>
      </c>
      <c r="Y192">
        <v>15831</v>
      </c>
      <c r="Z192" t="s">
        <v>3530</v>
      </c>
      <c r="AA192" t="s">
        <v>3526</v>
      </c>
      <c r="AB192" t="s">
        <v>32</v>
      </c>
      <c r="AC192" t="s">
        <v>1386</v>
      </c>
      <c r="AD192" t="s">
        <v>1387</v>
      </c>
      <c r="AE192" t="s">
        <v>33</v>
      </c>
    </row>
    <row r="193" spans="1:31">
      <c r="A193" t="s">
        <v>1391</v>
      </c>
      <c r="B193" t="s">
        <v>34</v>
      </c>
      <c r="C193" t="s">
        <v>1392</v>
      </c>
      <c r="D193" t="s">
        <v>1393</v>
      </c>
      <c r="E193" t="s">
        <v>1394</v>
      </c>
      <c r="F193" s="1">
        <v>46076.497465277775</v>
      </c>
      <c r="G193" t="s">
        <v>26</v>
      </c>
      <c r="H193" t="s">
        <v>776</v>
      </c>
      <c r="I193" t="s">
        <v>3665</v>
      </c>
      <c r="J193" t="s">
        <v>44</v>
      </c>
      <c r="K193" t="s">
        <v>179</v>
      </c>
      <c r="L193" t="s">
        <v>46</v>
      </c>
      <c r="M193" t="s">
        <v>47</v>
      </c>
      <c r="N193" t="s">
        <v>48</v>
      </c>
      <c r="O193" t="s">
        <v>30</v>
      </c>
      <c r="P193" s="1">
        <v>46076.497719907406</v>
      </c>
      <c r="Q193" s="1">
        <v>46076.497708333336</v>
      </c>
      <c r="R193" t="s">
        <v>38</v>
      </c>
      <c r="S193" t="s">
        <v>3224</v>
      </c>
      <c r="T193" t="s">
        <v>31</v>
      </c>
      <c r="U193" t="s">
        <v>350</v>
      </c>
      <c r="V193" t="s">
        <v>46</v>
      </c>
      <c r="W193" t="s">
        <v>47</v>
      </c>
      <c r="X193" t="s">
        <v>48</v>
      </c>
      <c r="Y193">
        <v>10635</v>
      </c>
      <c r="Z193" t="s">
        <v>3530</v>
      </c>
      <c r="AA193" t="s">
        <v>3526</v>
      </c>
      <c r="AB193" t="s">
        <v>32</v>
      </c>
      <c r="AC193" t="s">
        <v>1395</v>
      </c>
      <c r="AD193" t="s">
        <v>1396</v>
      </c>
      <c r="AE193" t="s">
        <v>33</v>
      </c>
    </row>
    <row r="194" spans="1:31">
      <c r="A194" t="s">
        <v>1397</v>
      </c>
      <c r="B194" t="s">
        <v>34</v>
      </c>
      <c r="C194" t="s">
        <v>1398</v>
      </c>
      <c r="D194" t="s">
        <v>170</v>
      </c>
      <c r="E194" t="s">
        <v>178</v>
      </c>
      <c r="F194" s="1">
        <v>46076.494976851849</v>
      </c>
      <c r="G194" t="s">
        <v>35</v>
      </c>
      <c r="H194" t="s">
        <v>776</v>
      </c>
      <c r="I194" t="s">
        <v>3772</v>
      </c>
      <c r="J194" t="s">
        <v>44</v>
      </c>
      <c r="K194" t="s">
        <v>699</v>
      </c>
      <c r="L194" t="s">
        <v>162</v>
      </c>
      <c r="M194" t="s">
        <v>163</v>
      </c>
      <c r="N194" t="s">
        <v>164</v>
      </c>
      <c r="O194" t="s">
        <v>30</v>
      </c>
      <c r="P194" s="1">
        <v>46076.538923611108</v>
      </c>
      <c r="Q194" s="1">
        <v>46076.538912037038</v>
      </c>
      <c r="R194" t="s">
        <v>38</v>
      </c>
      <c r="S194" t="s">
        <v>3225</v>
      </c>
      <c r="T194" t="s">
        <v>31</v>
      </c>
      <c r="U194" t="s">
        <v>104</v>
      </c>
      <c r="V194" t="s">
        <v>337</v>
      </c>
      <c r="W194" t="s">
        <v>3221</v>
      </c>
      <c r="X194" t="s">
        <v>3220</v>
      </c>
      <c r="Y194">
        <v>15376</v>
      </c>
      <c r="Z194" t="s">
        <v>3536</v>
      </c>
      <c r="AA194" t="s">
        <v>3526</v>
      </c>
      <c r="AB194" t="s">
        <v>32</v>
      </c>
      <c r="AC194" t="s">
        <v>1399</v>
      </c>
      <c r="AD194" t="s">
        <v>1400</v>
      </c>
      <c r="AE194" t="s">
        <v>33</v>
      </c>
    </row>
    <row r="195" spans="1:31">
      <c r="A195" t="s">
        <v>1411</v>
      </c>
      <c r="B195" t="s">
        <v>24</v>
      </c>
      <c r="C195" t="s">
        <v>984</v>
      </c>
      <c r="D195" t="s">
        <v>1412</v>
      </c>
      <c r="E195" t="s">
        <v>187</v>
      </c>
      <c r="F195" s="1">
        <v>46076.488842592589</v>
      </c>
      <c r="G195" t="s">
        <v>101</v>
      </c>
      <c r="H195" t="s">
        <v>776</v>
      </c>
      <c r="I195" t="s">
        <v>3667</v>
      </c>
      <c r="J195" t="s">
        <v>44</v>
      </c>
      <c r="K195" t="s">
        <v>411</v>
      </c>
      <c r="L195" t="s">
        <v>46</v>
      </c>
      <c r="M195" t="s">
        <v>188</v>
      </c>
      <c r="N195" t="s">
        <v>189</v>
      </c>
      <c r="O195" t="s">
        <v>86</v>
      </c>
      <c r="P195" s="1">
        <v>46076.495358796295</v>
      </c>
      <c r="Q195" s="1">
        <v>46076.495324074072</v>
      </c>
      <c r="R195" t="s">
        <v>38</v>
      </c>
      <c r="S195" t="s">
        <v>3226</v>
      </c>
      <c r="T195" t="s">
        <v>31</v>
      </c>
      <c r="U195" t="s">
        <v>413</v>
      </c>
      <c r="V195" t="s">
        <v>46</v>
      </c>
      <c r="W195" t="s">
        <v>188</v>
      </c>
      <c r="X195" t="s">
        <v>189</v>
      </c>
      <c r="Y195">
        <v>4210</v>
      </c>
      <c r="Z195" t="s">
        <v>3530</v>
      </c>
      <c r="AA195" t="s">
        <v>3526</v>
      </c>
      <c r="AB195" t="s">
        <v>32</v>
      </c>
      <c r="AC195" t="s">
        <v>1413</v>
      </c>
      <c r="AD195" t="s">
        <v>1414</v>
      </c>
      <c r="AE195" t="s">
        <v>33</v>
      </c>
    </row>
    <row r="196" spans="1:31" hidden="1">
      <c r="A196" t="s">
        <v>1415</v>
      </c>
      <c r="B196" t="s">
        <v>24</v>
      </c>
      <c r="C196" t="s">
        <v>485</v>
      </c>
      <c r="D196" t="s">
        <v>419</v>
      </c>
      <c r="E196" t="s">
        <v>1416</v>
      </c>
      <c r="F196" s="1">
        <v>46076.488009259258</v>
      </c>
      <c r="G196" t="s">
        <v>222</v>
      </c>
      <c r="H196" t="s">
        <v>776</v>
      </c>
      <c r="I196" t="s">
        <v>3666</v>
      </c>
      <c r="J196" t="s">
        <v>44</v>
      </c>
      <c r="K196" t="s">
        <v>514</v>
      </c>
      <c r="L196" t="s">
        <v>46</v>
      </c>
      <c r="M196" t="s">
        <v>454</v>
      </c>
      <c r="N196" t="s">
        <v>455</v>
      </c>
      <c r="O196" t="s">
        <v>86</v>
      </c>
      <c r="P196" s="1">
        <v>46079.336516203701</v>
      </c>
      <c r="R196" t="s">
        <v>90</v>
      </c>
      <c r="S196" t="s">
        <v>3369</v>
      </c>
      <c r="T196" t="s">
        <v>31</v>
      </c>
      <c r="U196" t="s">
        <v>243</v>
      </c>
      <c r="V196" t="s">
        <v>46</v>
      </c>
      <c r="W196" t="s">
        <v>454</v>
      </c>
      <c r="X196" t="s">
        <v>3350</v>
      </c>
      <c r="Y196">
        <v>15943</v>
      </c>
      <c r="Z196" t="s">
        <v>3525</v>
      </c>
      <c r="AA196" t="s">
        <v>3541</v>
      </c>
      <c r="AB196" t="s">
        <v>32</v>
      </c>
      <c r="AC196" t="s">
        <v>1417</v>
      </c>
      <c r="AD196" t="s">
        <v>1418</v>
      </c>
      <c r="AE196" t="s">
        <v>33</v>
      </c>
    </row>
    <row r="197" spans="1:31" hidden="1">
      <c r="A197" t="s">
        <v>1419</v>
      </c>
      <c r="B197" t="s">
        <v>24</v>
      </c>
      <c r="C197" t="s">
        <v>825</v>
      </c>
      <c r="D197" t="s">
        <v>25</v>
      </c>
      <c r="E197" t="s">
        <v>1420</v>
      </c>
      <c r="F197" s="1">
        <v>46076.486817129633</v>
      </c>
      <c r="G197" t="s">
        <v>226</v>
      </c>
      <c r="H197" t="s">
        <v>776</v>
      </c>
      <c r="I197" t="s">
        <v>3665</v>
      </c>
      <c r="J197" t="s">
        <v>44</v>
      </c>
      <c r="K197" t="s">
        <v>438</v>
      </c>
      <c r="L197" t="s">
        <v>120</v>
      </c>
      <c r="M197" t="s">
        <v>121</v>
      </c>
      <c r="N197" t="s">
        <v>151</v>
      </c>
      <c r="O197" t="s">
        <v>86</v>
      </c>
      <c r="P197" s="1">
        <v>46079.368680555555</v>
      </c>
      <c r="R197" t="s">
        <v>90</v>
      </c>
      <c r="T197" t="s">
        <v>31</v>
      </c>
      <c r="U197" t="s">
        <v>227</v>
      </c>
      <c r="Y197">
        <v>15012</v>
      </c>
      <c r="Z197" t="s">
        <v>3525</v>
      </c>
      <c r="AA197" t="s">
        <v>3541</v>
      </c>
      <c r="AB197" t="s">
        <v>32</v>
      </c>
      <c r="AC197" t="s">
        <v>1421</v>
      </c>
      <c r="AD197" t="s">
        <v>1422</v>
      </c>
      <c r="AE197" t="s">
        <v>33</v>
      </c>
    </row>
    <row r="198" spans="1:31">
      <c r="A198" t="s">
        <v>1424</v>
      </c>
      <c r="B198" t="s">
        <v>34</v>
      </c>
      <c r="C198" t="s">
        <v>1425</v>
      </c>
      <c r="D198" t="s">
        <v>1426</v>
      </c>
      <c r="E198" t="s">
        <v>590</v>
      </c>
      <c r="F198" s="1">
        <v>46076.483842592592</v>
      </c>
      <c r="G198" t="s">
        <v>245</v>
      </c>
      <c r="H198" t="s">
        <v>776</v>
      </c>
      <c r="I198" t="s">
        <v>3665</v>
      </c>
      <c r="J198" t="s">
        <v>44</v>
      </c>
      <c r="K198" t="s">
        <v>205</v>
      </c>
      <c r="L198" t="s">
        <v>46</v>
      </c>
      <c r="M198" t="s">
        <v>379</v>
      </c>
      <c r="N198" t="s">
        <v>379</v>
      </c>
      <c r="O198" t="s">
        <v>30</v>
      </c>
      <c r="P198" s="1">
        <v>46076.484085648146</v>
      </c>
      <c r="Q198" s="1">
        <v>46076.4840625</v>
      </c>
      <c r="R198" t="s">
        <v>38</v>
      </c>
      <c r="S198" t="s">
        <v>3132</v>
      </c>
      <c r="T198" t="s">
        <v>31</v>
      </c>
      <c r="U198" t="s">
        <v>206</v>
      </c>
      <c r="V198" t="s">
        <v>46</v>
      </c>
      <c r="W198" t="s">
        <v>379</v>
      </c>
      <c r="X198" t="s">
        <v>379</v>
      </c>
      <c r="Y198">
        <v>15878</v>
      </c>
      <c r="Z198" t="s">
        <v>3530</v>
      </c>
      <c r="AA198" t="s">
        <v>3526</v>
      </c>
      <c r="AB198" t="s">
        <v>32</v>
      </c>
      <c r="AC198" t="s">
        <v>1427</v>
      </c>
      <c r="AD198" t="s">
        <v>1428</v>
      </c>
      <c r="AE198" t="s">
        <v>33</v>
      </c>
    </row>
    <row r="199" spans="1:31" hidden="1">
      <c r="A199" t="s">
        <v>1431</v>
      </c>
      <c r="B199" t="s">
        <v>61</v>
      </c>
      <c r="C199" t="s">
        <v>1432</v>
      </c>
      <c r="D199" t="s">
        <v>1433</v>
      </c>
      <c r="E199" t="s">
        <v>140</v>
      </c>
      <c r="F199" s="1">
        <v>46076.482141203705</v>
      </c>
      <c r="G199" t="s">
        <v>128</v>
      </c>
      <c r="H199" t="s">
        <v>776</v>
      </c>
      <c r="I199" t="s">
        <v>3668</v>
      </c>
      <c r="J199" t="s">
        <v>44</v>
      </c>
      <c r="K199" t="s">
        <v>680</v>
      </c>
      <c r="L199" t="s">
        <v>63</v>
      </c>
      <c r="M199" t="s">
        <v>121</v>
      </c>
      <c r="N199" t="s">
        <v>141</v>
      </c>
      <c r="O199" t="s">
        <v>30</v>
      </c>
      <c r="P199" s="1">
        <v>46079.370092592595</v>
      </c>
      <c r="R199" t="s">
        <v>90</v>
      </c>
      <c r="T199" t="s">
        <v>31</v>
      </c>
      <c r="U199" t="s">
        <v>243</v>
      </c>
      <c r="Y199" t="s">
        <v>3612</v>
      </c>
      <c r="Z199" t="s">
        <v>3525</v>
      </c>
      <c r="AA199" t="s">
        <v>3541</v>
      </c>
      <c r="AB199" t="s">
        <v>32</v>
      </c>
      <c r="AC199" t="s">
        <v>1434</v>
      </c>
      <c r="AD199" t="s">
        <v>1435</v>
      </c>
      <c r="AE199" t="s">
        <v>33</v>
      </c>
    </row>
    <row r="200" spans="1:31">
      <c r="A200" t="s">
        <v>1436</v>
      </c>
      <c r="B200" t="s">
        <v>34</v>
      </c>
      <c r="C200" t="s">
        <v>827</v>
      </c>
      <c r="D200" t="s">
        <v>828</v>
      </c>
      <c r="E200" t="s">
        <v>1437</v>
      </c>
      <c r="F200" s="1">
        <v>46076.476365740738</v>
      </c>
      <c r="G200" t="s">
        <v>26</v>
      </c>
      <c r="H200" t="s">
        <v>776</v>
      </c>
      <c r="I200" t="s">
        <v>3665</v>
      </c>
      <c r="J200" t="s">
        <v>44</v>
      </c>
      <c r="K200" t="s">
        <v>411</v>
      </c>
      <c r="L200" t="s">
        <v>46</v>
      </c>
      <c r="M200" t="s">
        <v>188</v>
      </c>
      <c r="N200" t="s">
        <v>431</v>
      </c>
      <c r="O200" t="s">
        <v>30</v>
      </c>
      <c r="P200" s="1">
        <v>46076.478402777779</v>
      </c>
      <c r="Q200" s="1">
        <v>46076.476736111108</v>
      </c>
      <c r="R200" t="s">
        <v>38</v>
      </c>
      <c r="S200" t="s">
        <v>3227</v>
      </c>
      <c r="T200" t="s">
        <v>31</v>
      </c>
      <c r="U200" t="s">
        <v>413</v>
      </c>
      <c r="V200" t="s">
        <v>46</v>
      </c>
      <c r="W200" t="s">
        <v>188</v>
      </c>
      <c r="X200" t="s">
        <v>431</v>
      </c>
      <c r="Y200">
        <v>5392</v>
      </c>
      <c r="Z200" t="s">
        <v>3530</v>
      </c>
      <c r="AA200" t="s">
        <v>3526</v>
      </c>
      <c r="AB200" t="s">
        <v>181</v>
      </c>
      <c r="AC200" t="s">
        <v>830</v>
      </c>
      <c r="AD200" t="s">
        <v>831</v>
      </c>
      <c r="AE200" t="s">
        <v>33</v>
      </c>
    </row>
    <row r="201" spans="1:31">
      <c r="A201" t="s">
        <v>1438</v>
      </c>
      <c r="B201" t="s">
        <v>24</v>
      </c>
      <c r="C201" t="s">
        <v>287</v>
      </c>
      <c r="D201" t="s">
        <v>1439</v>
      </c>
      <c r="E201" t="s">
        <v>1440</v>
      </c>
      <c r="F201" s="1">
        <v>46076.474212962959</v>
      </c>
      <c r="G201" t="s">
        <v>74</v>
      </c>
      <c r="H201" t="s">
        <v>776</v>
      </c>
      <c r="I201" t="s">
        <v>3665</v>
      </c>
      <c r="J201" t="s">
        <v>44</v>
      </c>
      <c r="K201" t="s">
        <v>411</v>
      </c>
      <c r="L201" t="s">
        <v>46</v>
      </c>
      <c r="M201" t="s">
        <v>559</v>
      </c>
      <c r="N201" t="s">
        <v>48</v>
      </c>
      <c r="O201" t="s">
        <v>86</v>
      </c>
      <c r="P201" s="1">
        <v>46076.475243055553</v>
      </c>
      <c r="Q201" s="1">
        <v>46076.47515046296</v>
      </c>
      <c r="R201" t="s">
        <v>38</v>
      </c>
      <c r="S201" t="s">
        <v>3228</v>
      </c>
      <c r="T201" t="s">
        <v>31</v>
      </c>
      <c r="U201" t="s">
        <v>413</v>
      </c>
      <c r="V201" t="s">
        <v>46</v>
      </c>
      <c r="W201" t="s">
        <v>559</v>
      </c>
      <c r="X201" t="s">
        <v>3128</v>
      </c>
      <c r="Y201">
        <v>14560</v>
      </c>
      <c r="Z201" t="s">
        <v>3530</v>
      </c>
      <c r="AA201" t="s">
        <v>3526</v>
      </c>
      <c r="AB201" t="s">
        <v>32</v>
      </c>
      <c r="AC201" t="s">
        <v>1441</v>
      </c>
      <c r="AD201" t="s">
        <v>1442</v>
      </c>
      <c r="AE201" t="s">
        <v>33</v>
      </c>
    </row>
    <row r="202" spans="1:31" hidden="1">
      <c r="A202" t="s">
        <v>1443</v>
      </c>
      <c r="B202" t="s">
        <v>24</v>
      </c>
      <c r="C202" t="s">
        <v>1444</v>
      </c>
      <c r="D202" t="s">
        <v>92</v>
      </c>
      <c r="E202" t="s">
        <v>1445</v>
      </c>
      <c r="F202" s="1">
        <v>46076.475162037037</v>
      </c>
      <c r="G202" t="s">
        <v>593</v>
      </c>
      <c r="H202" t="s">
        <v>776</v>
      </c>
      <c r="I202" t="s">
        <v>3669</v>
      </c>
      <c r="J202" t="s">
        <v>134</v>
      </c>
      <c r="K202" t="s">
        <v>494</v>
      </c>
      <c r="L202" t="s">
        <v>46</v>
      </c>
      <c r="M202" t="s">
        <v>72</v>
      </c>
      <c r="N202" t="s">
        <v>971</v>
      </c>
      <c r="O202" t="s">
        <v>37</v>
      </c>
      <c r="P202" s="1">
        <v>46076.711342592593</v>
      </c>
      <c r="Q202" s="1">
        <v>46076.711168981485</v>
      </c>
      <c r="R202" t="s">
        <v>38</v>
      </c>
      <c r="S202" t="s">
        <v>3229</v>
      </c>
      <c r="T202" t="s">
        <v>31</v>
      </c>
      <c r="U202" t="s">
        <v>227</v>
      </c>
      <c r="V202" t="s">
        <v>46</v>
      </c>
      <c r="W202" t="s">
        <v>582</v>
      </c>
      <c r="X202" t="s">
        <v>3230</v>
      </c>
      <c r="Y202">
        <v>357</v>
      </c>
      <c r="Z202" t="s">
        <v>3525</v>
      </c>
      <c r="AA202" t="s">
        <v>3526</v>
      </c>
      <c r="AB202" t="s">
        <v>181</v>
      </c>
      <c r="AC202" t="s">
        <v>1446</v>
      </c>
      <c r="AD202" t="s">
        <v>1447</v>
      </c>
      <c r="AE202" t="s">
        <v>33</v>
      </c>
    </row>
    <row r="203" spans="1:31" hidden="1">
      <c r="A203" t="s">
        <v>1448</v>
      </c>
      <c r="B203" t="s">
        <v>24</v>
      </c>
      <c r="C203" t="s">
        <v>1449</v>
      </c>
      <c r="D203" t="s">
        <v>1450</v>
      </c>
      <c r="E203" t="s">
        <v>725</v>
      </c>
      <c r="F203" s="1">
        <v>46076.470717592594</v>
      </c>
      <c r="G203" t="s">
        <v>593</v>
      </c>
      <c r="H203" t="s">
        <v>776</v>
      </c>
      <c r="I203" t="s">
        <v>3669</v>
      </c>
      <c r="J203" t="s">
        <v>134</v>
      </c>
      <c r="K203" t="s">
        <v>494</v>
      </c>
      <c r="L203" t="s">
        <v>46</v>
      </c>
      <c r="M203" t="s">
        <v>197</v>
      </c>
      <c r="N203" t="s">
        <v>725</v>
      </c>
      <c r="O203" t="s">
        <v>284</v>
      </c>
      <c r="P203" s="1">
        <v>46076.526435185187</v>
      </c>
      <c r="Q203" s="1">
        <v>46076.526388888888</v>
      </c>
      <c r="R203" t="s">
        <v>38</v>
      </c>
      <c r="S203" t="e">
        <f>-the Monitor has been connected, and All PC and Monitor are working fine now.</f>
        <v>#NAME?</v>
      </c>
      <c r="T203" t="s">
        <v>31</v>
      </c>
      <c r="U203" t="s">
        <v>266</v>
      </c>
      <c r="V203" t="s">
        <v>46</v>
      </c>
      <c r="W203" t="s">
        <v>197</v>
      </c>
      <c r="X203" t="s">
        <v>725</v>
      </c>
      <c r="Y203">
        <v>3673</v>
      </c>
      <c r="Z203" t="s">
        <v>3530</v>
      </c>
      <c r="AA203" t="s">
        <v>3526</v>
      </c>
      <c r="AB203" t="s">
        <v>32</v>
      </c>
      <c r="AC203" t="s">
        <v>1451</v>
      </c>
      <c r="AD203" t="s">
        <v>1452</v>
      </c>
      <c r="AE203" t="s">
        <v>33</v>
      </c>
    </row>
    <row r="204" spans="1:31" hidden="1">
      <c r="A204" t="s">
        <v>1453</v>
      </c>
      <c r="B204" t="s">
        <v>24</v>
      </c>
      <c r="C204" t="s">
        <v>1454</v>
      </c>
      <c r="D204" t="s">
        <v>1455</v>
      </c>
      <c r="E204" t="s">
        <v>1335</v>
      </c>
      <c r="F204" s="1">
        <v>46076.468159722222</v>
      </c>
      <c r="G204" t="s">
        <v>298</v>
      </c>
      <c r="H204" t="s">
        <v>776</v>
      </c>
      <c r="I204" t="s">
        <v>3669</v>
      </c>
      <c r="J204" t="s">
        <v>134</v>
      </c>
      <c r="K204" t="s">
        <v>494</v>
      </c>
      <c r="L204" t="s">
        <v>46</v>
      </c>
      <c r="M204" t="s">
        <v>197</v>
      </c>
      <c r="N204" t="s">
        <v>725</v>
      </c>
      <c r="O204" t="s">
        <v>86</v>
      </c>
      <c r="P204" s="1">
        <v>46076.712870370371</v>
      </c>
      <c r="Q204" s="1">
        <v>46076.712835648148</v>
      </c>
      <c r="R204" t="s">
        <v>38</v>
      </c>
      <c r="S204" t="e">
        <f>- Network Driver has been reset and reconnected successfully.</f>
        <v>#NAME?</v>
      </c>
      <c r="T204" t="s">
        <v>31</v>
      </c>
      <c r="U204" t="s">
        <v>413</v>
      </c>
      <c r="V204" t="s">
        <v>46</v>
      </c>
      <c r="W204" t="s">
        <v>682</v>
      </c>
      <c r="X204" t="s">
        <v>3231</v>
      </c>
      <c r="Y204">
        <v>15613</v>
      </c>
      <c r="Z204" t="s">
        <v>3530</v>
      </c>
      <c r="AA204" t="s">
        <v>3526</v>
      </c>
      <c r="AB204" t="s">
        <v>32</v>
      </c>
      <c r="AC204" t="s">
        <v>1456</v>
      </c>
      <c r="AD204" t="s">
        <v>1457</v>
      </c>
      <c r="AE204" t="s">
        <v>33</v>
      </c>
    </row>
    <row r="205" spans="1:31" hidden="1">
      <c r="A205" t="s">
        <v>1458</v>
      </c>
      <c r="B205" t="s">
        <v>34</v>
      </c>
      <c r="C205" t="s">
        <v>1459</v>
      </c>
      <c r="D205" t="s">
        <v>1460</v>
      </c>
      <c r="E205" t="s">
        <v>813</v>
      </c>
      <c r="F205" s="1">
        <v>46076.466689814813</v>
      </c>
      <c r="G205" t="s">
        <v>353</v>
      </c>
      <c r="H205" t="s">
        <v>776</v>
      </c>
      <c r="I205" t="s">
        <v>3671</v>
      </c>
      <c r="J205" t="s">
        <v>44</v>
      </c>
      <c r="K205" t="s">
        <v>514</v>
      </c>
      <c r="L205" t="s">
        <v>46</v>
      </c>
      <c r="M205" t="s">
        <v>188</v>
      </c>
      <c r="N205" t="s">
        <v>431</v>
      </c>
      <c r="O205" t="s">
        <v>30</v>
      </c>
      <c r="P205" s="1">
        <v>46079.363159722219</v>
      </c>
      <c r="R205" t="s">
        <v>90</v>
      </c>
      <c r="S205" t="s">
        <v>3369</v>
      </c>
      <c r="T205" t="s">
        <v>31</v>
      </c>
      <c r="U205" t="s">
        <v>899</v>
      </c>
      <c r="V205" t="s">
        <v>46</v>
      </c>
      <c r="W205" t="s">
        <v>188</v>
      </c>
      <c r="X205" t="s">
        <v>431</v>
      </c>
      <c r="Y205">
        <v>4781</v>
      </c>
      <c r="Z205" t="s">
        <v>3530</v>
      </c>
      <c r="AA205" t="s">
        <v>3541</v>
      </c>
      <c r="AB205" t="s">
        <v>32</v>
      </c>
      <c r="AC205" t="s">
        <v>1461</v>
      </c>
      <c r="AD205" t="s">
        <v>1462</v>
      </c>
      <c r="AE205" t="s">
        <v>33</v>
      </c>
    </row>
    <row r="206" spans="1:31">
      <c r="A206" t="s">
        <v>1463</v>
      </c>
      <c r="B206" t="s">
        <v>34</v>
      </c>
      <c r="C206" t="s">
        <v>1464</v>
      </c>
      <c r="D206" t="s">
        <v>1465</v>
      </c>
      <c r="E206" t="s">
        <v>1466</v>
      </c>
      <c r="F206" s="1">
        <v>46076.465486111112</v>
      </c>
      <c r="G206" t="s">
        <v>101</v>
      </c>
      <c r="H206" t="s">
        <v>776</v>
      </c>
      <c r="I206" t="s">
        <v>3667</v>
      </c>
      <c r="J206" t="s">
        <v>44</v>
      </c>
      <c r="K206" t="s">
        <v>733</v>
      </c>
      <c r="L206" t="s">
        <v>46</v>
      </c>
      <c r="M206" t="s">
        <v>379</v>
      </c>
      <c r="N206" t="s">
        <v>379</v>
      </c>
      <c r="O206" t="s">
        <v>30</v>
      </c>
      <c r="P206" s="1">
        <v>46076.476944444446</v>
      </c>
      <c r="Q206" s="1">
        <v>46076.476921296293</v>
      </c>
      <c r="R206" t="s">
        <v>38</v>
      </c>
      <c r="S206" t="s">
        <v>1466</v>
      </c>
      <c r="T206" t="s">
        <v>31</v>
      </c>
      <c r="U206" t="s">
        <v>726</v>
      </c>
      <c r="V206" t="s">
        <v>46</v>
      </c>
      <c r="W206" t="s">
        <v>379</v>
      </c>
      <c r="X206" t="s">
        <v>379</v>
      </c>
      <c r="Y206">
        <v>3190</v>
      </c>
      <c r="Z206" t="s">
        <v>3530</v>
      </c>
      <c r="AA206" t="s">
        <v>3526</v>
      </c>
      <c r="AB206" t="s">
        <v>32</v>
      </c>
      <c r="AC206" t="s">
        <v>1467</v>
      </c>
      <c r="AD206" t="s">
        <v>1468</v>
      </c>
      <c r="AE206" t="s">
        <v>33</v>
      </c>
    </row>
    <row r="207" spans="1:31">
      <c r="A207" t="s">
        <v>1469</v>
      </c>
      <c r="B207" t="s">
        <v>34</v>
      </c>
      <c r="C207" t="s">
        <v>260</v>
      </c>
      <c r="D207" t="s">
        <v>1470</v>
      </c>
      <c r="E207" t="s">
        <v>1471</v>
      </c>
      <c r="F207" s="1">
        <v>46076.462175925924</v>
      </c>
      <c r="G207" t="s">
        <v>210</v>
      </c>
      <c r="H207" t="s">
        <v>776</v>
      </c>
      <c r="I207" t="s">
        <v>3667</v>
      </c>
      <c r="J207" t="s">
        <v>44</v>
      </c>
      <c r="K207" t="s">
        <v>514</v>
      </c>
      <c r="L207" t="s">
        <v>46</v>
      </c>
      <c r="M207" t="s">
        <v>348</v>
      </c>
      <c r="N207" t="s">
        <v>506</v>
      </c>
      <c r="O207" t="s">
        <v>30</v>
      </c>
      <c r="P207" s="1">
        <v>46076.463263888887</v>
      </c>
      <c r="Q207" s="1">
        <v>46076.463229166664</v>
      </c>
      <c r="R207" t="s">
        <v>38</v>
      </c>
      <c r="S207" t="s">
        <v>3232</v>
      </c>
      <c r="T207" t="s">
        <v>31</v>
      </c>
      <c r="U207" t="s">
        <v>266</v>
      </c>
      <c r="V207" t="s">
        <v>46</v>
      </c>
      <c r="W207" t="s">
        <v>348</v>
      </c>
      <c r="X207" t="s">
        <v>506</v>
      </c>
      <c r="Y207" t="s">
        <v>3613</v>
      </c>
      <c r="Z207" t="s">
        <v>3530</v>
      </c>
      <c r="AA207" t="s">
        <v>3526</v>
      </c>
      <c r="AB207" t="s">
        <v>32</v>
      </c>
      <c r="AC207" t="s">
        <v>1472</v>
      </c>
      <c r="AD207" t="s">
        <v>1473</v>
      </c>
      <c r="AE207" t="s">
        <v>33</v>
      </c>
    </row>
    <row r="208" spans="1:31">
      <c r="A208" t="s">
        <v>1474</v>
      </c>
      <c r="B208" t="s">
        <v>34</v>
      </c>
      <c r="C208" t="s">
        <v>1475</v>
      </c>
      <c r="D208" t="s">
        <v>1476</v>
      </c>
      <c r="E208" t="s">
        <v>543</v>
      </c>
      <c r="F208" s="1">
        <v>46076.461296296293</v>
      </c>
      <c r="G208" t="s">
        <v>117</v>
      </c>
      <c r="H208" t="s">
        <v>776</v>
      </c>
      <c r="I208" t="s">
        <v>3668</v>
      </c>
      <c r="J208" t="s">
        <v>44</v>
      </c>
      <c r="K208" t="s">
        <v>514</v>
      </c>
      <c r="L208" t="s">
        <v>46</v>
      </c>
      <c r="M208" t="s">
        <v>379</v>
      </c>
      <c r="N208" t="s">
        <v>379</v>
      </c>
      <c r="O208" t="s">
        <v>30</v>
      </c>
      <c r="P208" s="1">
        <v>46076.464236111111</v>
      </c>
      <c r="Q208" s="1">
        <v>46076.464189814818</v>
      </c>
      <c r="R208" t="s">
        <v>38</v>
      </c>
      <c r="S208" t="s">
        <v>3233</v>
      </c>
      <c r="T208" t="s">
        <v>31</v>
      </c>
      <c r="U208" t="s">
        <v>266</v>
      </c>
      <c r="V208" t="s">
        <v>46</v>
      </c>
      <c r="W208" t="s">
        <v>379</v>
      </c>
      <c r="X208" t="s">
        <v>379</v>
      </c>
      <c r="Y208">
        <v>9942</v>
      </c>
      <c r="Z208" t="s">
        <v>3530</v>
      </c>
      <c r="AA208" t="s">
        <v>3526</v>
      </c>
      <c r="AB208" t="s">
        <v>32</v>
      </c>
      <c r="AC208" t="s">
        <v>1477</v>
      </c>
      <c r="AD208" t="s">
        <v>1478</v>
      </c>
      <c r="AE208" t="s">
        <v>33</v>
      </c>
    </row>
    <row r="209" spans="1:31">
      <c r="A209" t="s">
        <v>1479</v>
      </c>
      <c r="B209" t="s">
        <v>24</v>
      </c>
      <c r="C209" t="s">
        <v>1480</v>
      </c>
      <c r="D209" t="s">
        <v>1481</v>
      </c>
      <c r="E209" t="s">
        <v>868</v>
      </c>
      <c r="F209" s="1">
        <v>46076.459780092591</v>
      </c>
      <c r="G209" t="s">
        <v>333</v>
      </c>
      <c r="H209" t="s">
        <v>776</v>
      </c>
      <c r="I209" t="s">
        <v>3671</v>
      </c>
      <c r="J209" t="s">
        <v>44</v>
      </c>
      <c r="K209" t="s">
        <v>514</v>
      </c>
      <c r="L209" t="s">
        <v>46</v>
      </c>
      <c r="M209" t="s">
        <v>443</v>
      </c>
      <c r="N209" t="s">
        <v>869</v>
      </c>
      <c r="O209" t="s">
        <v>86</v>
      </c>
      <c r="P209" s="1">
        <v>46076.467303240737</v>
      </c>
      <c r="Q209" s="1">
        <v>46076.467291666668</v>
      </c>
      <c r="R209" t="s">
        <v>38</v>
      </c>
      <c r="S209" t="e">
        <f>- Run gpupdate/force - PC restarted  - has confirmed able to browse and access hence closing the ticket</f>
        <v>#NAME?</v>
      </c>
      <c r="T209" t="s">
        <v>31</v>
      </c>
      <c r="U209" t="s">
        <v>266</v>
      </c>
      <c r="V209" t="s">
        <v>46</v>
      </c>
      <c r="W209" t="s">
        <v>3113</v>
      </c>
      <c r="X209" t="s">
        <v>3163</v>
      </c>
      <c r="Y209">
        <v>10175</v>
      </c>
      <c r="Z209" t="s">
        <v>3530</v>
      </c>
      <c r="AA209" t="s">
        <v>3526</v>
      </c>
      <c r="AB209" t="s">
        <v>181</v>
      </c>
      <c r="AC209" t="s">
        <v>1482</v>
      </c>
      <c r="AD209" t="s">
        <v>1483</v>
      </c>
      <c r="AE209" t="s">
        <v>33</v>
      </c>
    </row>
    <row r="210" spans="1:31">
      <c r="A210" t="s">
        <v>1484</v>
      </c>
      <c r="B210" t="s">
        <v>34</v>
      </c>
      <c r="C210" t="s">
        <v>594</v>
      </c>
      <c r="D210" t="s">
        <v>1485</v>
      </c>
      <c r="E210" t="s">
        <v>1486</v>
      </c>
      <c r="F210" s="1">
        <v>46076.459143518521</v>
      </c>
      <c r="G210" t="s">
        <v>161</v>
      </c>
      <c r="H210" t="s">
        <v>776</v>
      </c>
      <c r="I210" t="s">
        <v>3667</v>
      </c>
      <c r="J210" t="s">
        <v>44</v>
      </c>
      <c r="K210" t="s">
        <v>514</v>
      </c>
      <c r="L210" t="s">
        <v>46</v>
      </c>
      <c r="M210" t="s">
        <v>47</v>
      </c>
      <c r="N210" t="s">
        <v>48</v>
      </c>
      <c r="O210" t="s">
        <v>30</v>
      </c>
      <c r="P210" s="1">
        <v>46076.472488425927</v>
      </c>
      <c r="Q210" s="1">
        <v>46076.472418981481</v>
      </c>
      <c r="R210" t="s">
        <v>38</v>
      </c>
      <c r="S210" t="s">
        <v>3234</v>
      </c>
      <c r="T210" t="s">
        <v>31</v>
      </c>
      <c r="U210" t="s">
        <v>266</v>
      </c>
      <c r="V210" t="s">
        <v>46</v>
      </c>
      <c r="W210" t="s">
        <v>47</v>
      </c>
      <c r="X210" t="s">
        <v>48</v>
      </c>
      <c r="Y210">
        <v>15258</v>
      </c>
      <c r="Z210" t="s">
        <v>3530</v>
      </c>
      <c r="AA210" t="s">
        <v>3526</v>
      </c>
      <c r="AB210" t="s">
        <v>32</v>
      </c>
      <c r="AC210" t="s">
        <v>1487</v>
      </c>
      <c r="AD210" t="s">
        <v>1488</v>
      </c>
      <c r="AE210" t="s">
        <v>33</v>
      </c>
    </row>
    <row r="211" spans="1:31">
      <c r="A211" t="s">
        <v>1489</v>
      </c>
      <c r="B211" t="s">
        <v>34</v>
      </c>
      <c r="C211" t="s">
        <v>509</v>
      </c>
      <c r="D211" t="s">
        <v>1490</v>
      </c>
      <c r="E211" t="s">
        <v>109</v>
      </c>
      <c r="F211" s="1">
        <v>46076.457615740743</v>
      </c>
      <c r="G211" t="s">
        <v>353</v>
      </c>
      <c r="H211" t="s">
        <v>776</v>
      </c>
      <c r="I211" t="s">
        <v>3671</v>
      </c>
      <c r="J211" t="s">
        <v>44</v>
      </c>
      <c r="K211" t="s">
        <v>179</v>
      </c>
      <c r="L211" t="s">
        <v>46</v>
      </c>
      <c r="M211" t="s">
        <v>110</v>
      </c>
      <c r="N211" t="s">
        <v>111</v>
      </c>
      <c r="O211" t="s">
        <v>30</v>
      </c>
      <c r="P211" s="1">
        <v>46076.45789351852</v>
      </c>
      <c r="Q211" s="1">
        <v>46076.457881944443</v>
      </c>
      <c r="R211" t="s">
        <v>38</v>
      </c>
      <c r="S211" t="s">
        <v>3182</v>
      </c>
      <c r="T211" t="s">
        <v>31</v>
      </c>
      <c r="U211" t="s">
        <v>350</v>
      </c>
      <c r="V211" t="s">
        <v>46</v>
      </c>
      <c r="W211" t="s">
        <v>110</v>
      </c>
      <c r="X211" t="s">
        <v>111</v>
      </c>
      <c r="Y211">
        <v>13000</v>
      </c>
      <c r="Z211" t="s">
        <v>3530</v>
      </c>
      <c r="AA211" t="s">
        <v>3526</v>
      </c>
      <c r="AB211" t="s">
        <v>32</v>
      </c>
      <c r="AC211" t="s">
        <v>1491</v>
      </c>
      <c r="AD211" t="s">
        <v>1492</v>
      </c>
      <c r="AE211" t="s">
        <v>33</v>
      </c>
    </row>
    <row r="212" spans="1:31">
      <c r="A212" t="s">
        <v>1493</v>
      </c>
      <c r="B212" t="s">
        <v>24</v>
      </c>
      <c r="C212" t="s">
        <v>1494</v>
      </c>
      <c r="D212" t="s">
        <v>1495</v>
      </c>
      <c r="E212" t="s">
        <v>915</v>
      </c>
      <c r="F212" s="1">
        <v>46076.457719907405</v>
      </c>
      <c r="G212" t="s">
        <v>245</v>
      </c>
      <c r="H212" t="s">
        <v>776</v>
      </c>
      <c r="I212" t="s">
        <v>3665</v>
      </c>
      <c r="J212" t="s">
        <v>44</v>
      </c>
      <c r="K212" t="s">
        <v>733</v>
      </c>
      <c r="L212" t="s">
        <v>46</v>
      </c>
      <c r="M212" t="s">
        <v>313</v>
      </c>
      <c r="N212" t="s">
        <v>547</v>
      </c>
      <c r="O212" t="s">
        <v>86</v>
      </c>
      <c r="P212" s="1">
        <v>46076.477384259262</v>
      </c>
      <c r="Q212" s="1">
        <v>46076.477372685185</v>
      </c>
      <c r="R212" t="s">
        <v>38</v>
      </c>
      <c r="S212" t="s">
        <v>3235</v>
      </c>
      <c r="T212" t="s">
        <v>31</v>
      </c>
      <c r="U212" t="s">
        <v>726</v>
      </c>
      <c r="V212" t="s">
        <v>46</v>
      </c>
      <c r="W212" t="s">
        <v>313</v>
      </c>
      <c r="X212" t="s">
        <v>2282</v>
      </c>
      <c r="Y212">
        <v>15907</v>
      </c>
      <c r="Z212" t="s">
        <v>3530</v>
      </c>
      <c r="AA212" t="s">
        <v>3526</v>
      </c>
      <c r="AB212" t="s">
        <v>32</v>
      </c>
      <c r="AC212" t="s">
        <v>1496</v>
      </c>
      <c r="AD212" t="s">
        <v>1497</v>
      </c>
      <c r="AE212" t="s">
        <v>33</v>
      </c>
    </row>
    <row r="213" spans="1:31" hidden="1">
      <c r="A213" t="s">
        <v>1498</v>
      </c>
      <c r="B213" t="s">
        <v>24</v>
      </c>
      <c r="C213" t="s">
        <v>1240</v>
      </c>
      <c r="D213" t="s">
        <v>1499</v>
      </c>
      <c r="E213" t="s">
        <v>1500</v>
      </c>
      <c r="F213" s="1">
        <v>46076.456979166665</v>
      </c>
      <c r="G213" t="s">
        <v>177</v>
      </c>
      <c r="H213" t="s">
        <v>776</v>
      </c>
      <c r="I213" t="s">
        <v>3772</v>
      </c>
      <c r="J213" t="s">
        <v>134</v>
      </c>
      <c r="K213" t="s">
        <v>1501</v>
      </c>
      <c r="L213" t="s">
        <v>27</v>
      </c>
      <c r="M213" t="s">
        <v>29</v>
      </c>
      <c r="N213" t="s">
        <v>1336</v>
      </c>
      <c r="O213" t="s">
        <v>37</v>
      </c>
      <c r="P213" s="1">
        <v>46079.28733796296</v>
      </c>
      <c r="R213" t="s">
        <v>90</v>
      </c>
      <c r="T213" t="s">
        <v>31</v>
      </c>
      <c r="U213" t="s">
        <v>243</v>
      </c>
      <c r="Y213">
        <v>13929</v>
      </c>
      <c r="Z213" t="s">
        <v>3525</v>
      </c>
      <c r="AA213" t="s">
        <v>3541</v>
      </c>
      <c r="AB213" t="s">
        <v>32</v>
      </c>
      <c r="AC213" t="s">
        <v>1502</v>
      </c>
      <c r="AD213" t="s">
        <v>1503</v>
      </c>
      <c r="AE213" t="s">
        <v>33</v>
      </c>
    </row>
    <row r="214" spans="1:31" hidden="1">
      <c r="A214" t="s">
        <v>1504</v>
      </c>
      <c r="B214" t="s">
        <v>24</v>
      </c>
      <c r="C214" t="s">
        <v>1444</v>
      </c>
      <c r="D214" t="s">
        <v>92</v>
      </c>
      <c r="E214" t="s">
        <v>1505</v>
      </c>
      <c r="F214" s="1">
        <v>46076.456701388888</v>
      </c>
      <c r="G214" t="s">
        <v>593</v>
      </c>
      <c r="H214" t="s">
        <v>776</v>
      </c>
      <c r="I214" t="s">
        <v>3669</v>
      </c>
      <c r="J214" t="s">
        <v>134</v>
      </c>
      <c r="K214" t="s">
        <v>494</v>
      </c>
      <c r="L214" t="s">
        <v>46</v>
      </c>
      <c r="M214" t="s">
        <v>188</v>
      </c>
      <c r="N214" t="s">
        <v>189</v>
      </c>
      <c r="O214" t="s">
        <v>86</v>
      </c>
      <c r="P214" s="1">
        <v>46076.714560185188</v>
      </c>
      <c r="Q214" s="1">
        <v>46076.714525462965</v>
      </c>
      <c r="R214" t="s">
        <v>38</v>
      </c>
      <c r="S214" t="e">
        <f>- Adobe Acrobat has been Updated and All the windows drives and BOIS Updated successfully. - issue resolved.</f>
        <v>#NAME?</v>
      </c>
      <c r="T214" t="s">
        <v>31</v>
      </c>
      <c r="U214" t="s">
        <v>266</v>
      </c>
      <c r="V214" t="s">
        <v>46</v>
      </c>
      <c r="W214" t="s">
        <v>374</v>
      </c>
      <c r="X214" t="s">
        <v>618</v>
      </c>
      <c r="Y214">
        <v>357</v>
      </c>
      <c r="Z214" t="s">
        <v>3530</v>
      </c>
      <c r="AA214" t="s">
        <v>3526</v>
      </c>
      <c r="AB214" t="s">
        <v>181</v>
      </c>
      <c r="AC214" t="s">
        <v>1446</v>
      </c>
      <c r="AD214" t="s">
        <v>1447</v>
      </c>
      <c r="AE214" t="s">
        <v>33</v>
      </c>
    </row>
    <row r="215" spans="1:31">
      <c r="A215" t="s">
        <v>1506</v>
      </c>
      <c r="B215" t="s">
        <v>24</v>
      </c>
      <c r="C215" t="s">
        <v>1507</v>
      </c>
      <c r="D215" t="s">
        <v>1508</v>
      </c>
      <c r="E215" t="s">
        <v>1509</v>
      </c>
      <c r="F215" s="1">
        <v>46076.455868055556</v>
      </c>
      <c r="G215" t="s">
        <v>353</v>
      </c>
      <c r="H215" t="s">
        <v>776</v>
      </c>
      <c r="I215" t="s">
        <v>3671</v>
      </c>
      <c r="J215" t="s">
        <v>44</v>
      </c>
      <c r="K215" t="s">
        <v>179</v>
      </c>
      <c r="L215" t="s">
        <v>162</v>
      </c>
      <c r="M215" t="s">
        <v>163</v>
      </c>
      <c r="N215" t="s">
        <v>164</v>
      </c>
      <c r="O215" t="s">
        <v>284</v>
      </c>
      <c r="P215" s="1">
        <v>46077.498287037037</v>
      </c>
      <c r="Q215" s="1">
        <v>46077.49827546296</v>
      </c>
      <c r="R215" t="s">
        <v>38</v>
      </c>
      <c r="S215" t="s">
        <v>3236</v>
      </c>
      <c r="T215" t="s">
        <v>31</v>
      </c>
      <c r="U215" t="s">
        <v>104</v>
      </c>
      <c r="V215" t="s">
        <v>46</v>
      </c>
      <c r="W215" t="s">
        <v>348</v>
      </c>
      <c r="X215" t="s">
        <v>349</v>
      </c>
      <c r="Y215">
        <v>389</v>
      </c>
      <c r="Z215" t="s">
        <v>3536</v>
      </c>
      <c r="AA215" t="s">
        <v>3526</v>
      </c>
      <c r="AB215" t="s">
        <v>181</v>
      </c>
      <c r="AC215" t="s">
        <v>1510</v>
      </c>
      <c r="AD215" t="s">
        <v>1511</v>
      </c>
      <c r="AE215" t="s">
        <v>33</v>
      </c>
    </row>
    <row r="216" spans="1:31" hidden="1">
      <c r="A216" t="s">
        <v>1512</v>
      </c>
      <c r="B216" t="s">
        <v>34</v>
      </c>
      <c r="C216" t="s">
        <v>323</v>
      </c>
      <c r="D216" t="s">
        <v>324</v>
      </c>
      <c r="E216" t="s">
        <v>1513</v>
      </c>
      <c r="F216" s="1">
        <v>46076.45140046296</v>
      </c>
      <c r="G216" t="s">
        <v>62</v>
      </c>
      <c r="H216" t="s">
        <v>776</v>
      </c>
      <c r="I216" t="s">
        <v>3668</v>
      </c>
      <c r="J216" t="s">
        <v>134</v>
      </c>
      <c r="K216" t="s">
        <v>642</v>
      </c>
      <c r="L216" t="s">
        <v>46</v>
      </c>
      <c r="M216" t="s">
        <v>659</v>
      </c>
      <c r="N216" t="s">
        <v>1514</v>
      </c>
      <c r="O216" t="s">
        <v>30</v>
      </c>
      <c r="P216" s="1">
        <v>46079.28733796296</v>
      </c>
      <c r="R216" t="s">
        <v>90</v>
      </c>
      <c r="T216" t="s">
        <v>31</v>
      </c>
      <c r="U216" t="s">
        <v>243</v>
      </c>
      <c r="Y216" t="s">
        <v>3550</v>
      </c>
      <c r="Z216" t="s">
        <v>3525</v>
      </c>
      <c r="AA216" t="s">
        <v>3535</v>
      </c>
      <c r="AB216" t="s">
        <v>32</v>
      </c>
      <c r="AC216" t="s">
        <v>325</v>
      </c>
      <c r="AD216" t="s">
        <v>326</v>
      </c>
      <c r="AE216" t="s">
        <v>33</v>
      </c>
    </row>
    <row r="217" spans="1:31">
      <c r="A217" t="s">
        <v>1515</v>
      </c>
      <c r="B217" t="s">
        <v>24</v>
      </c>
      <c r="C217" t="s">
        <v>25</v>
      </c>
      <c r="D217" t="s">
        <v>1516</v>
      </c>
      <c r="E217" t="s">
        <v>1517</v>
      </c>
      <c r="F217" s="1">
        <v>46076.455636574072</v>
      </c>
      <c r="G217" t="s">
        <v>132</v>
      </c>
      <c r="H217" t="s">
        <v>776</v>
      </c>
      <c r="I217" t="s">
        <v>3665</v>
      </c>
      <c r="J217" t="s">
        <v>44</v>
      </c>
      <c r="K217" t="s">
        <v>411</v>
      </c>
      <c r="L217" t="s">
        <v>46</v>
      </c>
      <c r="M217" t="s">
        <v>374</v>
      </c>
      <c r="N217" t="s">
        <v>1518</v>
      </c>
      <c r="O217" t="s">
        <v>86</v>
      </c>
      <c r="P217" s="1">
        <v>46076.457881944443</v>
      </c>
      <c r="Q217" s="1">
        <v>46076.457858796297</v>
      </c>
      <c r="R217" t="s">
        <v>38</v>
      </c>
      <c r="S217" t="s">
        <v>3237</v>
      </c>
      <c r="T217" t="s">
        <v>31</v>
      </c>
      <c r="U217" t="s">
        <v>413</v>
      </c>
      <c r="V217" t="s">
        <v>46</v>
      </c>
      <c r="W217" t="s">
        <v>559</v>
      </c>
      <c r="X217" t="s">
        <v>3128</v>
      </c>
      <c r="Y217" t="s">
        <v>3614</v>
      </c>
      <c r="Z217" t="s">
        <v>3530</v>
      </c>
      <c r="AA217" t="s">
        <v>3526</v>
      </c>
      <c r="AB217" t="s">
        <v>32</v>
      </c>
      <c r="AC217" t="s">
        <v>1519</v>
      </c>
      <c r="AD217" t="s">
        <v>1520</v>
      </c>
      <c r="AE217" t="s">
        <v>33</v>
      </c>
    </row>
    <row r="218" spans="1:31">
      <c r="A218" t="s">
        <v>1521</v>
      </c>
      <c r="B218" t="s">
        <v>34</v>
      </c>
      <c r="C218" t="s">
        <v>1464</v>
      </c>
      <c r="D218" t="s">
        <v>1465</v>
      </c>
      <c r="E218" t="s">
        <v>1522</v>
      </c>
      <c r="F218" s="1">
        <v>46076.457337962966</v>
      </c>
      <c r="G218" t="s">
        <v>101</v>
      </c>
      <c r="H218" t="s">
        <v>776</v>
      </c>
      <c r="I218" t="s">
        <v>3667</v>
      </c>
      <c r="J218" t="s">
        <v>44</v>
      </c>
      <c r="K218" t="s">
        <v>733</v>
      </c>
      <c r="L218" t="s">
        <v>46</v>
      </c>
      <c r="M218" t="s">
        <v>379</v>
      </c>
      <c r="N218" t="s">
        <v>379</v>
      </c>
      <c r="O218" t="s">
        <v>30</v>
      </c>
      <c r="P218" s="1">
        <v>46076.461944444447</v>
      </c>
      <c r="Q218" s="1">
        <v>46076.461886574078</v>
      </c>
      <c r="R218" t="s">
        <v>38</v>
      </c>
      <c r="S218" t="s">
        <v>1522</v>
      </c>
      <c r="T218" t="s">
        <v>31</v>
      </c>
      <c r="U218" t="s">
        <v>726</v>
      </c>
      <c r="V218" t="s">
        <v>46</v>
      </c>
      <c r="W218" t="s">
        <v>379</v>
      </c>
      <c r="X218" t="s">
        <v>379</v>
      </c>
      <c r="Y218">
        <v>3190</v>
      </c>
      <c r="Z218" t="s">
        <v>3530</v>
      </c>
      <c r="AA218" t="s">
        <v>3526</v>
      </c>
      <c r="AB218" t="s">
        <v>32</v>
      </c>
      <c r="AC218" t="s">
        <v>1467</v>
      </c>
      <c r="AD218" t="s">
        <v>1468</v>
      </c>
      <c r="AE218" t="s">
        <v>33</v>
      </c>
    </row>
    <row r="219" spans="1:31" hidden="1">
      <c r="A219" t="s">
        <v>1523</v>
      </c>
      <c r="B219" t="s">
        <v>34</v>
      </c>
      <c r="C219" t="s">
        <v>1524</v>
      </c>
      <c r="D219" t="s">
        <v>1525</v>
      </c>
      <c r="E219" t="s">
        <v>119</v>
      </c>
      <c r="F219" s="1">
        <v>46076.448900462965</v>
      </c>
      <c r="G219" t="s">
        <v>74</v>
      </c>
      <c r="H219" t="s">
        <v>776</v>
      </c>
      <c r="I219" t="s">
        <v>3665</v>
      </c>
      <c r="J219" t="s">
        <v>134</v>
      </c>
      <c r="K219" t="s">
        <v>494</v>
      </c>
      <c r="L219" t="s">
        <v>162</v>
      </c>
      <c r="M219" t="s">
        <v>163</v>
      </c>
      <c r="N219" t="s">
        <v>164</v>
      </c>
      <c r="O219" t="s">
        <v>37</v>
      </c>
      <c r="P219" s="1">
        <v>46079.4215625</v>
      </c>
      <c r="Q219" s="1">
        <v>46079.421516203707</v>
      </c>
      <c r="R219" t="s">
        <v>38</v>
      </c>
      <c r="S219" t="e">
        <f>- VPN has been successfully configured and tested.</f>
        <v>#NAME?</v>
      </c>
      <c r="T219" t="s">
        <v>180</v>
      </c>
      <c r="U219" t="s">
        <v>104</v>
      </c>
      <c r="V219" t="s">
        <v>46</v>
      </c>
      <c r="W219" t="s">
        <v>188</v>
      </c>
      <c r="X219" t="s">
        <v>431</v>
      </c>
      <c r="Y219">
        <v>12881</v>
      </c>
      <c r="Z219" t="s">
        <v>3536</v>
      </c>
      <c r="AA219" t="s">
        <v>3526</v>
      </c>
      <c r="AB219" t="s">
        <v>32</v>
      </c>
      <c r="AC219" t="s">
        <v>1526</v>
      </c>
      <c r="AD219" t="s">
        <v>1527</v>
      </c>
      <c r="AE219" t="s">
        <v>33</v>
      </c>
    </row>
    <row r="220" spans="1:31">
      <c r="A220" t="s">
        <v>1528</v>
      </c>
      <c r="B220" t="s">
        <v>34</v>
      </c>
      <c r="C220" t="s">
        <v>801</v>
      </c>
      <c r="D220" t="s">
        <v>99</v>
      </c>
      <c r="E220" t="s">
        <v>1529</v>
      </c>
      <c r="F220" s="1">
        <v>46076.451111111113</v>
      </c>
      <c r="G220" t="s">
        <v>143</v>
      </c>
      <c r="H220" t="s">
        <v>776</v>
      </c>
      <c r="I220" t="s">
        <v>3670</v>
      </c>
      <c r="J220" t="s">
        <v>44</v>
      </c>
      <c r="K220" t="s">
        <v>253</v>
      </c>
      <c r="L220" t="s">
        <v>46</v>
      </c>
      <c r="M220" t="s">
        <v>110</v>
      </c>
      <c r="N220" t="s">
        <v>645</v>
      </c>
      <c r="O220" t="s">
        <v>30</v>
      </c>
      <c r="P220" s="1">
        <v>46076.505254629628</v>
      </c>
      <c r="Q220" s="1">
        <v>46076.505231481482</v>
      </c>
      <c r="R220" t="s">
        <v>38</v>
      </c>
      <c r="S220" t="s">
        <v>3238</v>
      </c>
      <c r="T220" t="s">
        <v>31</v>
      </c>
      <c r="U220" t="s">
        <v>227</v>
      </c>
      <c r="V220" t="s">
        <v>46</v>
      </c>
      <c r="W220" t="s">
        <v>110</v>
      </c>
      <c r="X220" t="s">
        <v>3110</v>
      </c>
      <c r="Y220">
        <v>15313</v>
      </c>
      <c r="Z220" t="s">
        <v>3525</v>
      </c>
      <c r="AA220" t="s">
        <v>3526</v>
      </c>
      <c r="AB220" t="s">
        <v>32</v>
      </c>
      <c r="AC220" t="s">
        <v>802</v>
      </c>
      <c r="AD220" t="s">
        <v>803</v>
      </c>
      <c r="AE220" t="s">
        <v>33</v>
      </c>
    </row>
    <row r="221" spans="1:31">
      <c r="A221" t="s">
        <v>1530</v>
      </c>
      <c r="B221" t="s">
        <v>34</v>
      </c>
      <c r="C221" t="s">
        <v>1531</v>
      </c>
      <c r="D221" t="s">
        <v>1532</v>
      </c>
      <c r="E221" t="s">
        <v>535</v>
      </c>
      <c r="F221" s="1">
        <v>46076.446134259262</v>
      </c>
      <c r="G221" t="s">
        <v>470</v>
      </c>
      <c r="H221" t="s">
        <v>776</v>
      </c>
      <c r="I221" t="s">
        <v>3671</v>
      </c>
      <c r="J221" t="s">
        <v>44</v>
      </c>
      <c r="K221" t="s">
        <v>411</v>
      </c>
      <c r="L221" t="s">
        <v>46</v>
      </c>
      <c r="M221" t="s">
        <v>188</v>
      </c>
      <c r="N221" t="s">
        <v>431</v>
      </c>
      <c r="O221" t="s">
        <v>30</v>
      </c>
      <c r="P221" s="1">
        <v>46076.450243055559</v>
      </c>
      <c r="Q221" s="1">
        <v>46076.446736111109</v>
      </c>
      <c r="R221" t="s">
        <v>38</v>
      </c>
      <c r="S221" t="s">
        <v>3239</v>
      </c>
      <c r="T221" t="s">
        <v>31</v>
      </c>
      <c r="U221" t="s">
        <v>413</v>
      </c>
      <c r="V221" t="s">
        <v>46</v>
      </c>
      <c r="W221" t="s">
        <v>188</v>
      </c>
      <c r="X221" t="s">
        <v>431</v>
      </c>
      <c r="Y221">
        <v>3819</v>
      </c>
      <c r="Z221" t="s">
        <v>3530</v>
      </c>
      <c r="AA221" t="s">
        <v>3526</v>
      </c>
      <c r="AB221" t="s">
        <v>32</v>
      </c>
      <c r="AC221" t="s">
        <v>1533</v>
      </c>
      <c r="AD221" t="s">
        <v>1534</v>
      </c>
      <c r="AE221" t="s">
        <v>33</v>
      </c>
    </row>
    <row r="222" spans="1:31">
      <c r="A222" t="s">
        <v>1535</v>
      </c>
      <c r="B222" t="s">
        <v>34</v>
      </c>
      <c r="C222" t="s">
        <v>194</v>
      </c>
      <c r="D222" t="s">
        <v>221</v>
      </c>
      <c r="E222" t="s">
        <v>608</v>
      </c>
      <c r="F222" s="1">
        <v>46076.44295138889</v>
      </c>
      <c r="G222" t="s">
        <v>222</v>
      </c>
      <c r="H222" t="s">
        <v>776</v>
      </c>
      <c r="I222" t="s">
        <v>3666</v>
      </c>
      <c r="J222" t="s">
        <v>44</v>
      </c>
      <c r="K222" t="s">
        <v>205</v>
      </c>
      <c r="L222" t="s">
        <v>46</v>
      </c>
      <c r="M222" t="s">
        <v>379</v>
      </c>
      <c r="N222" t="s">
        <v>379</v>
      </c>
      <c r="O222" t="s">
        <v>30</v>
      </c>
      <c r="P222" s="1">
        <v>46076.443518518521</v>
      </c>
      <c r="Q222" s="1">
        <v>46076.443495370368</v>
      </c>
      <c r="R222" t="s">
        <v>38</v>
      </c>
      <c r="S222" t="s">
        <v>3134</v>
      </c>
      <c r="T222" t="s">
        <v>31</v>
      </c>
      <c r="U222" t="s">
        <v>206</v>
      </c>
      <c r="V222" t="s">
        <v>46</v>
      </c>
      <c r="W222" t="s">
        <v>379</v>
      </c>
      <c r="X222" t="s">
        <v>379</v>
      </c>
      <c r="Y222">
        <v>15924</v>
      </c>
      <c r="Z222" t="s">
        <v>3530</v>
      </c>
      <c r="AA222" t="s">
        <v>3526</v>
      </c>
      <c r="AB222" t="s">
        <v>32</v>
      </c>
      <c r="AC222" t="s">
        <v>1536</v>
      </c>
      <c r="AD222" t="s">
        <v>1537</v>
      </c>
      <c r="AE222" t="s">
        <v>33</v>
      </c>
    </row>
    <row r="223" spans="1:31">
      <c r="A223" t="s">
        <v>1543</v>
      </c>
      <c r="B223" t="s">
        <v>34</v>
      </c>
      <c r="C223" t="s">
        <v>632</v>
      </c>
      <c r="D223" t="s">
        <v>1544</v>
      </c>
      <c r="E223" t="s">
        <v>1545</v>
      </c>
      <c r="F223" s="1">
        <v>46076.427719907406</v>
      </c>
      <c r="G223" t="s">
        <v>39</v>
      </c>
      <c r="H223" t="s">
        <v>776</v>
      </c>
      <c r="I223" t="s">
        <v>3667</v>
      </c>
      <c r="J223" t="s">
        <v>44</v>
      </c>
      <c r="K223" t="s">
        <v>733</v>
      </c>
      <c r="L223" t="s">
        <v>46</v>
      </c>
      <c r="M223" t="s">
        <v>379</v>
      </c>
      <c r="N223" t="s">
        <v>379</v>
      </c>
      <c r="O223" t="s">
        <v>30</v>
      </c>
      <c r="P223" s="1">
        <v>46076.429548611108</v>
      </c>
      <c r="Q223" s="1">
        <v>46076.428043981483</v>
      </c>
      <c r="R223" t="s">
        <v>38</v>
      </c>
      <c r="S223" t="s">
        <v>3240</v>
      </c>
      <c r="T223" t="s">
        <v>31</v>
      </c>
      <c r="U223" t="s">
        <v>726</v>
      </c>
      <c r="V223" t="s">
        <v>46</v>
      </c>
      <c r="W223" t="s">
        <v>379</v>
      </c>
      <c r="X223" t="s">
        <v>379</v>
      </c>
      <c r="Y223">
        <v>15261</v>
      </c>
      <c r="Z223" t="s">
        <v>3530</v>
      </c>
      <c r="AA223" t="s">
        <v>3526</v>
      </c>
      <c r="AB223" t="s">
        <v>32</v>
      </c>
      <c r="AC223" t="s">
        <v>1546</v>
      </c>
      <c r="AD223" t="s">
        <v>1547</v>
      </c>
      <c r="AE223" t="s">
        <v>33</v>
      </c>
    </row>
    <row r="224" spans="1:31" hidden="1">
      <c r="A224" t="s">
        <v>1548</v>
      </c>
      <c r="B224" t="s">
        <v>34</v>
      </c>
      <c r="C224" t="s">
        <v>1549</v>
      </c>
      <c r="D224" t="s">
        <v>1550</v>
      </c>
      <c r="E224" t="s">
        <v>1551</v>
      </c>
      <c r="F224" s="1">
        <v>46076.426701388889</v>
      </c>
      <c r="G224" t="s">
        <v>67</v>
      </c>
      <c r="H224" t="s">
        <v>776</v>
      </c>
      <c r="I224" t="s">
        <v>3671</v>
      </c>
      <c r="J224" t="s">
        <v>134</v>
      </c>
      <c r="K224" t="s">
        <v>477</v>
      </c>
      <c r="L224" t="s">
        <v>162</v>
      </c>
      <c r="M224" t="s">
        <v>163</v>
      </c>
      <c r="N224" t="s">
        <v>164</v>
      </c>
      <c r="O224" t="s">
        <v>30</v>
      </c>
      <c r="P224" s="1">
        <v>46079.380659722221</v>
      </c>
      <c r="R224" t="s">
        <v>90</v>
      </c>
      <c r="T224" t="s">
        <v>31</v>
      </c>
      <c r="U224" t="s">
        <v>104</v>
      </c>
      <c r="Y224">
        <v>9163</v>
      </c>
      <c r="Z224" t="s">
        <v>3536</v>
      </c>
      <c r="AA224" t="s">
        <v>3535</v>
      </c>
      <c r="AB224" t="s">
        <v>32</v>
      </c>
      <c r="AC224" t="s">
        <v>1552</v>
      </c>
      <c r="AD224" t="s">
        <v>1553</v>
      </c>
      <c r="AE224" t="s">
        <v>33</v>
      </c>
    </row>
    <row r="225" spans="1:31" hidden="1">
      <c r="A225" t="s">
        <v>1554</v>
      </c>
      <c r="B225" t="s">
        <v>34</v>
      </c>
      <c r="C225" t="s">
        <v>1555</v>
      </c>
      <c r="D225" t="s">
        <v>1556</v>
      </c>
      <c r="E225" t="s">
        <v>1557</v>
      </c>
      <c r="F225" s="1">
        <v>46076.424872685187</v>
      </c>
      <c r="G225" t="s">
        <v>77</v>
      </c>
      <c r="H225" t="s">
        <v>776</v>
      </c>
      <c r="I225" t="s">
        <v>3669</v>
      </c>
      <c r="J225" t="s">
        <v>134</v>
      </c>
      <c r="K225" t="s">
        <v>1219</v>
      </c>
      <c r="L225" t="s">
        <v>162</v>
      </c>
      <c r="M225" t="s">
        <v>163</v>
      </c>
      <c r="N225" t="s">
        <v>164</v>
      </c>
      <c r="O225" t="s">
        <v>30</v>
      </c>
      <c r="P225" s="1">
        <v>46079.287326388891</v>
      </c>
      <c r="R225" t="s">
        <v>90</v>
      </c>
      <c r="T225" t="s">
        <v>31</v>
      </c>
      <c r="U225" t="s">
        <v>104</v>
      </c>
      <c r="Y225">
        <v>14711</v>
      </c>
      <c r="Z225" t="s">
        <v>3536</v>
      </c>
      <c r="AA225" t="s">
        <v>3539</v>
      </c>
      <c r="AB225" t="s">
        <v>32</v>
      </c>
      <c r="AC225" t="s">
        <v>1558</v>
      </c>
      <c r="AD225" t="s">
        <v>1559</v>
      </c>
      <c r="AE225" t="s">
        <v>33</v>
      </c>
    </row>
    <row r="226" spans="1:31" hidden="1">
      <c r="A226" t="s">
        <v>1560</v>
      </c>
      <c r="B226" t="s">
        <v>24</v>
      </c>
      <c r="C226" t="s">
        <v>66</v>
      </c>
      <c r="D226" t="s">
        <v>1561</v>
      </c>
      <c r="E226" t="s">
        <v>725</v>
      </c>
      <c r="F226" s="1">
        <v>46076.425243055557</v>
      </c>
      <c r="G226" t="s">
        <v>114</v>
      </c>
      <c r="H226" t="s">
        <v>776</v>
      </c>
      <c r="I226" t="s">
        <v>3669</v>
      </c>
      <c r="J226" t="s">
        <v>44</v>
      </c>
      <c r="K226" t="s">
        <v>253</v>
      </c>
      <c r="L226" t="s">
        <v>46</v>
      </c>
      <c r="M226" t="s">
        <v>582</v>
      </c>
      <c r="N226" t="s">
        <v>1562</v>
      </c>
      <c r="O226" t="s">
        <v>284</v>
      </c>
      <c r="P226" s="1">
        <v>46079.287326388891</v>
      </c>
      <c r="R226" t="s">
        <v>90</v>
      </c>
      <c r="T226" t="s">
        <v>31</v>
      </c>
      <c r="U226" t="s">
        <v>367</v>
      </c>
      <c r="V226" t="s">
        <v>46</v>
      </c>
      <c r="W226" t="s">
        <v>197</v>
      </c>
      <c r="X226" t="s">
        <v>725</v>
      </c>
      <c r="Y226">
        <v>4394</v>
      </c>
      <c r="Z226" t="s">
        <v>3530</v>
      </c>
      <c r="AA226" t="s">
        <v>3539</v>
      </c>
      <c r="AB226" t="s">
        <v>32</v>
      </c>
      <c r="AC226" t="s">
        <v>1563</v>
      </c>
      <c r="AD226" t="s">
        <v>1564</v>
      </c>
      <c r="AE226" t="s">
        <v>33</v>
      </c>
    </row>
    <row r="227" spans="1:31">
      <c r="A227" t="s">
        <v>1565</v>
      </c>
      <c r="B227" t="s">
        <v>34</v>
      </c>
      <c r="C227" t="s">
        <v>825</v>
      </c>
      <c r="D227" t="s">
        <v>1538</v>
      </c>
      <c r="E227" t="s">
        <v>1566</v>
      </c>
      <c r="F227" s="1">
        <v>46076.421435185184</v>
      </c>
      <c r="G227" t="s">
        <v>804</v>
      </c>
      <c r="H227" t="s">
        <v>776</v>
      </c>
      <c r="I227" t="s">
        <v>3669</v>
      </c>
      <c r="J227" t="s">
        <v>44</v>
      </c>
      <c r="K227" t="s">
        <v>253</v>
      </c>
      <c r="L227" t="s">
        <v>27</v>
      </c>
      <c r="M227" t="s">
        <v>28</v>
      </c>
      <c r="N227" t="s">
        <v>839</v>
      </c>
      <c r="O227" t="s">
        <v>30</v>
      </c>
      <c r="P227" s="1">
        <v>46076.48510416667</v>
      </c>
      <c r="Q227" s="1">
        <v>46076.48505787037</v>
      </c>
      <c r="R227" t="s">
        <v>38</v>
      </c>
      <c r="S227" t="s">
        <v>3241</v>
      </c>
      <c r="T227" t="s">
        <v>31</v>
      </c>
      <c r="U227" t="s">
        <v>367</v>
      </c>
      <c r="V227" t="s">
        <v>27</v>
      </c>
      <c r="W227" t="s">
        <v>28</v>
      </c>
      <c r="X227" t="s">
        <v>839</v>
      </c>
      <c r="Y227">
        <v>2501</v>
      </c>
      <c r="Z227" t="s">
        <v>3530</v>
      </c>
      <c r="AA227" t="s">
        <v>3526</v>
      </c>
      <c r="AB227" t="s">
        <v>32</v>
      </c>
      <c r="AC227" t="s">
        <v>1539</v>
      </c>
      <c r="AD227" t="s">
        <v>1540</v>
      </c>
      <c r="AE227" t="s">
        <v>33</v>
      </c>
    </row>
    <row r="228" spans="1:31" hidden="1">
      <c r="A228" t="s">
        <v>1567</v>
      </c>
      <c r="B228" t="s">
        <v>34</v>
      </c>
      <c r="C228" t="s">
        <v>824</v>
      </c>
      <c r="D228" t="s">
        <v>441</v>
      </c>
      <c r="E228" t="s">
        <v>679</v>
      </c>
      <c r="F228" s="1">
        <v>46076.420138888891</v>
      </c>
      <c r="G228" t="s">
        <v>242</v>
      </c>
      <c r="H228" t="s">
        <v>776</v>
      </c>
      <c r="I228" t="s">
        <v>3671</v>
      </c>
      <c r="J228" t="s">
        <v>44</v>
      </c>
      <c r="K228" t="s">
        <v>473</v>
      </c>
      <c r="L228" t="s">
        <v>162</v>
      </c>
      <c r="M228" t="s">
        <v>163</v>
      </c>
      <c r="N228" t="s">
        <v>164</v>
      </c>
      <c r="O228" t="s">
        <v>30</v>
      </c>
      <c r="P228" s="1">
        <v>46079.412754629629</v>
      </c>
      <c r="R228" t="s">
        <v>90</v>
      </c>
      <c r="T228" t="s">
        <v>31</v>
      </c>
      <c r="U228" t="s">
        <v>104</v>
      </c>
      <c r="Y228">
        <v>12683</v>
      </c>
      <c r="Z228" t="s">
        <v>3536</v>
      </c>
      <c r="AA228" t="s">
        <v>3541</v>
      </c>
      <c r="AB228" t="s">
        <v>32</v>
      </c>
      <c r="AC228" t="s">
        <v>1568</v>
      </c>
      <c r="AD228" t="s">
        <v>1569</v>
      </c>
      <c r="AE228" t="s">
        <v>33</v>
      </c>
    </row>
    <row r="229" spans="1:31">
      <c r="A229" t="s">
        <v>1570</v>
      </c>
      <c r="B229" t="s">
        <v>34</v>
      </c>
      <c r="C229" t="s">
        <v>1571</v>
      </c>
      <c r="D229" t="s">
        <v>1572</v>
      </c>
      <c r="E229" t="s">
        <v>1573</v>
      </c>
      <c r="F229" s="1">
        <v>46076.419953703706</v>
      </c>
      <c r="G229" t="s">
        <v>77</v>
      </c>
      <c r="H229" t="s">
        <v>776</v>
      </c>
      <c r="I229" t="s">
        <v>3669</v>
      </c>
      <c r="J229" t="s">
        <v>44</v>
      </c>
      <c r="K229" t="s">
        <v>253</v>
      </c>
      <c r="L229" t="s">
        <v>27</v>
      </c>
      <c r="M229" t="s">
        <v>28</v>
      </c>
      <c r="N229" t="s">
        <v>839</v>
      </c>
      <c r="O229" t="s">
        <v>30</v>
      </c>
      <c r="P229" s="1">
        <v>46077.392372685186</v>
      </c>
      <c r="Q229" s="1">
        <v>46077.392268518517</v>
      </c>
      <c r="R229" t="s">
        <v>38</v>
      </c>
      <c r="S229" t="s">
        <v>3223</v>
      </c>
      <c r="T229" t="s">
        <v>31</v>
      </c>
      <c r="U229" t="s">
        <v>367</v>
      </c>
      <c r="V229" t="s">
        <v>27</v>
      </c>
      <c r="W229" t="s">
        <v>28</v>
      </c>
      <c r="X229" t="s">
        <v>839</v>
      </c>
      <c r="Y229">
        <v>14687</v>
      </c>
      <c r="Z229" t="s">
        <v>3530</v>
      </c>
      <c r="AA229" t="s">
        <v>3526</v>
      </c>
      <c r="AB229" t="s">
        <v>32</v>
      </c>
      <c r="AC229" t="s">
        <v>1574</v>
      </c>
      <c r="AD229" t="s">
        <v>1575</v>
      </c>
      <c r="AE229" t="s">
        <v>33</v>
      </c>
    </row>
    <row r="230" spans="1:31">
      <c r="A230" t="s">
        <v>1576</v>
      </c>
      <c r="B230" t="s">
        <v>34</v>
      </c>
      <c r="C230" t="s">
        <v>936</v>
      </c>
      <c r="D230" t="s">
        <v>142</v>
      </c>
      <c r="E230" t="s">
        <v>590</v>
      </c>
      <c r="F230" s="1">
        <v>46076.418229166666</v>
      </c>
      <c r="G230" t="s">
        <v>262</v>
      </c>
      <c r="H230" t="s">
        <v>776</v>
      </c>
      <c r="I230" t="s">
        <v>3666</v>
      </c>
      <c r="J230" t="s">
        <v>44</v>
      </c>
      <c r="K230" t="s">
        <v>205</v>
      </c>
      <c r="L230" t="s">
        <v>46</v>
      </c>
      <c r="M230" t="s">
        <v>379</v>
      </c>
      <c r="N230" t="s">
        <v>379</v>
      </c>
      <c r="O230" t="s">
        <v>30</v>
      </c>
      <c r="P230" s="1">
        <v>46076.472349537034</v>
      </c>
      <c r="Q230" s="1">
        <v>46076.423680555556</v>
      </c>
      <c r="R230" t="s">
        <v>38</v>
      </c>
      <c r="S230" t="s">
        <v>3132</v>
      </c>
      <c r="T230" t="s">
        <v>31</v>
      </c>
      <c r="U230" t="s">
        <v>206</v>
      </c>
      <c r="V230" t="s">
        <v>46</v>
      </c>
      <c r="W230" t="s">
        <v>379</v>
      </c>
      <c r="X230" t="s">
        <v>379</v>
      </c>
      <c r="Y230">
        <v>13125</v>
      </c>
      <c r="Z230" t="s">
        <v>3530</v>
      </c>
      <c r="AA230" t="s">
        <v>3526</v>
      </c>
      <c r="AB230" t="s">
        <v>32</v>
      </c>
      <c r="AC230" t="s">
        <v>1577</v>
      </c>
      <c r="AD230" t="s">
        <v>1578</v>
      </c>
      <c r="AE230" t="s">
        <v>33</v>
      </c>
    </row>
    <row r="231" spans="1:31" hidden="1">
      <c r="A231" t="s">
        <v>1579</v>
      </c>
      <c r="B231" t="s">
        <v>34</v>
      </c>
      <c r="C231" t="s">
        <v>68</v>
      </c>
      <c r="D231" t="s">
        <v>69</v>
      </c>
      <c r="E231" t="s">
        <v>95</v>
      </c>
      <c r="F231" s="1">
        <v>46076.414467592593</v>
      </c>
      <c r="G231" t="s">
        <v>67</v>
      </c>
      <c r="H231" t="s">
        <v>776</v>
      </c>
      <c r="I231" t="s">
        <v>3671</v>
      </c>
      <c r="J231" t="s">
        <v>134</v>
      </c>
      <c r="K231" t="s">
        <v>477</v>
      </c>
      <c r="L231" t="s">
        <v>162</v>
      </c>
      <c r="M231" t="s">
        <v>163</v>
      </c>
      <c r="N231" t="s">
        <v>164</v>
      </c>
      <c r="O231" t="s">
        <v>30</v>
      </c>
      <c r="P231" s="1">
        <v>46076.422314814816</v>
      </c>
      <c r="Q231" s="1">
        <v>46076.422291666669</v>
      </c>
      <c r="R231" t="s">
        <v>38</v>
      </c>
      <c r="S231" t="s">
        <v>3242</v>
      </c>
      <c r="T231" t="s">
        <v>31</v>
      </c>
      <c r="U231" t="s">
        <v>104</v>
      </c>
      <c r="V231" t="s">
        <v>46</v>
      </c>
      <c r="W231" t="s">
        <v>659</v>
      </c>
      <c r="X231" t="s">
        <v>3243</v>
      </c>
      <c r="Y231">
        <v>5632</v>
      </c>
      <c r="Z231" t="s">
        <v>3536</v>
      </c>
      <c r="AA231" t="s">
        <v>3534</v>
      </c>
      <c r="AB231" t="s">
        <v>32</v>
      </c>
      <c r="AC231" t="s">
        <v>70</v>
      </c>
      <c r="AD231" t="s">
        <v>71</v>
      </c>
      <c r="AE231" t="s">
        <v>33</v>
      </c>
    </row>
    <row r="232" spans="1:31" hidden="1">
      <c r="A232" t="s">
        <v>1583</v>
      </c>
      <c r="B232" t="s">
        <v>34</v>
      </c>
      <c r="C232" t="s">
        <v>79</v>
      </c>
      <c r="D232" t="s">
        <v>1584</v>
      </c>
      <c r="E232" t="s">
        <v>679</v>
      </c>
      <c r="F232" s="1">
        <v>46076.409722222219</v>
      </c>
      <c r="G232" t="s">
        <v>242</v>
      </c>
      <c r="H232" t="s">
        <v>776</v>
      </c>
      <c r="I232" t="s">
        <v>3671</v>
      </c>
      <c r="J232" t="s">
        <v>44</v>
      </c>
      <c r="K232" t="s">
        <v>473</v>
      </c>
      <c r="L232" t="s">
        <v>162</v>
      </c>
      <c r="M232" t="s">
        <v>163</v>
      </c>
      <c r="N232" t="s">
        <v>164</v>
      </c>
      <c r="O232" t="s">
        <v>30</v>
      </c>
      <c r="P232" s="1">
        <v>46079.411817129629</v>
      </c>
      <c r="R232" t="s">
        <v>90</v>
      </c>
      <c r="T232" t="s">
        <v>31</v>
      </c>
      <c r="U232" t="s">
        <v>104</v>
      </c>
      <c r="Y232">
        <v>12709</v>
      </c>
      <c r="Z232" t="s">
        <v>3536</v>
      </c>
      <c r="AA232" t="s">
        <v>3541</v>
      </c>
      <c r="AB232" t="s">
        <v>32</v>
      </c>
      <c r="AC232" t="s">
        <v>1585</v>
      </c>
      <c r="AD232" t="s">
        <v>1586</v>
      </c>
      <c r="AE232" t="s">
        <v>33</v>
      </c>
    </row>
    <row r="233" spans="1:31" hidden="1">
      <c r="A233" t="s">
        <v>1587</v>
      </c>
      <c r="B233" t="s">
        <v>34</v>
      </c>
      <c r="C233" t="s">
        <v>691</v>
      </c>
      <c r="D233" t="s">
        <v>598</v>
      </c>
      <c r="E233" t="s">
        <v>679</v>
      </c>
      <c r="F233" s="1">
        <v>46076.408784722225</v>
      </c>
      <c r="G233" t="s">
        <v>242</v>
      </c>
      <c r="H233" t="s">
        <v>776</v>
      </c>
      <c r="I233" t="s">
        <v>3671</v>
      </c>
      <c r="J233" t="s">
        <v>44</v>
      </c>
      <c r="K233" t="s">
        <v>473</v>
      </c>
      <c r="L233" t="s">
        <v>162</v>
      </c>
      <c r="M233" t="s">
        <v>163</v>
      </c>
      <c r="N233" t="s">
        <v>164</v>
      </c>
      <c r="O233" t="s">
        <v>30</v>
      </c>
      <c r="P233" s="1">
        <v>46079.410925925928</v>
      </c>
      <c r="R233" t="s">
        <v>90</v>
      </c>
      <c r="T233" t="s">
        <v>31</v>
      </c>
      <c r="U233" t="s">
        <v>104</v>
      </c>
      <c r="Y233">
        <v>12663</v>
      </c>
      <c r="Z233" t="s">
        <v>3536</v>
      </c>
      <c r="AA233" t="s">
        <v>3541</v>
      </c>
      <c r="AB233" t="s">
        <v>32</v>
      </c>
      <c r="AC233" t="s">
        <v>1588</v>
      </c>
      <c r="AD233" t="s">
        <v>1589</v>
      </c>
      <c r="AE233" t="s">
        <v>33</v>
      </c>
    </row>
    <row r="234" spans="1:31">
      <c r="A234" t="s">
        <v>1590</v>
      </c>
      <c r="B234" t="s">
        <v>24</v>
      </c>
      <c r="C234" t="s">
        <v>382</v>
      </c>
      <c r="D234" t="s">
        <v>1591</v>
      </c>
      <c r="E234" t="s">
        <v>1592</v>
      </c>
      <c r="F234" s="1">
        <v>46076.409560185188</v>
      </c>
      <c r="G234" t="s">
        <v>117</v>
      </c>
      <c r="H234" t="s">
        <v>776</v>
      </c>
      <c r="I234" t="s">
        <v>3668</v>
      </c>
      <c r="J234" t="s">
        <v>44</v>
      </c>
      <c r="K234" t="s">
        <v>253</v>
      </c>
      <c r="L234" t="s">
        <v>46</v>
      </c>
      <c r="M234" t="s">
        <v>348</v>
      </c>
      <c r="N234" t="s">
        <v>349</v>
      </c>
      <c r="O234" t="s">
        <v>86</v>
      </c>
      <c r="P234" s="1">
        <v>46077.587905092594</v>
      </c>
      <c r="Q234" s="1">
        <v>46077.587858796294</v>
      </c>
      <c r="R234" t="s">
        <v>38</v>
      </c>
      <c r="S234" t="s">
        <v>3244</v>
      </c>
      <c r="T234" t="s">
        <v>31</v>
      </c>
      <c r="U234" t="s">
        <v>243</v>
      </c>
      <c r="V234" t="s">
        <v>46</v>
      </c>
      <c r="W234" t="s">
        <v>313</v>
      </c>
      <c r="X234" t="s">
        <v>314</v>
      </c>
      <c r="Y234">
        <v>14636</v>
      </c>
      <c r="Z234" t="s">
        <v>3525</v>
      </c>
      <c r="AA234" t="s">
        <v>3526</v>
      </c>
      <c r="AB234" t="s">
        <v>32</v>
      </c>
      <c r="AC234" t="s">
        <v>1593</v>
      </c>
      <c r="AD234" t="s">
        <v>1594</v>
      </c>
      <c r="AE234" t="s">
        <v>33</v>
      </c>
    </row>
    <row r="235" spans="1:31">
      <c r="A235" t="s">
        <v>1599</v>
      </c>
      <c r="B235" t="s">
        <v>34</v>
      </c>
      <c r="C235" t="s">
        <v>1524</v>
      </c>
      <c r="D235" t="s">
        <v>1525</v>
      </c>
      <c r="E235" t="s">
        <v>109</v>
      </c>
      <c r="F235" s="1">
        <v>46076.408229166664</v>
      </c>
      <c r="G235" t="s">
        <v>74</v>
      </c>
      <c r="H235" t="s">
        <v>776</v>
      </c>
      <c r="I235" t="s">
        <v>3665</v>
      </c>
      <c r="J235" t="s">
        <v>44</v>
      </c>
      <c r="K235" t="s">
        <v>179</v>
      </c>
      <c r="L235" t="s">
        <v>46</v>
      </c>
      <c r="M235" t="s">
        <v>110</v>
      </c>
      <c r="N235" t="s">
        <v>111</v>
      </c>
      <c r="O235" t="s">
        <v>30</v>
      </c>
      <c r="P235" s="1">
        <v>46076.409803240742</v>
      </c>
      <c r="Q235" s="1">
        <v>46076.409745370373</v>
      </c>
      <c r="R235" t="s">
        <v>38</v>
      </c>
      <c r="S235" t="s">
        <v>3245</v>
      </c>
      <c r="T235" t="s">
        <v>180</v>
      </c>
      <c r="U235" t="s">
        <v>350</v>
      </c>
      <c r="V235" t="s">
        <v>46</v>
      </c>
      <c r="W235" t="s">
        <v>110</v>
      </c>
      <c r="X235" t="s">
        <v>111</v>
      </c>
      <c r="Y235">
        <v>12881</v>
      </c>
      <c r="Z235" t="s">
        <v>3530</v>
      </c>
      <c r="AA235" t="s">
        <v>3526</v>
      </c>
      <c r="AB235" t="s">
        <v>32</v>
      </c>
      <c r="AC235" t="s">
        <v>1526</v>
      </c>
      <c r="AD235" t="s">
        <v>1527</v>
      </c>
      <c r="AE235" t="s">
        <v>33</v>
      </c>
    </row>
    <row r="236" spans="1:31">
      <c r="A236" t="s">
        <v>1600</v>
      </c>
      <c r="B236" t="s">
        <v>34</v>
      </c>
      <c r="C236" t="s">
        <v>1601</v>
      </c>
      <c r="D236" t="s">
        <v>1602</v>
      </c>
      <c r="E236" t="s">
        <v>590</v>
      </c>
      <c r="F236" s="1">
        <v>46076.401539351849</v>
      </c>
      <c r="G236" t="s">
        <v>67</v>
      </c>
      <c r="H236" t="s">
        <v>776</v>
      </c>
      <c r="I236" t="s">
        <v>3671</v>
      </c>
      <c r="J236" t="s">
        <v>44</v>
      </c>
      <c r="K236" t="s">
        <v>205</v>
      </c>
      <c r="L236" t="s">
        <v>46</v>
      </c>
      <c r="M236" t="s">
        <v>379</v>
      </c>
      <c r="N236" t="s">
        <v>379</v>
      </c>
      <c r="O236" t="s">
        <v>30</v>
      </c>
      <c r="P236" s="1">
        <v>46076.402731481481</v>
      </c>
      <c r="Q236" s="1">
        <v>46076.402719907404</v>
      </c>
      <c r="R236" t="s">
        <v>38</v>
      </c>
      <c r="S236" t="s">
        <v>3132</v>
      </c>
      <c r="T236" t="s">
        <v>31</v>
      </c>
      <c r="U236" t="s">
        <v>206</v>
      </c>
      <c r="V236" t="s">
        <v>46</v>
      </c>
      <c r="W236" t="s">
        <v>379</v>
      </c>
      <c r="X236" t="s">
        <v>379</v>
      </c>
      <c r="Y236">
        <v>3766</v>
      </c>
      <c r="Z236" t="s">
        <v>3530</v>
      </c>
      <c r="AA236" t="s">
        <v>3526</v>
      </c>
      <c r="AB236" t="s">
        <v>181</v>
      </c>
      <c r="AC236" t="s">
        <v>1603</v>
      </c>
      <c r="AD236" t="s">
        <v>1604</v>
      </c>
      <c r="AE236" t="s">
        <v>33</v>
      </c>
    </row>
    <row r="237" spans="1:31">
      <c r="A237" t="s">
        <v>1605</v>
      </c>
      <c r="B237" t="s">
        <v>34</v>
      </c>
      <c r="C237" t="s">
        <v>1606</v>
      </c>
      <c r="D237" t="s">
        <v>1607</v>
      </c>
      <c r="E237" t="s">
        <v>1608</v>
      </c>
      <c r="F237" s="1">
        <v>46076.401134259257</v>
      </c>
      <c r="G237" t="s">
        <v>26</v>
      </c>
      <c r="H237" t="s">
        <v>776</v>
      </c>
      <c r="I237" t="s">
        <v>3665</v>
      </c>
      <c r="J237" t="s">
        <v>44</v>
      </c>
      <c r="K237" t="s">
        <v>733</v>
      </c>
      <c r="L237" t="s">
        <v>46</v>
      </c>
      <c r="M237" t="s">
        <v>348</v>
      </c>
      <c r="N237" t="s">
        <v>506</v>
      </c>
      <c r="O237" t="s">
        <v>30</v>
      </c>
      <c r="P237" s="1">
        <v>46076.401828703703</v>
      </c>
      <c r="Q237" s="1">
        <v>46076.401666666665</v>
      </c>
      <c r="R237" t="s">
        <v>38</v>
      </c>
      <c r="S237" t="s">
        <v>3246</v>
      </c>
      <c r="T237" t="s">
        <v>31</v>
      </c>
      <c r="U237" t="s">
        <v>726</v>
      </c>
      <c r="V237" t="s">
        <v>46</v>
      </c>
      <c r="W237" t="s">
        <v>348</v>
      </c>
      <c r="X237" t="s">
        <v>3197</v>
      </c>
      <c r="Y237">
        <v>11998</v>
      </c>
      <c r="Z237" t="s">
        <v>3530</v>
      </c>
      <c r="AA237" t="s">
        <v>3526</v>
      </c>
      <c r="AB237" t="s">
        <v>32</v>
      </c>
      <c r="AC237" t="s">
        <v>1609</v>
      </c>
      <c r="AD237" t="s">
        <v>1610</v>
      </c>
      <c r="AE237" t="s">
        <v>33</v>
      </c>
    </row>
    <row r="238" spans="1:31" hidden="1">
      <c r="A238" t="s">
        <v>1611</v>
      </c>
      <c r="B238" t="s">
        <v>34</v>
      </c>
      <c r="C238" t="s">
        <v>175</v>
      </c>
      <c r="D238" t="s">
        <v>1028</v>
      </c>
      <c r="E238" t="s">
        <v>1612</v>
      </c>
      <c r="F238" s="1">
        <v>46076.402673611112</v>
      </c>
      <c r="G238" t="s">
        <v>222</v>
      </c>
      <c r="H238" t="s">
        <v>776</v>
      </c>
      <c r="I238" t="s">
        <v>3666</v>
      </c>
      <c r="J238" t="s">
        <v>134</v>
      </c>
      <c r="K238" t="s">
        <v>1219</v>
      </c>
      <c r="L238" t="s">
        <v>46</v>
      </c>
      <c r="M238" t="s">
        <v>136</v>
      </c>
      <c r="N238" t="s">
        <v>136</v>
      </c>
      <c r="O238" t="s">
        <v>30</v>
      </c>
      <c r="P238" s="1">
        <v>46079.287326388891</v>
      </c>
      <c r="R238" t="s">
        <v>90</v>
      </c>
      <c r="T238" t="s">
        <v>31</v>
      </c>
      <c r="U238" t="s">
        <v>243</v>
      </c>
      <c r="V238" t="s">
        <v>46</v>
      </c>
      <c r="W238" t="s">
        <v>3339</v>
      </c>
      <c r="X238" t="s">
        <v>3339</v>
      </c>
      <c r="Y238">
        <v>13013</v>
      </c>
      <c r="Z238" t="s">
        <v>3525</v>
      </c>
      <c r="AA238" t="s">
        <v>3539</v>
      </c>
      <c r="AB238" t="s">
        <v>32</v>
      </c>
      <c r="AC238" t="s">
        <v>1613</v>
      </c>
      <c r="AD238" t="s">
        <v>1614</v>
      </c>
      <c r="AE238" t="s">
        <v>33</v>
      </c>
    </row>
    <row r="239" spans="1:31">
      <c r="A239" t="s">
        <v>1615</v>
      </c>
      <c r="B239" t="s">
        <v>34</v>
      </c>
      <c r="C239" t="s">
        <v>1616</v>
      </c>
      <c r="D239" t="s">
        <v>1617</v>
      </c>
      <c r="E239" t="s">
        <v>535</v>
      </c>
      <c r="F239" s="1">
        <v>46076.398796296293</v>
      </c>
      <c r="G239" t="s">
        <v>353</v>
      </c>
      <c r="H239" t="s">
        <v>776</v>
      </c>
      <c r="I239" t="s">
        <v>3671</v>
      </c>
      <c r="J239" t="s">
        <v>44</v>
      </c>
      <c r="K239" t="s">
        <v>733</v>
      </c>
      <c r="L239" t="s">
        <v>46</v>
      </c>
      <c r="M239" t="s">
        <v>188</v>
      </c>
      <c r="N239" t="s">
        <v>431</v>
      </c>
      <c r="O239" t="s">
        <v>30</v>
      </c>
      <c r="P239" s="1">
        <v>46076.40048611111</v>
      </c>
      <c r="Q239" s="1">
        <v>46076.399224537039</v>
      </c>
      <c r="R239" t="s">
        <v>38</v>
      </c>
      <c r="S239" t="s">
        <v>3210</v>
      </c>
      <c r="T239" t="s">
        <v>31</v>
      </c>
      <c r="U239" t="s">
        <v>726</v>
      </c>
      <c r="V239" t="s">
        <v>46</v>
      </c>
      <c r="W239" t="s">
        <v>188</v>
      </c>
      <c r="X239" t="s">
        <v>431</v>
      </c>
      <c r="Y239">
        <v>4160</v>
      </c>
      <c r="Z239" t="s">
        <v>3530</v>
      </c>
      <c r="AA239" t="s">
        <v>3526</v>
      </c>
      <c r="AB239" t="s">
        <v>32</v>
      </c>
      <c r="AC239" t="s">
        <v>1618</v>
      </c>
      <c r="AD239" t="s">
        <v>1619</v>
      </c>
      <c r="AE239" t="s">
        <v>33</v>
      </c>
    </row>
    <row r="240" spans="1:31">
      <c r="A240" t="s">
        <v>1620</v>
      </c>
      <c r="B240" t="s">
        <v>34</v>
      </c>
      <c r="C240" t="s">
        <v>1621</v>
      </c>
      <c r="D240" t="s">
        <v>1622</v>
      </c>
      <c r="E240" t="s">
        <v>608</v>
      </c>
      <c r="F240" s="1">
        <v>46076.393530092595</v>
      </c>
      <c r="G240" t="s">
        <v>283</v>
      </c>
      <c r="H240" t="s">
        <v>776</v>
      </c>
      <c r="I240" t="s">
        <v>3670</v>
      </c>
      <c r="J240" t="s">
        <v>44</v>
      </c>
      <c r="K240" t="s">
        <v>205</v>
      </c>
      <c r="L240" t="s">
        <v>46</v>
      </c>
      <c r="M240" t="s">
        <v>379</v>
      </c>
      <c r="N240" t="s">
        <v>379</v>
      </c>
      <c r="O240" t="s">
        <v>30</v>
      </c>
      <c r="P240" s="1">
        <v>46076.393877314818</v>
      </c>
      <c r="Q240" s="1">
        <v>46076.393819444442</v>
      </c>
      <c r="R240" t="s">
        <v>38</v>
      </c>
      <c r="S240" t="s">
        <v>3134</v>
      </c>
      <c r="T240" t="s">
        <v>31</v>
      </c>
      <c r="U240" t="s">
        <v>206</v>
      </c>
      <c r="V240" t="s">
        <v>46</v>
      </c>
      <c r="W240" t="s">
        <v>379</v>
      </c>
      <c r="X240" t="s">
        <v>379</v>
      </c>
      <c r="Y240">
        <v>15525</v>
      </c>
      <c r="Z240" t="s">
        <v>3530</v>
      </c>
      <c r="AA240" t="s">
        <v>3526</v>
      </c>
      <c r="AB240" t="s">
        <v>32</v>
      </c>
      <c r="AC240" t="s">
        <v>1623</v>
      </c>
      <c r="AD240" t="s">
        <v>1624</v>
      </c>
      <c r="AE240" t="s">
        <v>33</v>
      </c>
    </row>
    <row r="241" spans="1:31">
      <c r="A241" t="s">
        <v>1625</v>
      </c>
      <c r="B241" t="s">
        <v>34</v>
      </c>
      <c r="C241" t="s">
        <v>25</v>
      </c>
      <c r="D241" t="s">
        <v>1626</v>
      </c>
      <c r="E241" t="s">
        <v>520</v>
      </c>
      <c r="F241" s="1">
        <v>46076.38890046296</v>
      </c>
      <c r="G241" t="s">
        <v>26</v>
      </c>
      <c r="H241" t="s">
        <v>776</v>
      </c>
      <c r="I241" t="s">
        <v>3665</v>
      </c>
      <c r="J241" t="s">
        <v>44</v>
      </c>
      <c r="K241" t="s">
        <v>205</v>
      </c>
      <c r="L241" t="s">
        <v>46</v>
      </c>
      <c r="M241" t="s">
        <v>188</v>
      </c>
      <c r="N241" t="s">
        <v>521</v>
      </c>
      <c r="O241" t="s">
        <v>30</v>
      </c>
      <c r="P241" s="1">
        <v>46076.390983796293</v>
      </c>
      <c r="Q241" s="1">
        <v>46076.390972222223</v>
      </c>
      <c r="R241" t="s">
        <v>38</v>
      </c>
      <c r="S241" t="s">
        <v>3121</v>
      </c>
      <c r="T241" t="s">
        <v>31</v>
      </c>
      <c r="U241" t="s">
        <v>206</v>
      </c>
      <c r="V241" t="s">
        <v>46</v>
      </c>
      <c r="W241" t="s">
        <v>188</v>
      </c>
      <c r="X241" t="s">
        <v>521</v>
      </c>
      <c r="Y241">
        <v>7593</v>
      </c>
      <c r="Z241" t="s">
        <v>3530</v>
      </c>
      <c r="AA241" t="s">
        <v>3526</v>
      </c>
      <c r="AB241" t="s">
        <v>32</v>
      </c>
      <c r="AC241" t="s">
        <v>1627</v>
      </c>
      <c r="AD241" t="s">
        <v>1628</v>
      </c>
      <c r="AE241" t="s">
        <v>33</v>
      </c>
    </row>
    <row r="242" spans="1:31" hidden="1">
      <c r="A242" t="s">
        <v>1629</v>
      </c>
      <c r="B242" t="s">
        <v>24</v>
      </c>
      <c r="C242" t="s">
        <v>53</v>
      </c>
      <c r="D242" t="s">
        <v>465</v>
      </c>
      <c r="E242" t="s">
        <v>1630</v>
      </c>
      <c r="F242" s="1">
        <v>46076.383206018516</v>
      </c>
      <c r="G242" t="s">
        <v>26</v>
      </c>
      <c r="H242" t="s">
        <v>776</v>
      </c>
      <c r="I242" t="s">
        <v>3665</v>
      </c>
      <c r="J242" t="s">
        <v>651</v>
      </c>
      <c r="K242" t="s">
        <v>772</v>
      </c>
      <c r="L242" t="s">
        <v>46</v>
      </c>
      <c r="M242" t="s">
        <v>197</v>
      </c>
      <c r="N242" t="s">
        <v>875</v>
      </c>
      <c r="O242" t="s">
        <v>86</v>
      </c>
      <c r="P242" s="1">
        <v>46079.287314814814</v>
      </c>
      <c r="R242" t="s">
        <v>90</v>
      </c>
      <c r="T242" t="s">
        <v>31</v>
      </c>
      <c r="U242" t="s">
        <v>266</v>
      </c>
      <c r="Y242">
        <v>2710</v>
      </c>
      <c r="Z242" t="s">
        <v>3530</v>
      </c>
      <c r="AA242" t="s">
        <v>3541</v>
      </c>
      <c r="AB242" t="s">
        <v>32</v>
      </c>
      <c r="AC242" t="s">
        <v>1631</v>
      </c>
      <c r="AD242" t="s">
        <v>1632</v>
      </c>
      <c r="AE242" t="s">
        <v>33</v>
      </c>
    </row>
    <row r="243" spans="1:31" hidden="1">
      <c r="A243" t="s">
        <v>1633</v>
      </c>
      <c r="B243" t="s">
        <v>34</v>
      </c>
      <c r="C243" t="s">
        <v>825</v>
      </c>
      <c r="D243" t="s">
        <v>1634</v>
      </c>
      <c r="E243" t="s">
        <v>345</v>
      </c>
      <c r="F243" s="1">
        <v>46076.381493055553</v>
      </c>
      <c r="G243" t="s">
        <v>755</v>
      </c>
      <c r="H243" t="s">
        <v>776</v>
      </c>
      <c r="I243" t="s">
        <v>3669</v>
      </c>
      <c r="J243" t="s">
        <v>134</v>
      </c>
      <c r="K243" t="s">
        <v>231</v>
      </c>
      <c r="L243" t="s">
        <v>162</v>
      </c>
      <c r="M243" t="s">
        <v>163</v>
      </c>
      <c r="N243" t="s">
        <v>164</v>
      </c>
      <c r="O243" t="s">
        <v>30</v>
      </c>
      <c r="P243" s="1">
        <v>46079.287314814814</v>
      </c>
      <c r="R243" t="s">
        <v>90</v>
      </c>
      <c r="T243" t="s">
        <v>31</v>
      </c>
      <c r="U243" t="s">
        <v>104</v>
      </c>
      <c r="Y243">
        <v>11455</v>
      </c>
      <c r="Z243" t="s">
        <v>3536</v>
      </c>
      <c r="AA243" t="s">
        <v>3539</v>
      </c>
      <c r="AB243" t="s">
        <v>32</v>
      </c>
      <c r="AC243" t="s">
        <v>1635</v>
      </c>
      <c r="AD243" t="s">
        <v>1636</v>
      </c>
      <c r="AE243" t="s">
        <v>33</v>
      </c>
    </row>
    <row r="244" spans="1:31" hidden="1">
      <c r="A244" t="s">
        <v>1637</v>
      </c>
      <c r="B244" t="s">
        <v>34</v>
      </c>
      <c r="C244" t="s">
        <v>808</v>
      </c>
      <c r="D244" t="s">
        <v>809</v>
      </c>
      <c r="E244" t="s">
        <v>1638</v>
      </c>
      <c r="F244" s="1">
        <v>46076.375462962962</v>
      </c>
      <c r="G244" t="s">
        <v>210</v>
      </c>
      <c r="H244" t="s">
        <v>776</v>
      </c>
      <c r="I244" t="s">
        <v>3667</v>
      </c>
      <c r="J244" t="s">
        <v>44</v>
      </c>
      <c r="K244" t="s">
        <v>438</v>
      </c>
      <c r="L244" t="s">
        <v>162</v>
      </c>
      <c r="M244" t="s">
        <v>163</v>
      </c>
      <c r="N244" t="s">
        <v>164</v>
      </c>
      <c r="O244" t="s">
        <v>30</v>
      </c>
      <c r="P244" s="1">
        <v>46079.367210648146</v>
      </c>
      <c r="R244" t="s">
        <v>90</v>
      </c>
      <c r="T244" t="s">
        <v>31</v>
      </c>
      <c r="U244" t="s">
        <v>104</v>
      </c>
      <c r="Y244" t="s">
        <v>3583</v>
      </c>
      <c r="Z244" t="s">
        <v>3536</v>
      </c>
      <c r="AA244" t="s">
        <v>3541</v>
      </c>
      <c r="AB244" t="s">
        <v>32</v>
      </c>
      <c r="AC244" t="s">
        <v>810</v>
      </c>
      <c r="AD244" t="s">
        <v>811</v>
      </c>
      <c r="AE244" t="s">
        <v>33</v>
      </c>
    </row>
    <row r="245" spans="1:31" hidden="1">
      <c r="A245" t="s">
        <v>1639</v>
      </c>
      <c r="B245" t="s">
        <v>24</v>
      </c>
      <c r="C245" t="s">
        <v>53</v>
      </c>
      <c r="D245" t="s">
        <v>1388</v>
      </c>
      <c r="E245" t="s">
        <v>1640</v>
      </c>
      <c r="F245" s="1">
        <v>46076.374965277777</v>
      </c>
      <c r="G245" t="s">
        <v>173</v>
      </c>
      <c r="H245" t="s">
        <v>776</v>
      </c>
      <c r="I245" t="s">
        <v>3666</v>
      </c>
      <c r="J245" t="s">
        <v>134</v>
      </c>
      <c r="K245" t="s">
        <v>1301</v>
      </c>
      <c r="L245" t="s">
        <v>27</v>
      </c>
      <c r="M245" t="s">
        <v>28</v>
      </c>
      <c r="N245" t="s">
        <v>75</v>
      </c>
      <c r="O245" t="s">
        <v>86</v>
      </c>
      <c r="P245" s="1">
        <v>46078.305532407408</v>
      </c>
      <c r="Q245" s="1">
        <v>46078.305509259262</v>
      </c>
      <c r="R245" t="s">
        <v>38</v>
      </c>
      <c r="S245" t="s">
        <v>3247</v>
      </c>
      <c r="T245" t="s">
        <v>31</v>
      </c>
      <c r="U245" t="s">
        <v>104</v>
      </c>
      <c r="V245" t="s">
        <v>27</v>
      </c>
      <c r="W245" t="s">
        <v>28</v>
      </c>
      <c r="X245" t="s">
        <v>75</v>
      </c>
      <c r="Y245" t="s">
        <v>3611</v>
      </c>
      <c r="Z245" t="s">
        <v>3536</v>
      </c>
      <c r="AA245" t="s">
        <v>3526</v>
      </c>
      <c r="AB245" t="s">
        <v>32</v>
      </c>
      <c r="AC245" t="s">
        <v>1389</v>
      </c>
      <c r="AD245" t="s">
        <v>1390</v>
      </c>
      <c r="AE245" t="s">
        <v>33</v>
      </c>
    </row>
    <row r="246" spans="1:31">
      <c r="A246" t="s">
        <v>1641</v>
      </c>
      <c r="B246" t="s">
        <v>34</v>
      </c>
      <c r="C246" t="s">
        <v>115</v>
      </c>
      <c r="D246" t="s">
        <v>1292</v>
      </c>
      <c r="E246" t="s">
        <v>252</v>
      </c>
      <c r="F246" s="1">
        <v>46076.373344907406</v>
      </c>
      <c r="G246" t="s">
        <v>265</v>
      </c>
      <c r="H246" t="s">
        <v>776</v>
      </c>
      <c r="I246" t="s">
        <v>3671</v>
      </c>
      <c r="J246" t="s">
        <v>44</v>
      </c>
      <c r="K246" t="s">
        <v>253</v>
      </c>
      <c r="L246" t="s">
        <v>162</v>
      </c>
      <c r="M246" t="s">
        <v>163</v>
      </c>
      <c r="N246" t="s">
        <v>164</v>
      </c>
      <c r="O246" t="s">
        <v>30</v>
      </c>
      <c r="P246" s="1">
        <v>46078.445196759261</v>
      </c>
      <c r="Q246" s="1">
        <v>46078.445185185185</v>
      </c>
      <c r="R246" t="s">
        <v>38</v>
      </c>
      <c r="S246" t="s">
        <v>3248</v>
      </c>
      <c r="T246" t="s">
        <v>31</v>
      </c>
      <c r="U246" t="s">
        <v>104</v>
      </c>
      <c r="V246" t="s">
        <v>46</v>
      </c>
      <c r="W246" t="s">
        <v>515</v>
      </c>
      <c r="X246" t="s">
        <v>2177</v>
      </c>
      <c r="Y246">
        <v>15792</v>
      </c>
      <c r="Z246" t="s">
        <v>3536</v>
      </c>
      <c r="AA246" t="s">
        <v>3526</v>
      </c>
      <c r="AB246" t="s">
        <v>32</v>
      </c>
      <c r="AC246" t="s">
        <v>1293</v>
      </c>
      <c r="AD246" t="s">
        <v>1294</v>
      </c>
      <c r="AE246" t="s">
        <v>33</v>
      </c>
    </row>
    <row r="247" spans="1:31">
      <c r="A247" t="s">
        <v>1642</v>
      </c>
      <c r="B247" t="s">
        <v>34</v>
      </c>
      <c r="C247" t="s">
        <v>236</v>
      </c>
      <c r="D247" t="s">
        <v>237</v>
      </c>
      <c r="E247" t="s">
        <v>590</v>
      </c>
      <c r="F247" s="1">
        <v>46076.372662037036</v>
      </c>
      <c r="G247" t="s">
        <v>238</v>
      </c>
      <c r="H247" t="s">
        <v>776</v>
      </c>
      <c r="I247" t="s">
        <v>3665</v>
      </c>
      <c r="J247" t="s">
        <v>44</v>
      </c>
      <c r="K247" t="s">
        <v>205</v>
      </c>
      <c r="L247" t="s">
        <v>46</v>
      </c>
      <c r="M247" t="s">
        <v>379</v>
      </c>
      <c r="N247" t="s">
        <v>379</v>
      </c>
      <c r="O247" t="s">
        <v>30</v>
      </c>
      <c r="P247" s="1">
        <v>46076.373032407406</v>
      </c>
      <c r="Q247" s="1">
        <v>46076.372939814813</v>
      </c>
      <c r="R247" t="s">
        <v>38</v>
      </c>
      <c r="S247" t="s">
        <v>3132</v>
      </c>
      <c r="T247" t="s">
        <v>31</v>
      </c>
      <c r="U247" t="s">
        <v>206</v>
      </c>
      <c r="V247" t="s">
        <v>46</v>
      </c>
      <c r="W247" t="s">
        <v>379</v>
      </c>
      <c r="X247" t="s">
        <v>379</v>
      </c>
      <c r="Y247">
        <v>13638</v>
      </c>
      <c r="Z247" t="s">
        <v>3530</v>
      </c>
      <c r="AA247" t="s">
        <v>3526</v>
      </c>
      <c r="AB247" t="s">
        <v>32</v>
      </c>
      <c r="AC247" t="s">
        <v>239</v>
      </c>
      <c r="AD247" t="s">
        <v>240</v>
      </c>
      <c r="AE247" t="s">
        <v>33</v>
      </c>
    </row>
    <row r="248" spans="1:31" hidden="1">
      <c r="A248" t="s">
        <v>1643</v>
      </c>
      <c r="B248" t="s">
        <v>34</v>
      </c>
      <c r="C248" t="s">
        <v>261</v>
      </c>
      <c r="D248" t="s">
        <v>1644</v>
      </c>
      <c r="E248" t="s">
        <v>230</v>
      </c>
      <c r="F248" s="1">
        <v>46076.370949074073</v>
      </c>
      <c r="G248" t="s">
        <v>118</v>
      </c>
      <c r="H248" t="s">
        <v>776</v>
      </c>
      <c r="I248" t="s">
        <v>3666</v>
      </c>
      <c r="J248" t="s">
        <v>134</v>
      </c>
      <c r="K248" t="s">
        <v>1501</v>
      </c>
      <c r="L248" t="s">
        <v>46</v>
      </c>
      <c r="M248" t="s">
        <v>136</v>
      </c>
      <c r="N248" t="s">
        <v>136</v>
      </c>
      <c r="O248" t="s">
        <v>30</v>
      </c>
      <c r="P248" s="1">
        <v>46079.287314814814</v>
      </c>
      <c r="R248" t="s">
        <v>90</v>
      </c>
      <c r="T248" t="s">
        <v>31</v>
      </c>
      <c r="U248" t="s">
        <v>243</v>
      </c>
      <c r="V248" t="s">
        <v>46</v>
      </c>
      <c r="W248" t="s">
        <v>3339</v>
      </c>
      <c r="X248" t="s">
        <v>3339</v>
      </c>
      <c r="Y248">
        <v>14522</v>
      </c>
      <c r="Z248" t="s">
        <v>3525</v>
      </c>
      <c r="AA248" t="s">
        <v>3541</v>
      </c>
      <c r="AB248" t="s">
        <v>32</v>
      </c>
      <c r="AC248" t="s">
        <v>1645</v>
      </c>
      <c r="AD248" t="s">
        <v>1646</v>
      </c>
      <c r="AE248" t="s">
        <v>33</v>
      </c>
    </row>
    <row r="249" spans="1:31" hidden="1">
      <c r="A249" t="s">
        <v>1647</v>
      </c>
      <c r="B249" t="s">
        <v>34</v>
      </c>
      <c r="C249" t="s">
        <v>800</v>
      </c>
      <c r="D249" t="s">
        <v>967</v>
      </c>
      <c r="E249" t="s">
        <v>1648</v>
      </c>
      <c r="F249" s="1">
        <v>46076.370810185188</v>
      </c>
      <c r="G249" t="s">
        <v>702</v>
      </c>
      <c r="H249" t="s">
        <v>776</v>
      </c>
      <c r="I249" t="s">
        <v>3670</v>
      </c>
      <c r="J249" t="s">
        <v>134</v>
      </c>
      <c r="K249" t="s">
        <v>273</v>
      </c>
      <c r="L249" t="s">
        <v>46</v>
      </c>
      <c r="M249" t="s">
        <v>495</v>
      </c>
      <c r="N249" t="s">
        <v>1649</v>
      </c>
      <c r="O249" t="s">
        <v>30</v>
      </c>
      <c r="P249" s="1">
        <v>46077.458807870367</v>
      </c>
      <c r="Q249" s="1">
        <v>46077.458761574075</v>
      </c>
      <c r="R249" t="s">
        <v>38</v>
      </c>
      <c r="S249" t="s">
        <v>3249</v>
      </c>
      <c r="T249" t="s">
        <v>31</v>
      </c>
      <c r="U249" t="s">
        <v>726</v>
      </c>
      <c r="V249" t="s">
        <v>46</v>
      </c>
      <c r="W249" t="s">
        <v>495</v>
      </c>
      <c r="X249" t="s">
        <v>1649</v>
      </c>
      <c r="Y249">
        <v>15975</v>
      </c>
      <c r="Z249" t="s">
        <v>3530</v>
      </c>
      <c r="AA249" t="s">
        <v>3526</v>
      </c>
      <c r="AB249" t="s">
        <v>32</v>
      </c>
      <c r="AC249" t="s">
        <v>968</v>
      </c>
      <c r="AD249" t="s">
        <v>969</v>
      </c>
      <c r="AE249" t="s">
        <v>33</v>
      </c>
    </row>
    <row r="250" spans="1:31" hidden="1">
      <c r="A250" t="s">
        <v>1650</v>
      </c>
      <c r="B250" t="s">
        <v>34</v>
      </c>
      <c r="C250" t="s">
        <v>998</v>
      </c>
      <c r="D250" t="s">
        <v>999</v>
      </c>
      <c r="E250" t="s">
        <v>679</v>
      </c>
      <c r="F250" s="1">
        <v>46076.368391203701</v>
      </c>
      <c r="G250" t="s">
        <v>62</v>
      </c>
      <c r="H250" t="s">
        <v>776</v>
      </c>
      <c r="I250" t="s">
        <v>3668</v>
      </c>
      <c r="J250" t="s">
        <v>44</v>
      </c>
      <c r="K250" t="s">
        <v>699</v>
      </c>
      <c r="L250" t="s">
        <v>162</v>
      </c>
      <c r="M250" t="s">
        <v>163</v>
      </c>
      <c r="N250" t="s">
        <v>164</v>
      </c>
      <c r="O250" t="s">
        <v>30</v>
      </c>
      <c r="P250" s="1">
        <v>46079.287314814814</v>
      </c>
      <c r="R250" t="s">
        <v>90</v>
      </c>
      <c r="T250" t="s">
        <v>31</v>
      </c>
      <c r="U250" t="s">
        <v>104</v>
      </c>
      <c r="Y250" t="s">
        <v>3592</v>
      </c>
      <c r="Z250" t="s">
        <v>3536</v>
      </c>
      <c r="AA250" t="s">
        <v>3541</v>
      </c>
      <c r="AB250" t="s">
        <v>32</v>
      </c>
      <c r="AC250" t="s">
        <v>1000</v>
      </c>
      <c r="AD250" t="s">
        <v>1001</v>
      </c>
      <c r="AE250" t="s">
        <v>33</v>
      </c>
    </row>
    <row r="251" spans="1:31" hidden="1">
      <c r="A251" t="s">
        <v>1651</v>
      </c>
      <c r="B251" t="s">
        <v>24</v>
      </c>
      <c r="C251" t="s">
        <v>1652</v>
      </c>
      <c r="D251" t="s">
        <v>1653</v>
      </c>
      <c r="E251" t="s">
        <v>1654</v>
      </c>
      <c r="F251" s="1">
        <v>46076.374236111114</v>
      </c>
      <c r="G251" t="s">
        <v>85</v>
      </c>
      <c r="H251" t="s">
        <v>776</v>
      </c>
      <c r="I251" t="s">
        <v>3668</v>
      </c>
      <c r="J251" t="s">
        <v>134</v>
      </c>
      <c r="K251" t="s">
        <v>642</v>
      </c>
      <c r="L251" t="s">
        <v>46</v>
      </c>
      <c r="M251" t="s">
        <v>365</v>
      </c>
      <c r="N251" t="s">
        <v>1320</v>
      </c>
      <c r="O251" t="s">
        <v>86</v>
      </c>
      <c r="P251" s="1">
        <v>46079.38621527778</v>
      </c>
      <c r="R251" t="s">
        <v>90</v>
      </c>
      <c r="T251" t="s">
        <v>31</v>
      </c>
      <c r="U251" t="s">
        <v>350</v>
      </c>
      <c r="Y251">
        <v>15563</v>
      </c>
      <c r="Z251" t="s">
        <v>3530</v>
      </c>
      <c r="AA251" t="s">
        <v>3539</v>
      </c>
      <c r="AB251" t="s">
        <v>32</v>
      </c>
      <c r="AC251" t="s">
        <v>1655</v>
      </c>
      <c r="AD251" t="s">
        <v>1656</v>
      </c>
      <c r="AE251" t="s">
        <v>33</v>
      </c>
    </row>
    <row r="252" spans="1:31">
      <c r="A252" t="s">
        <v>1657</v>
      </c>
      <c r="B252" t="s">
        <v>34</v>
      </c>
      <c r="C252" t="s">
        <v>586</v>
      </c>
      <c r="D252" t="s">
        <v>156</v>
      </c>
      <c r="E252" t="s">
        <v>252</v>
      </c>
      <c r="F252" s="1">
        <v>46076.362708333334</v>
      </c>
      <c r="G252" t="s">
        <v>62</v>
      </c>
      <c r="H252" t="s">
        <v>776</v>
      </c>
      <c r="I252" t="s">
        <v>3668</v>
      </c>
      <c r="J252" t="s">
        <v>44</v>
      </c>
      <c r="K252" t="s">
        <v>205</v>
      </c>
      <c r="L252" t="s">
        <v>162</v>
      </c>
      <c r="M252" t="s">
        <v>163</v>
      </c>
      <c r="N252" t="s">
        <v>164</v>
      </c>
      <c r="O252" t="s">
        <v>30</v>
      </c>
      <c r="P252" s="1">
        <v>46078.497094907405</v>
      </c>
      <c r="Q252" s="1">
        <v>46078.495995370373</v>
      </c>
      <c r="R252" t="s">
        <v>38</v>
      </c>
      <c r="S252" t="s">
        <v>3250</v>
      </c>
      <c r="T252" t="s">
        <v>31</v>
      </c>
      <c r="U252" t="s">
        <v>104</v>
      </c>
      <c r="V252" t="s">
        <v>46</v>
      </c>
      <c r="W252" t="s">
        <v>515</v>
      </c>
      <c r="X252" t="s">
        <v>2177</v>
      </c>
      <c r="Y252" t="s">
        <v>3563</v>
      </c>
      <c r="Z252" t="s">
        <v>3536</v>
      </c>
      <c r="AA252" t="s">
        <v>3526</v>
      </c>
      <c r="AB252" t="s">
        <v>32</v>
      </c>
      <c r="AC252" t="s">
        <v>587</v>
      </c>
      <c r="AD252" t="s">
        <v>588</v>
      </c>
      <c r="AE252" t="s">
        <v>33</v>
      </c>
    </row>
    <row r="253" spans="1:31">
      <c r="A253" t="s">
        <v>1658</v>
      </c>
      <c r="B253" t="s">
        <v>34</v>
      </c>
      <c r="C253" t="s">
        <v>1659</v>
      </c>
      <c r="D253" t="s">
        <v>1660</v>
      </c>
      <c r="E253" t="s">
        <v>80</v>
      </c>
      <c r="F253" s="1">
        <v>46076.371331018519</v>
      </c>
      <c r="G253" t="s">
        <v>26</v>
      </c>
      <c r="H253" t="s">
        <v>776</v>
      </c>
      <c r="I253" t="s">
        <v>3665</v>
      </c>
      <c r="J253" t="s">
        <v>44</v>
      </c>
      <c r="K253" t="s">
        <v>179</v>
      </c>
      <c r="L253" t="s">
        <v>46</v>
      </c>
      <c r="M253" t="s">
        <v>110</v>
      </c>
      <c r="N253" t="s">
        <v>301</v>
      </c>
      <c r="O253" t="s">
        <v>30</v>
      </c>
      <c r="P253" s="1">
        <v>46076.380520833336</v>
      </c>
      <c r="Q253" s="1">
        <v>46076.371562499997</v>
      </c>
      <c r="R253" t="s">
        <v>38</v>
      </c>
      <c r="S253" t="s">
        <v>3251</v>
      </c>
      <c r="T253" t="s">
        <v>31</v>
      </c>
      <c r="U253" t="s">
        <v>350</v>
      </c>
      <c r="V253" t="s">
        <v>46</v>
      </c>
      <c r="W253" t="s">
        <v>110</v>
      </c>
      <c r="X253" t="s">
        <v>3252</v>
      </c>
      <c r="Y253" t="s">
        <v>3616</v>
      </c>
      <c r="Z253" t="s">
        <v>3530</v>
      </c>
      <c r="AA253" t="s">
        <v>3526</v>
      </c>
      <c r="AB253" t="s">
        <v>32</v>
      </c>
      <c r="AC253" t="s">
        <v>1661</v>
      </c>
      <c r="AD253" t="s">
        <v>1662</v>
      </c>
      <c r="AE253" t="s">
        <v>33</v>
      </c>
    </row>
    <row r="254" spans="1:31" hidden="1">
      <c r="A254" t="s">
        <v>1667</v>
      </c>
      <c r="B254" t="s">
        <v>34</v>
      </c>
      <c r="C254" t="s">
        <v>586</v>
      </c>
      <c r="D254" t="s">
        <v>156</v>
      </c>
      <c r="E254" t="s">
        <v>95</v>
      </c>
      <c r="F254" s="1">
        <v>46076.361770833333</v>
      </c>
      <c r="G254" t="s">
        <v>62</v>
      </c>
      <c r="H254" t="s">
        <v>776</v>
      </c>
      <c r="I254" t="s">
        <v>3668</v>
      </c>
      <c r="J254" t="s">
        <v>134</v>
      </c>
      <c r="K254" t="s">
        <v>675</v>
      </c>
      <c r="L254" t="s">
        <v>162</v>
      </c>
      <c r="M254" t="s">
        <v>163</v>
      </c>
      <c r="N254" t="s">
        <v>164</v>
      </c>
      <c r="O254" t="s">
        <v>30</v>
      </c>
      <c r="P254" s="1">
        <v>46079.287314814814</v>
      </c>
      <c r="R254" t="s">
        <v>90</v>
      </c>
      <c r="T254" t="s">
        <v>31</v>
      </c>
      <c r="U254" t="s">
        <v>104</v>
      </c>
      <c r="Y254" t="s">
        <v>3563</v>
      </c>
      <c r="Z254" t="s">
        <v>3536</v>
      </c>
      <c r="AA254" t="s">
        <v>3556</v>
      </c>
      <c r="AB254" t="s">
        <v>32</v>
      </c>
      <c r="AC254" t="s">
        <v>587</v>
      </c>
      <c r="AD254" t="s">
        <v>588</v>
      </c>
      <c r="AE254" t="s">
        <v>33</v>
      </c>
    </row>
    <row r="255" spans="1:31">
      <c r="A255" t="s">
        <v>1668</v>
      </c>
      <c r="B255" t="s">
        <v>34</v>
      </c>
      <c r="C255" t="s">
        <v>896</v>
      </c>
      <c r="D255" t="s">
        <v>261</v>
      </c>
      <c r="E255" t="s">
        <v>590</v>
      </c>
      <c r="F255" s="1">
        <v>46076.366840277777</v>
      </c>
      <c r="G255" t="s">
        <v>593</v>
      </c>
      <c r="H255" t="s">
        <v>776</v>
      </c>
      <c r="I255" t="s">
        <v>3669</v>
      </c>
      <c r="J255" t="s">
        <v>44</v>
      </c>
      <c r="K255" t="s">
        <v>205</v>
      </c>
      <c r="L255" t="s">
        <v>46</v>
      </c>
      <c r="M255" t="s">
        <v>379</v>
      </c>
      <c r="N255" t="s">
        <v>379</v>
      </c>
      <c r="O255" t="s">
        <v>30</v>
      </c>
      <c r="P255" s="1">
        <v>46076.367754629631</v>
      </c>
      <c r="Q255" s="1">
        <v>46076.367708333331</v>
      </c>
      <c r="R255" t="s">
        <v>38</v>
      </c>
      <c r="S255" t="s">
        <v>3132</v>
      </c>
      <c r="T255" t="s">
        <v>31</v>
      </c>
      <c r="U255" t="s">
        <v>206</v>
      </c>
      <c r="V255" t="s">
        <v>46</v>
      </c>
      <c r="W255" t="s">
        <v>379</v>
      </c>
      <c r="X255" t="s">
        <v>379</v>
      </c>
      <c r="Y255">
        <v>12773</v>
      </c>
      <c r="Z255" t="s">
        <v>3530</v>
      </c>
      <c r="AA255" t="s">
        <v>3526</v>
      </c>
      <c r="AB255" t="s">
        <v>32</v>
      </c>
      <c r="AC255" t="s">
        <v>897</v>
      </c>
      <c r="AD255" t="s">
        <v>898</v>
      </c>
      <c r="AE255" t="s">
        <v>33</v>
      </c>
    </row>
    <row r="256" spans="1:31" hidden="1">
      <c r="A256" t="s">
        <v>1669</v>
      </c>
      <c r="B256" t="s">
        <v>34</v>
      </c>
      <c r="C256" t="s">
        <v>586</v>
      </c>
      <c r="D256" t="s">
        <v>156</v>
      </c>
      <c r="E256" t="s">
        <v>1670</v>
      </c>
      <c r="F256" s="1">
        <v>46076.36109953704</v>
      </c>
      <c r="G256" t="s">
        <v>62</v>
      </c>
      <c r="H256" t="s">
        <v>776</v>
      </c>
      <c r="I256" t="s">
        <v>3668</v>
      </c>
      <c r="J256" t="s">
        <v>134</v>
      </c>
      <c r="K256" t="s">
        <v>320</v>
      </c>
      <c r="L256" t="s">
        <v>162</v>
      </c>
      <c r="M256" t="s">
        <v>163</v>
      </c>
      <c r="N256" t="s">
        <v>164</v>
      </c>
      <c r="O256" t="s">
        <v>30</v>
      </c>
      <c r="P256" s="1">
        <v>46076.43</v>
      </c>
      <c r="Q256" s="1">
        <v>46076.429988425924</v>
      </c>
      <c r="R256" t="s">
        <v>38</v>
      </c>
      <c r="S256" t="s">
        <v>3253</v>
      </c>
      <c r="T256" t="s">
        <v>31</v>
      </c>
      <c r="U256" t="s">
        <v>104</v>
      </c>
      <c r="V256" t="s">
        <v>46</v>
      </c>
      <c r="W256" t="s">
        <v>365</v>
      </c>
      <c r="X256" t="s">
        <v>1287</v>
      </c>
      <c r="Y256" t="s">
        <v>3563</v>
      </c>
      <c r="Z256" t="s">
        <v>3536</v>
      </c>
      <c r="AA256" t="s">
        <v>3534</v>
      </c>
      <c r="AB256" t="s">
        <v>32</v>
      </c>
      <c r="AC256" t="s">
        <v>587</v>
      </c>
      <c r="AD256" t="s">
        <v>588</v>
      </c>
      <c r="AE256" t="s">
        <v>33</v>
      </c>
    </row>
    <row r="257" spans="1:31" hidden="1">
      <c r="A257" t="s">
        <v>1671</v>
      </c>
      <c r="B257" t="s">
        <v>34</v>
      </c>
      <c r="C257" t="s">
        <v>586</v>
      </c>
      <c r="D257" t="s">
        <v>156</v>
      </c>
      <c r="E257" t="s">
        <v>345</v>
      </c>
      <c r="F257" s="1">
        <v>46076.358900462961</v>
      </c>
      <c r="G257" t="s">
        <v>62</v>
      </c>
      <c r="H257" t="s">
        <v>776</v>
      </c>
      <c r="I257" t="s">
        <v>3668</v>
      </c>
      <c r="J257" t="s">
        <v>134</v>
      </c>
      <c r="K257" t="s">
        <v>675</v>
      </c>
      <c r="L257" t="s">
        <v>162</v>
      </c>
      <c r="M257" t="s">
        <v>163</v>
      </c>
      <c r="N257" t="s">
        <v>164</v>
      </c>
      <c r="O257" t="s">
        <v>30</v>
      </c>
      <c r="P257" s="1">
        <v>46079.407500000001</v>
      </c>
      <c r="R257" t="s">
        <v>90</v>
      </c>
      <c r="T257" t="s">
        <v>31</v>
      </c>
      <c r="U257" t="s">
        <v>104</v>
      </c>
      <c r="Y257" t="s">
        <v>3563</v>
      </c>
      <c r="Z257" t="s">
        <v>3536</v>
      </c>
      <c r="AA257" t="s">
        <v>3539</v>
      </c>
      <c r="AB257" t="s">
        <v>32</v>
      </c>
      <c r="AC257" t="s">
        <v>587</v>
      </c>
      <c r="AD257" t="s">
        <v>588</v>
      </c>
      <c r="AE257" t="s">
        <v>33</v>
      </c>
    </row>
    <row r="258" spans="1:31" hidden="1">
      <c r="A258" t="s">
        <v>1672</v>
      </c>
      <c r="B258" t="s">
        <v>34</v>
      </c>
      <c r="C258" t="s">
        <v>525</v>
      </c>
      <c r="D258" t="s">
        <v>526</v>
      </c>
      <c r="E258" t="s">
        <v>703</v>
      </c>
      <c r="F258" s="1">
        <v>46076.358240740738</v>
      </c>
      <c r="G258" t="s">
        <v>62</v>
      </c>
      <c r="H258" t="s">
        <v>776</v>
      </c>
      <c r="I258" t="s">
        <v>3668</v>
      </c>
      <c r="J258" t="s">
        <v>134</v>
      </c>
      <c r="K258" t="s">
        <v>675</v>
      </c>
      <c r="L258" t="s">
        <v>162</v>
      </c>
      <c r="M258" t="s">
        <v>163</v>
      </c>
      <c r="N258" t="s">
        <v>164</v>
      </c>
      <c r="O258" t="s">
        <v>30</v>
      </c>
      <c r="P258" s="1">
        <v>46079.406319444446</v>
      </c>
      <c r="R258" t="s">
        <v>90</v>
      </c>
      <c r="T258" t="s">
        <v>31</v>
      </c>
      <c r="U258" t="s">
        <v>104</v>
      </c>
      <c r="Y258" t="s">
        <v>3561</v>
      </c>
      <c r="Z258" t="s">
        <v>3536</v>
      </c>
      <c r="AA258" t="s">
        <v>3539</v>
      </c>
      <c r="AB258" t="s">
        <v>32</v>
      </c>
      <c r="AC258" t="s">
        <v>527</v>
      </c>
      <c r="AD258" t="s">
        <v>528</v>
      </c>
      <c r="AE258" t="s">
        <v>33</v>
      </c>
    </row>
    <row r="259" spans="1:31" hidden="1">
      <c r="A259" t="s">
        <v>1674</v>
      </c>
      <c r="B259" t="s">
        <v>34</v>
      </c>
      <c r="C259" t="s">
        <v>993</v>
      </c>
      <c r="D259" t="s">
        <v>994</v>
      </c>
      <c r="E259" t="s">
        <v>1675</v>
      </c>
      <c r="F259" s="1">
        <v>46076.375</v>
      </c>
      <c r="G259" t="s">
        <v>62</v>
      </c>
      <c r="H259" t="s">
        <v>776</v>
      </c>
      <c r="I259" t="s">
        <v>3668</v>
      </c>
      <c r="J259" t="s">
        <v>134</v>
      </c>
      <c r="K259" t="s">
        <v>642</v>
      </c>
      <c r="L259" t="s">
        <v>162</v>
      </c>
      <c r="M259" t="s">
        <v>163</v>
      </c>
      <c r="N259" t="s">
        <v>164</v>
      </c>
      <c r="O259" t="s">
        <v>30</v>
      </c>
      <c r="P259" s="1">
        <v>46078.375648148147</v>
      </c>
      <c r="Q259" s="1">
        <v>46078.375636574077</v>
      </c>
      <c r="R259" t="s">
        <v>38</v>
      </c>
      <c r="S259" t="s">
        <v>3254</v>
      </c>
      <c r="T259" t="s">
        <v>31</v>
      </c>
      <c r="U259" t="s">
        <v>1137</v>
      </c>
      <c r="V259" t="s">
        <v>46</v>
      </c>
      <c r="W259" t="s">
        <v>1353</v>
      </c>
      <c r="X259" t="s">
        <v>95</v>
      </c>
      <c r="Y259">
        <v>15740</v>
      </c>
      <c r="Z259" t="s">
        <v>3536</v>
      </c>
      <c r="AA259" t="s">
        <v>3526</v>
      </c>
      <c r="AB259" t="s">
        <v>181</v>
      </c>
      <c r="AC259" t="s">
        <v>995</v>
      </c>
      <c r="AD259" t="s">
        <v>996</v>
      </c>
      <c r="AE259" t="s">
        <v>33</v>
      </c>
    </row>
    <row r="260" spans="1:31" hidden="1">
      <c r="A260" t="s">
        <v>1676</v>
      </c>
      <c r="B260" t="s">
        <v>34</v>
      </c>
      <c r="C260" t="s">
        <v>99</v>
      </c>
      <c r="D260" t="s">
        <v>1677</v>
      </c>
      <c r="E260" t="s">
        <v>1678</v>
      </c>
      <c r="F260" s="1">
        <v>46076.375</v>
      </c>
      <c r="G260" t="s">
        <v>298</v>
      </c>
      <c r="H260" t="s">
        <v>776</v>
      </c>
      <c r="I260" t="s">
        <v>3669</v>
      </c>
      <c r="J260" t="s">
        <v>134</v>
      </c>
      <c r="K260" t="s">
        <v>494</v>
      </c>
      <c r="L260" t="s">
        <v>46</v>
      </c>
      <c r="M260" t="s">
        <v>1353</v>
      </c>
      <c r="N260" t="s">
        <v>95</v>
      </c>
      <c r="O260" t="s">
        <v>30</v>
      </c>
      <c r="P260" s="1">
        <v>46079.287303240744</v>
      </c>
      <c r="R260" t="s">
        <v>90</v>
      </c>
      <c r="T260" t="s">
        <v>31</v>
      </c>
      <c r="U260" t="s">
        <v>1137</v>
      </c>
      <c r="V260" t="s">
        <v>46</v>
      </c>
      <c r="W260" t="s">
        <v>910</v>
      </c>
      <c r="X260" t="s">
        <v>3499</v>
      </c>
      <c r="Y260">
        <v>15492</v>
      </c>
      <c r="Z260" t="s">
        <v>3525</v>
      </c>
      <c r="AA260" t="s">
        <v>3541</v>
      </c>
      <c r="AB260" t="s">
        <v>32</v>
      </c>
      <c r="AC260" t="s">
        <v>1679</v>
      </c>
      <c r="AD260" t="s">
        <v>1680</v>
      </c>
      <c r="AE260" t="s">
        <v>33</v>
      </c>
    </row>
    <row r="261" spans="1:31" hidden="1">
      <c r="A261" t="s">
        <v>1681</v>
      </c>
      <c r="B261" t="s">
        <v>34</v>
      </c>
      <c r="C261" t="s">
        <v>1682</v>
      </c>
      <c r="D261" t="s">
        <v>863</v>
      </c>
      <c r="E261" t="s">
        <v>1683</v>
      </c>
      <c r="F261" s="1">
        <v>46076.381921296299</v>
      </c>
      <c r="G261" t="s">
        <v>173</v>
      </c>
      <c r="H261" t="s">
        <v>776</v>
      </c>
      <c r="I261" t="s">
        <v>3666</v>
      </c>
      <c r="J261" t="s">
        <v>134</v>
      </c>
      <c r="K261" t="s">
        <v>817</v>
      </c>
      <c r="L261" t="s">
        <v>46</v>
      </c>
      <c r="M261" t="s">
        <v>365</v>
      </c>
      <c r="N261" t="s">
        <v>1287</v>
      </c>
      <c r="O261" t="s">
        <v>30</v>
      </c>
      <c r="P261" s="1">
        <v>46078.548472222225</v>
      </c>
      <c r="Q261" s="1">
        <v>46078.548460648148</v>
      </c>
      <c r="R261" t="s">
        <v>38</v>
      </c>
      <c r="S261" t="s">
        <v>3255</v>
      </c>
      <c r="T261" t="s">
        <v>31</v>
      </c>
      <c r="U261" t="s">
        <v>350</v>
      </c>
      <c r="V261" t="s">
        <v>46</v>
      </c>
      <c r="W261" t="s">
        <v>365</v>
      </c>
      <c r="X261" t="s">
        <v>1287</v>
      </c>
      <c r="Y261">
        <v>10331</v>
      </c>
      <c r="Z261" t="s">
        <v>3530</v>
      </c>
      <c r="AA261" t="s">
        <v>3526</v>
      </c>
      <c r="AB261" t="s">
        <v>32</v>
      </c>
      <c r="AC261" t="s">
        <v>1684</v>
      </c>
      <c r="AD261" t="s">
        <v>1685</v>
      </c>
      <c r="AE261" t="s">
        <v>33</v>
      </c>
    </row>
    <row r="262" spans="1:31">
      <c r="A262" t="s">
        <v>1686</v>
      </c>
      <c r="B262" t="s">
        <v>34</v>
      </c>
      <c r="C262" t="s">
        <v>1687</v>
      </c>
      <c r="D262" t="s">
        <v>1688</v>
      </c>
      <c r="E262" t="s">
        <v>590</v>
      </c>
      <c r="F262" s="1">
        <v>46076.358958333331</v>
      </c>
      <c r="G262" t="s">
        <v>265</v>
      </c>
      <c r="H262" t="s">
        <v>776</v>
      </c>
      <c r="I262" t="s">
        <v>3671</v>
      </c>
      <c r="J262" t="s">
        <v>44</v>
      </c>
      <c r="K262" t="s">
        <v>205</v>
      </c>
      <c r="L262" t="s">
        <v>46</v>
      </c>
      <c r="M262" t="s">
        <v>379</v>
      </c>
      <c r="N262" t="s">
        <v>379</v>
      </c>
      <c r="O262" t="s">
        <v>30</v>
      </c>
      <c r="P262" s="1">
        <v>46076.361226851855</v>
      </c>
      <c r="Q262" s="1">
        <v>46076.359259259261</v>
      </c>
      <c r="R262" t="s">
        <v>38</v>
      </c>
      <c r="S262" t="s">
        <v>3132</v>
      </c>
      <c r="T262" t="s">
        <v>31</v>
      </c>
      <c r="U262" t="s">
        <v>206</v>
      </c>
      <c r="V262" t="s">
        <v>46</v>
      </c>
      <c r="W262" t="s">
        <v>379</v>
      </c>
      <c r="X262" t="s">
        <v>379</v>
      </c>
      <c r="Y262">
        <v>3026</v>
      </c>
      <c r="Z262" t="s">
        <v>3530</v>
      </c>
      <c r="AA262" t="s">
        <v>3526</v>
      </c>
      <c r="AB262" t="s">
        <v>32</v>
      </c>
      <c r="AC262" t="s">
        <v>1689</v>
      </c>
      <c r="AD262" t="s">
        <v>1690</v>
      </c>
      <c r="AE262" t="s">
        <v>33</v>
      </c>
    </row>
    <row r="263" spans="1:31">
      <c r="A263" t="s">
        <v>1691</v>
      </c>
      <c r="B263" t="s">
        <v>34</v>
      </c>
      <c r="C263" t="s">
        <v>1687</v>
      </c>
      <c r="D263" t="s">
        <v>1688</v>
      </c>
      <c r="E263" t="s">
        <v>608</v>
      </c>
      <c r="F263" s="1">
        <v>46076.356909722221</v>
      </c>
      <c r="G263" t="s">
        <v>265</v>
      </c>
      <c r="H263" t="s">
        <v>776</v>
      </c>
      <c r="I263" t="s">
        <v>3671</v>
      </c>
      <c r="J263" t="s">
        <v>44</v>
      </c>
      <c r="K263" t="s">
        <v>205</v>
      </c>
      <c r="L263" t="s">
        <v>46</v>
      </c>
      <c r="M263" t="s">
        <v>379</v>
      </c>
      <c r="N263" t="s">
        <v>379</v>
      </c>
      <c r="O263" t="s">
        <v>30</v>
      </c>
      <c r="P263" s="1">
        <v>46076.357268518521</v>
      </c>
      <c r="Q263" s="1">
        <v>46076.357245370367</v>
      </c>
      <c r="R263" t="s">
        <v>38</v>
      </c>
      <c r="S263" t="s">
        <v>3139</v>
      </c>
      <c r="T263" t="s">
        <v>31</v>
      </c>
      <c r="U263" t="s">
        <v>206</v>
      </c>
      <c r="V263" t="s">
        <v>46</v>
      </c>
      <c r="W263" t="s">
        <v>379</v>
      </c>
      <c r="X263" t="s">
        <v>379</v>
      </c>
      <c r="Y263">
        <v>3026</v>
      </c>
      <c r="Z263" t="s">
        <v>3530</v>
      </c>
      <c r="AA263" t="s">
        <v>3526</v>
      </c>
      <c r="AB263" t="s">
        <v>32</v>
      </c>
      <c r="AC263" t="s">
        <v>1689</v>
      </c>
      <c r="AD263" t="s">
        <v>1690</v>
      </c>
      <c r="AE263" t="s">
        <v>33</v>
      </c>
    </row>
    <row r="264" spans="1:31">
      <c r="A264" t="s">
        <v>1692</v>
      </c>
      <c r="B264" t="s">
        <v>34</v>
      </c>
      <c r="C264" t="s">
        <v>737</v>
      </c>
      <c r="D264" t="s">
        <v>738</v>
      </c>
      <c r="E264" t="s">
        <v>109</v>
      </c>
      <c r="F264" s="1">
        <v>46076.360798611109</v>
      </c>
      <c r="G264" t="s">
        <v>153</v>
      </c>
      <c r="H264" t="s">
        <v>776</v>
      </c>
      <c r="I264" t="s">
        <v>3669</v>
      </c>
      <c r="J264" t="s">
        <v>44</v>
      </c>
      <c r="K264" t="s">
        <v>733</v>
      </c>
      <c r="L264" t="s">
        <v>46</v>
      </c>
      <c r="M264" t="s">
        <v>110</v>
      </c>
      <c r="N264" t="s">
        <v>111</v>
      </c>
      <c r="O264" t="s">
        <v>30</v>
      </c>
      <c r="P264" s="1">
        <v>46076.361296296294</v>
      </c>
      <c r="Q264" s="1">
        <v>46076.361041666663</v>
      </c>
      <c r="R264" t="s">
        <v>38</v>
      </c>
      <c r="S264" t="s">
        <v>3147</v>
      </c>
      <c r="T264" t="s">
        <v>31</v>
      </c>
      <c r="U264" t="s">
        <v>726</v>
      </c>
      <c r="V264" t="s">
        <v>46</v>
      </c>
      <c r="W264" t="s">
        <v>110</v>
      </c>
      <c r="X264" t="s">
        <v>111</v>
      </c>
      <c r="Y264" t="s">
        <v>3577</v>
      </c>
      <c r="Z264" t="s">
        <v>3530</v>
      </c>
      <c r="AA264" t="s">
        <v>3526</v>
      </c>
      <c r="AB264" t="s">
        <v>32</v>
      </c>
      <c r="AC264" t="s">
        <v>740</v>
      </c>
      <c r="AD264" t="s">
        <v>741</v>
      </c>
      <c r="AE264" t="s">
        <v>33</v>
      </c>
    </row>
    <row r="265" spans="1:31" hidden="1">
      <c r="A265" t="s">
        <v>1694</v>
      </c>
      <c r="B265" t="s">
        <v>34</v>
      </c>
      <c r="C265" t="s">
        <v>457</v>
      </c>
      <c r="D265" t="s">
        <v>458</v>
      </c>
      <c r="E265" t="s">
        <v>212</v>
      </c>
      <c r="F265" s="1">
        <v>46076.34574074074</v>
      </c>
      <c r="G265" t="s">
        <v>62</v>
      </c>
      <c r="H265" t="s">
        <v>776</v>
      </c>
      <c r="I265" t="s">
        <v>3668</v>
      </c>
      <c r="J265" t="s">
        <v>44</v>
      </c>
      <c r="K265" t="s">
        <v>680</v>
      </c>
      <c r="L265" t="s">
        <v>162</v>
      </c>
      <c r="M265" t="s">
        <v>163</v>
      </c>
      <c r="N265" t="s">
        <v>164</v>
      </c>
      <c r="O265" t="s">
        <v>30</v>
      </c>
      <c r="P265" s="1">
        <v>46079.369490740741</v>
      </c>
      <c r="R265" t="s">
        <v>90</v>
      </c>
      <c r="T265" t="s">
        <v>31</v>
      </c>
      <c r="U265" t="s">
        <v>104</v>
      </c>
      <c r="Y265">
        <v>15898</v>
      </c>
      <c r="Z265" t="s">
        <v>3536</v>
      </c>
      <c r="AA265" t="s">
        <v>3539</v>
      </c>
      <c r="AB265" t="s">
        <v>32</v>
      </c>
      <c r="AC265" t="s">
        <v>461</v>
      </c>
      <c r="AD265" t="s">
        <v>462</v>
      </c>
      <c r="AE265" t="s">
        <v>33</v>
      </c>
    </row>
    <row r="266" spans="1:31">
      <c r="A266" t="s">
        <v>1698</v>
      </c>
      <c r="B266" t="s">
        <v>34</v>
      </c>
      <c r="C266" t="s">
        <v>1659</v>
      </c>
      <c r="D266" t="s">
        <v>1660</v>
      </c>
      <c r="E266" t="s">
        <v>109</v>
      </c>
      <c r="F266" s="1">
        <v>46076.341620370367</v>
      </c>
      <c r="G266" t="s">
        <v>26</v>
      </c>
      <c r="H266" t="s">
        <v>776</v>
      </c>
      <c r="I266" t="s">
        <v>3665</v>
      </c>
      <c r="J266" t="s">
        <v>44</v>
      </c>
      <c r="K266" t="s">
        <v>1149</v>
      </c>
      <c r="L266" t="s">
        <v>46</v>
      </c>
      <c r="M266" t="s">
        <v>110</v>
      </c>
      <c r="N266" t="s">
        <v>111</v>
      </c>
      <c r="O266" t="s">
        <v>30</v>
      </c>
      <c r="P266" s="1">
        <v>46076.343333333331</v>
      </c>
      <c r="Q266" s="1">
        <v>46076.34202546296</v>
      </c>
      <c r="R266" t="s">
        <v>38</v>
      </c>
      <c r="S266" t="s">
        <v>3193</v>
      </c>
      <c r="T266" t="s">
        <v>31</v>
      </c>
      <c r="U266" t="s">
        <v>1150</v>
      </c>
      <c r="V266" t="s">
        <v>46</v>
      </c>
      <c r="W266" t="s">
        <v>110</v>
      </c>
      <c r="X266" t="s">
        <v>111</v>
      </c>
      <c r="Y266" t="s">
        <v>3616</v>
      </c>
      <c r="Z266" t="s">
        <v>3530</v>
      </c>
      <c r="AA266" t="s">
        <v>3526</v>
      </c>
      <c r="AB266" t="s">
        <v>32</v>
      </c>
      <c r="AC266" t="s">
        <v>1661</v>
      </c>
      <c r="AD266" t="s">
        <v>1662</v>
      </c>
      <c r="AE266" t="s">
        <v>33</v>
      </c>
    </row>
    <row r="267" spans="1:31" hidden="1">
      <c r="A267" t="s">
        <v>1704</v>
      </c>
      <c r="B267" t="s">
        <v>24</v>
      </c>
      <c r="C267" t="s">
        <v>346</v>
      </c>
      <c r="D267" t="s">
        <v>1705</v>
      </c>
      <c r="E267" t="s">
        <v>1706</v>
      </c>
      <c r="F267" s="1">
        <v>46076.338807870372</v>
      </c>
      <c r="G267" t="s">
        <v>226</v>
      </c>
      <c r="H267" t="s">
        <v>776</v>
      </c>
      <c r="I267" t="s">
        <v>3665</v>
      </c>
      <c r="J267" t="s">
        <v>134</v>
      </c>
      <c r="K267" t="s">
        <v>494</v>
      </c>
      <c r="L267" t="s">
        <v>46</v>
      </c>
      <c r="M267" t="s">
        <v>495</v>
      </c>
      <c r="N267" t="s">
        <v>1649</v>
      </c>
      <c r="O267" t="s">
        <v>86</v>
      </c>
      <c r="P267" s="1">
        <v>46077.493206018517</v>
      </c>
      <c r="Q267" s="1">
        <v>46077.493090277778</v>
      </c>
      <c r="R267" t="s">
        <v>38</v>
      </c>
      <c r="S267" t="e">
        <f>- the Faulty Monitor has been replaced. - issue resolved.</f>
        <v>#NAME?</v>
      </c>
      <c r="T267" t="s">
        <v>31</v>
      </c>
      <c r="U267" t="s">
        <v>1150</v>
      </c>
      <c r="V267" t="s">
        <v>46</v>
      </c>
      <c r="W267" t="s">
        <v>365</v>
      </c>
      <c r="X267" t="s">
        <v>366</v>
      </c>
      <c r="Y267">
        <v>15128</v>
      </c>
      <c r="Z267" t="s">
        <v>3530</v>
      </c>
      <c r="AA267" t="s">
        <v>3526</v>
      </c>
      <c r="AB267" t="s">
        <v>32</v>
      </c>
      <c r="AC267" t="s">
        <v>1707</v>
      </c>
      <c r="AD267" t="s">
        <v>1708</v>
      </c>
      <c r="AE267" t="s">
        <v>33</v>
      </c>
    </row>
    <row r="268" spans="1:31" hidden="1">
      <c r="A268" t="s">
        <v>1709</v>
      </c>
      <c r="B268" t="s">
        <v>34</v>
      </c>
      <c r="C268" t="s">
        <v>1710</v>
      </c>
      <c r="D268" t="s">
        <v>1711</v>
      </c>
      <c r="E268" t="s">
        <v>252</v>
      </c>
      <c r="F268" s="1">
        <v>46076.331828703704</v>
      </c>
      <c r="G268" t="s">
        <v>153</v>
      </c>
      <c r="H268" t="s">
        <v>776</v>
      </c>
      <c r="I268" t="s">
        <v>3669</v>
      </c>
      <c r="J268" t="s">
        <v>44</v>
      </c>
      <c r="K268" t="s">
        <v>411</v>
      </c>
      <c r="L268" t="s">
        <v>162</v>
      </c>
      <c r="M268" t="s">
        <v>163</v>
      </c>
      <c r="N268" t="s">
        <v>164</v>
      </c>
      <c r="O268" t="s">
        <v>30</v>
      </c>
      <c r="P268" s="1">
        <v>46079.310740740744</v>
      </c>
      <c r="R268" t="s">
        <v>90</v>
      </c>
      <c r="T268" t="s">
        <v>31</v>
      </c>
      <c r="U268" t="s">
        <v>104</v>
      </c>
      <c r="Y268" t="s">
        <v>3619</v>
      </c>
      <c r="Z268" t="s">
        <v>3536</v>
      </c>
      <c r="AA268" t="s">
        <v>3552</v>
      </c>
      <c r="AB268" t="s">
        <v>32</v>
      </c>
      <c r="AC268" t="s">
        <v>1712</v>
      </c>
      <c r="AD268" t="s">
        <v>1713</v>
      </c>
      <c r="AE268" t="s">
        <v>33</v>
      </c>
    </row>
    <row r="269" spans="1:31" hidden="1">
      <c r="A269" t="s">
        <v>1714</v>
      </c>
      <c r="B269" t="s">
        <v>34</v>
      </c>
      <c r="C269" t="s">
        <v>1715</v>
      </c>
      <c r="D269" t="s">
        <v>1716</v>
      </c>
      <c r="E269" t="s">
        <v>764</v>
      </c>
      <c r="F269" s="1">
        <v>46076.330671296295</v>
      </c>
      <c r="G269" t="s">
        <v>242</v>
      </c>
      <c r="H269" t="s">
        <v>776</v>
      </c>
      <c r="I269" t="s">
        <v>3671</v>
      </c>
      <c r="J269" t="s">
        <v>44</v>
      </c>
      <c r="K269" t="s">
        <v>1149</v>
      </c>
      <c r="L269" t="s">
        <v>46</v>
      </c>
      <c r="M269" t="s">
        <v>274</v>
      </c>
      <c r="N269" t="s">
        <v>275</v>
      </c>
      <c r="O269" t="s">
        <v>30</v>
      </c>
      <c r="P269" s="1">
        <v>46079.287245370368</v>
      </c>
      <c r="R269" t="s">
        <v>90</v>
      </c>
      <c r="T269" t="s">
        <v>31</v>
      </c>
      <c r="U269" t="s">
        <v>1150</v>
      </c>
      <c r="Y269">
        <v>10604</v>
      </c>
      <c r="Z269" t="s">
        <v>3530</v>
      </c>
      <c r="AA269" t="s">
        <v>3541</v>
      </c>
      <c r="AB269" t="s">
        <v>32</v>
      </c>
      <c r="AC269" t="s">
        <v>1717</v>
      </c>
      <c r="AD269" t="s">
        <v>1718</v>
      </c>
      <c r="AE269" t="s">
        <v>33</v>
      </c>
    </row>
    <row r="270" spans="1:31" hidden="1">
      <c r="A270" t="s">
        <v>1719</v>
      </c>
      <c r="B270" t="s">
        <v>34</v>
      </c>
      <c r="C270" t="s">
        <v>688</v>
      </c>
      <c r="D270" t="s">
        <v>1720</v>
      </c>
      <c r="E270" t="s">
        <v>95</v>
      </c>
      <c r="F270" s="1">
        <v>46076.316041666665</v>
      </c>
      <c r="G270" t="s">
        <v>482</v>
      </c>
      <c r="H270" t="s">
        <v>776</v>
      </c>
      <c r="I270" t="s">
        <v>3668</v>
      </c>
      <c r="J270" t="s">
        <v>134</v>
      </c>
      <c r="K270" t="s">
        <v>675</v>
      </c>
      <c r="L270" t="s">
        <v>162</v>
      </c>
      <c r="M270" t="s">
        <v>163</v>
      </c>
      <c r="N270" t="s">
        <v>164</v>
      </c>
      <c r="O270" t="s">
        <v>30</v>
      </c>
      <c r="P270" s="1">
        <v>46079.339849537035</v>
      </c>
      <c r="R270" t="s">
        <v>90</v>
      </c>
      <c r="T270" t="s">
        <v>31</v>
      </c>
      <c r="U270" t="s">
        <v>104</v>
      </c>
      <c r="Y270" t="s">
        <v>3620</v>
      </c>
      <c r="Z270" t="s">
        <v>3536</v>
      </c>
      <c r="AA270" t="s">
        <v>3570</v>
      </c>
      <c r="AB270" t="s">
        <v>32</v>
      </c>
      <c r="AC270" t="s">
        <v>1721</v>
      </c>
      <c r="AD270" t="s">
        <v>1722</v>
      </c>
      <c r="AE270" t="s">
        <v>33</v>
      </c>
    </row>
    <row r="271" spans="1:31">
      <c r="A271" t="s">
        <v>1723</v>
      </c>
      <c r="B271" t="s">
        <v>34</v>
      </c>
      <c r="C271" t="s">
        <v>1724</v>
      </c>
      <c r="D271" t="s">
        <v>1725</v>
      </c>
      <c r="E271" t="s">
        <v>1158</v>
      </c>
      <c r="F271" s="1">
        <v>46076.312175925923</v>
      </c>
      <c r="G271" t="s">
        <v>101</v>
      </c>
      <c r="H271" t="s">
        <v>776</v>
      </c>
      <c r="I271" t="s">
        <v>3667</v>
      </c>
      <c r="J271" t="s">
        <v>44</v>
      </c>
      <c r="K271" t="s">
        <v>1149</v>
      </c>
      <c r="L271" t="s">
        <v>46</v>
      </c>
      <c r="M271" t="s">
        <v>379</v>
      </c>
      <c r="N271" t="s">
        <v>379</v>
      </c>
      <c r="O271" t="s">
        <v>30</v>
      </c>
      <c r="P271" s="1">
        <v>46076.313969907409</v>
      </c>
      <c r="Q271" s="1">
        <v>46076.312534722223</v>
      </c>
      <c r="R271" t="s">
        <v>38</v>
      </c>
      <c r="S271" t="s">
        <v>3195</v>
      </c>
      <c r="T271" t="s">
        <v>31</v>
      </c>
      <c r="U271" t="s">
        <v>1150</v>
      </c>
      <c r="V271" t="s">
        <v>46</v>
      </c>
      <c r="W271" t="s">
        <v>379</v>
      </c>
      <c r="X271" t="s">
        <v>379</v>
      </c>
      <c r="Y271">
        <v>12796</v>
      </c>
      <c r="Z271" t="s">
        <v>3530</v>
      </c>
      <c r="AA271" t="s">
        <v>3526</v>
      </c>
      <c r="AB271" t="s">
        <v>32</v>
      </c>
      <c r="AC271" t="s">
        <v>1726</v>
      </c>
      <c r="AD271" t="s">
        <v>1727</v>
      </c>
      <c r="AE271" t="s">
        <v>33</v>
      </c>
    </row>
    <row r="272" spans="1:31">
      <c r="A272" t="s">
        <v>1728</v>
      </c>
      <c r="B272" t="s">
        <v>34</v>
      </c>
      <c r="C272" t="s">
        <v>914</v>
      </c>
      <c r="D272" t="s">
        <v>235</v>
      </c>
      <c r="E272" t="s">
        <v>109</v>
      </c>
      <c r="F272" s="1">
        <v>46076.307187500002</v>
      </c>
      <c r="G272" t="s">
        <v>555</v>
      </c>
      <c r="H272" t="s">
        <v>776</v>
      </c>
      <c r="I272" t="s">
        <v>3666</v>
      </c>
      <c r="J272" t="s">
        <v>44</v>
      </c>
      <c r="K272" t="s">
        <v>1149</v>
      </c>
      <c r="L272" t="s">
        <v>46</v>
      </c>
      <c r="M272" t="s">
        <v>110</v>
      </c>
      <c r="N272" t="s">
        <v>111</v>
      </c>
      <c r="O272" t="s">
        <v>30</v>
      </c>
      <c r="P272" s="1">
        <v>46076.30909722222</v>
      </c>
      <c r="Q272" s="1">
        <v>46076.308125000003</v>
      </c>
      <c r="R272" t="s">
        <v>38</v>
      </c>
      <c r="S272" t="s">
        <v>3193</v>
      </c>
      <c r="T272" t="s">
        <v>31</v>
      </c>
      <c r="U272" t="s">
        <v>1150</v>
      </c>
      <c r="V272" t="s">
        <v>46</v>
      </c>
      <c r="W272" t="s">
        <v>110</v>
      </c>
      <c r="X272" t="s">
        <v>111</v>
      </c>
      <c r="Y272">
        <v>12083</v>
      </c>
      <c r="Z272" t="s">
        <v>3530</v>
      </c>
      <c r="AA272" t="s">
        <v>3526</v>
      </c>
      <c r="AB272" t="s">
        <v>32</v>
      </c>
      <c r="AC272" t="s">
        <v>1085</v>
      </c>
      <c r="AD272" t="s">
        <v>1086</v>
      </c>
      <c r="AE272" t="s">
        <v>33</v>
      </c>
    </row>
    <row r="273" spans="1:31">
      <c r="A273" t="s">
        <v>1729</v>
      </c>
      <c r="B273" t="s">
        <v>34</v>
      </c>
      <c r="C273" t="s">
        <v>1730</v>
      </c>
      <c r="D273" t="s">
        <v>172</v>
      </c>
      <c r="E273" t="s">
        <v>109</v>
      </c>
      <c r="F273" s="1">
        <v>46076.287719907406</v>
      </c>
      <c r="G273" t="s">
        <v>702</v>
      </c>
      <c r="H273" t="s">
        <v>776</v>
      </c>
      <c r="I273" t="s">
        <v>3670</v>
      </c>
      <c r="J273" t="s">
        <v>44</v>
      </c>
      <c r="K273" t="s">
        <v>1149</v>
      </c>
      <c r="L273" t="s">
        <v>46</v>
      </c>
      <c r="M273" t="s">
        <v>110</v>
      </c>
      <c r="N273" t="s">
        <v>111</v>
      </c>
      <c r="O273" t="s">
        <v>30</v>
      </c>
      <c r="P273" s="1">
        <v>46076.289583333331</v>
      </c>
      <c r="Q273" s="1">
        <v>46076.288449074076</v>
      </c>
      <c r="R273" t="s">
        <v>38</v>
      </c>
      <c r="S273" t="s">
        <v>3193</v>
      </c>
      <c r="T273" t="s">
        <v>31</v>
      </c>
      <c r="U273" t="s">
        <v>1150</v>
      </c>
      <c r="V273" t="s">
        <v>46</v>
      </c>
      <c r="W273" t="s">
        <v>110</v>
      </c>
      <c r="X273" t="s">
        <v>111</v>
      </c>
      <c r="Y273">
        <v>4372</v>
      </c>
      <c r="Z273" t="s">
        <v>3530</v>
      </c>
      <c r="AA273" t="s">
        <v>3526</v>
      </c>
      <c r="AB273" t="s">
        <v>32</v>
      </c>
      <c r="AC273" t="s">
        <v>1731</v>
      </c>
      <c r="AD273" t="s">
        <v>1732</v>
      </c>
      <c r="AE273" t="s">
        <v>33</v>
      </c>
    </row>
    <row r="274" spans="1:31">
      <c r="A274" t="s">
        <v>1733</v>
      </c>
      <c r="B274" t="s">
        <v>34</v>
      </c>
      <c r="C274" t="s">
        <v>115</v>
      </c>
      <c r="D274" t="s">
        <v>383</v>
      </c>
      <c r="E274" t="s">
        <v>1158</v>
      </c>
      <c r="F274" s="1">
        <v>46076.266608796293</v>
      </c>
      <c r="G274" t="s">
        <v>101</v>
      </c>
      <c r="H274" t="s">
        <v>776</v>
      </c>
      <c r="I274" t="s">
        <v>3667</v>
      </c>
      <c r="J274" t="s">
        <v>44</v>
      </c>
      <c r="K274" t="s">
        <v>1149</v>
      </c>
      <c r="L274" t="s">
        <v>46</v>
      </c>
      <c r="M274" t="s">
        <v>379</v>
      </c>
      <c r="N274" t="s">
        <v>379</v>
      </c>
      <c r="O274" t="s">
        <v>30</v>
      </c>
      <c r="P274" s="1">
        <v>46076.26803240741</v>
      </c>
      <c r="Q274" s="1">
        <v>46076.267592592594</v>
      </c>
      <c r="R274" t="s">
        <v>38</v>
      </c>
      <c r="S274" t="s">
        <v>3195</v>
      </c>
      <c r="T274" t="s">
        <v>31</v>
      </c>
      <c r="U274" t="s">
        <v>1150</v>
      </c>
      <c r="V274" t="s">
        <v>46</v>
      </c>
      <c r="W274" t="s">
        <v>379</v>
      </c>
      <c r="X274" t="s">
        <v>379</v>
      </c>
      <c r="Y274">
        <v>6102</v>
      </c>
      <c r="Z274" t="s">
        <v>3530</v>
      </c>
      <c r="AA274" t="s">
        <v>3526</v>
      </c>
      <c r="AB274" t="s">
        <v>32</v>
      </c>
      <c r="AC274" t="s">
        <v>1734</v>
      </c>
      <c r="AD274" t="s">
        <v>1735</v>
      </c>
      <c r="AE274" t="s">
        <v>33</v>
      </c>
    </row>
    <row r="275" spans="1:31">
      <c r="A275" t="s">
        <v>1736</v>
      </c>
      <c r="B275" t="s">
        <v>34</v>
      </c>
      <c r="C275" t="s">
        <v>1737</v>
      </c>
      <c r="D275" t="s">
        <v>244</v>
      </c>
      <c r="E275" t="s">
        <v>1738</v>
      </c>
      <c r="F275" s="1">
        <v>46076.265648148146</v>
      </c>
      <c r="G275" t="s">
        <v>62</v>
      </c>
      <c r="H275" t="s">
        <v>776</v>
      </c>
      <c r="I275" t="s">
        <v>3668</v>
      </c>
      <c r="J275" t="s">
        <v>44</v>
      </c>
      <c r="K275" t="s">
        <v>1149</v>
      </c>
      <c r="L275" t="s">
        <v>46</v>
      </c>
      <c r="M275" t="s">
        <v>348</v>
      </c>
      <c r="N275" t="s">
        <v>506</v>
      </c>
      <c r="O275" t="s">
        <v>30</v>
      </c>
      <c r="P275" s="1">
        <v>46076.267326388886</v>
      </c>
      <c r="Q275" s="1">
        <v>46076.267314814817</v>
      </c>
      <c r="R275" t="s">
        <v>38</v>
      </c>
      <c r="S275" t="s">
        <v>3196</v>
      </c>
      <c r="T275" t="s">
        <v>31</v>
      </c>
      <c r="U275" t="s">
        <v>1150</v>
      </c>
      <c r="V275" t="s">
        <v>46</v>
      </c>
      <c r="W275" t="s">
        <v>348</v>
      </c>
      <c r="X275" t="s">
        <v>3197</v>
      </c>
      <c r="Y275" t="s">
        <v>3621</v>
      </c>
      <c r="Z275" t="s">
        <v>3530</v>
      </c>
      <c r="AA275" t="s">
        <v>3526</v>
      </c>
      <c r="AB275" t="s">
        <v>32</v>
      </c>
      <c r="AC275" t="s">
        <v>1739</v>
      </c>
      <c r="AD275" t="s">
        <v>1740</v>
      </c>
      <c r="AE275" t="s">
        <v>33</v>
      </c>
    </row>
    <row r="276" spans="1:31">
      <c r="A276" t="s">
        <v>1741</v>
      </c>
      <c r="B276" t="s">
        <v>34</v>
      </c>
      <c r="C276" t="s">
        <v>1742</v>
      </c>
      <c r="D276" t="s">
        <v>1743</v>
      </c>
      <c r="E276" t="s">
        <v>109</v>
      </c>
      <c r="F276" s="1">
        <v>46076.260694444441</v>
      </c>
      <c r="G276" t="s">
        <v>153</v>
      </c>
      <c r="H276" t="s">
        <v>776</v>
      </c>
      <c r="I276" t="s">
        <v>3669</v>
      </c>
      <c r="J276" t="s">
        <v>44</v>
      </c>
      <c r="K276" t="s">
        <v>1149</v>
      </c>
      <c r="L276" t="s">
        <v>46</v>
      </c>
      <c r="M276" t="s">
        <v>110</v>
      </c>
      <c r="N276" t="s">
        <v>111</v>
      </c>
      <c r="O276" t="s">
        <v>30</v>
      </c>
      <c r="P276" s="1">
        <v>46076.266979166663</v>
      </c>
      <c r="Q276" s="1">
        <v>46076.266967592594</v>
      </c>
      <c r="R276" t="s">
        <v>38</v>
      </c>
      <c r="S276" t="s">
        <v>3193</v>
      </c>
      <c r="T276" t="s">
        <v>31</v>
      </c>
      <c r="U276" t="s">
        <v>1150</v>
      </c>
      <c r="V276" t="s">
        <v>46</v>
      </c>
      <c r="W276" t="s">
        <v>110</v>
      </c>
      <c r="X276" t="s">
        <v>111</v>
      </c>
      <c r="Y276" t="s">
        <v>3622</v>
      </c>
      <c r="Z276" t="s">
        <v>3530</v>
      </c>
      <c r="AA276" t="s">
        <v>3526</v>
      </c>
      <c r="AB276" t="s">
        <v>32</v>
      </c>
      <c r="AC276" t="s">
        <v>1744</v>
      </c>
      <c r="AD276" t="s">
        <v>1745</v>
      </c>
      <c r="AE276" t="s">
        <v>33</v>
      </c>
    </row>
    <row r="277" spans="1:31">
      <c r="A277" t="s">
        <v>1746</v>
      </c>
      <c r="B277" t="s">
        <v>34</v>
      </c>
      <c r="C277" t="s">
        <v>1147</v>
      </c>
      <c r="D277" t="s">
        <v>1148</v>
      </c>
      <c r="E277" t="s">
        <v>109</v>
      </c>
      <c r="F277" s="1">
        <v>46076.259363425925</v>
      </c>
      <c r="G277" t="s">
        <v>153</v>
      </c>
      <c r="H277" t="s">
        <v>776</v>
      </c>
      <c r="I277" t="s">
        <v>3669</v>
      </c>
      <c r="J277" t="s">
        <v>44</v>
      </c>
      <c r="K277" t="s">
        <v>1149</v>
      </c>
      <c r="L277" t="s">
        <v>46</v>
      </c>
      <c r="M277" t="s">
        <v>110</v>
      </c>
      <c r="N277" t="s">
        <v>111</v>
      </c>
      <c r="O277" t="s">
        <v>30</v>
      </c>
      <c r="P277" s="1">
        <v>46076.266828703701</v>
      </c>
      <c r="Q277" s="1">
        <v>46076.266805555555</v>
      </c>
      <c r="R277" t="s">
        <v>38</v>
      </c>
      <c r="S277" t="s">
        <v>3193</v>
      </c>
      <c r="T277" t="s">
        <v>31</v>
      </c>
      <c r="U277" t="s">
        <v>1150</v>
      </c>
      <c r="V277" t="s">
        <v>46</v>
      </c>
      <c r="W277" t="s">
        <v>110</v>
      </c>
      <c r="X277" t="s">
        <v>111</v>
      </c>
      <c r="Z277" t="s">
        <v>3530</v>
      </c>
      <c r="AA277" t="s">
        <v>3526</v>
      </c>
      <c r="AB277" t="s">
        <v>32</v>
      </c>
      <c r="AC277" t="s">
        <v>739</v>
      </c>
      <c r="AD277" t="s">
        <v>1151</v>
      </c>
      <c r="AE277" t="s">
        <v>33</v>
      </c>
    </row>
    <row r="278" spans="1:31" hidden="1">
      <c r="A278" t="s">
        <v>1751</v>
      </c>
      <c r="B278" t="s">
        <v>34</v>
      </c>
      <c r="C278" t="s">
        <v>769</v>
      </c>
      <c r="D278" t="s">
        <v>770</v>
      </c>
      <c r="E278" t="s">
        <v>1752</v>
      </c>
      <c r="F278" s="1">
        <v>46076.093761574077</v>
      </c>
      <c r="G278" t="s">
        <v>62</v>
      </c>
      <c r="H278" t="s">
        <v>776</v>
      </c>
      <c r="I278" t="s">
        <v>3668</v>
      </c>
      <c r="J278" t="s">
        <v>651</v>
      </c>
      <c r="K278" t="s">
        <v>772</v>
      </c>
      <c r="L278" t="s">
        <v>46</v>
      </c>
      <c r="M278" t="s">
        <v>751</v>
      </c>
      <c r="N278" t="s">
        <v>752</v>
      </c>
      <c r="O278" t="s">
        <v>30</v>
      </c>
      <c r="P278" s="1">
        <v>46077.968101851853</v>
      </c>
      <c r="Q278" s="1">
        <v>46077.968078703707</v>
      </c>
      <c r="R278" t="s">
        <v>38</v>
      </c>
      <c r="S278" t="s">
        <v>3257</v>
      </c>
      <c r="T278" t="s">
        <v>31</v>
      </c>
      <c r="U278" t="s">
        <v>1150</v>
      </c>
      <c r="V278" t="s">
        <v>46</v>
      </c>
      <c r="W278" t="s">
        <v>751</v>
      </c>
      <c r="X278" t="s">
        <v>752</v>
      </c>
      <c r="Y278" t="s">
        <v>3580</v>
      </c>
      <c r="Z278" t="s">
        <v>3525</v>
      </c>
      <c r="AA278" t="s">
        <v>3529</v>
      </c>
      <c r="AB278" t="s">
        <v>32</v>
      </c>
      <c r="AC278" t="s">
        <v>773</v>
      </c>
      <c r="AD278" t="s">
        <v>774</v>
      </c>
      <c r="AE278" t="s">
        <v>33</v>
      </c>
    </row>
    <row r="279" spans="1:31" hidden="1">
      <c r="A279" t="s">
        <v>1753</v>
      </c>
      <c r="B279" t="s">
        <v>34</v>
      </c>
      <c r="C279" t="s">
        <v>261</v>
      </c>
      <c r="D279" t="s">
        <v>1754</v>
      </c>
      <c r="E279" t="s">
        <v>1755</v>
      </c>
      <c r="F279" s="1">
        <v>46076.09107638889</v>
      </c>
      <c r="G279" t="s">
        <v>153</v>
      </c>
      <c r="H279" t="s">
        <v>776</v>
      </c>
      <c r="I279" t="s">
        <v>3669</v>
      </c>
      <c r="J279" t="s">
        <v>134</v>
      </c>
      <c r="K279" t="s">
        <v>765</v>
      </c>
      <c r="L279" t="s">
        <v>46</v>
      </c>
      <c r="M279" t="s">
        <v>751</v>
      </c>
      <c r="N279" t="s">
        <v>752</v>
      </c>
      <c r="O279" t="s">
        <v>30</v>
      </c>
      <c r="P279" s="1">
        <v>46079.287233796298</v>
      </c>
      <c r="R279" t="s">
        <v>90</v>
      </c>
      <c r="T279" t="s">
        <v>31</v>
      </c>
      <c r="U279" t="s">
        <v>1150</v>
      </c>
      <c r="Y279" t="s">
        <v>3623</v>
      </c>
      <c r="Z279" t="s">
        <v>3525</v>
      </c>
      <c r="AA279" t="s">
        <v>3541</v>
      </c>
      <c r="AB279" t="s">
        <v>32</v>
      </c>
      <c r="AC279" t="s">
        <v>1756</v>
      </c>
      <c r="AD279" t="s">
        <v>1757</v>
      </c>
      <c r="AE279" t="s">
        <v>33</v>
      </c>
    </row>
    <row r="280" spans="1:31" hidden="1">
      <c r="A280" t="s">
        <v>1758</v>
      </c>
      <c r="B280" t="s">
        <v>34</v>
      </c>
      <c r="C280" t="s">
        <v>611</v>
      </c>
      <c r="D280" t="s">
        <v>612</v>
      </c>
      <c r="E280" t="s">
        <v>1755</v>
      </c>
      <c r="F280" s="1">
        <v>46076.089965277781</v>
      </c>
      <c r="G280" t="s">
        <v>238</v>
      </c>
      <c r="H280" t="s">
        <v>776</v>
      </c>
      <c r="I280" t="s">
        <v>3665</v>
      </c>
      <c r="J280" t="s">
        <v>134</v>
      </c>
      <c r="K280" t="s">
        <v>817</v>
      </c>
      <c r="L280" t="s">
        <v>46</v>
      </c>
      <c r="M280" t="s">
        <v>751</v>
      </c>
      <c r="N280" t="s">
        <v>752</v>
      </c>
      <c r="O280" t="s">
        <v>30</v>
      </c>
      <c r="P280" s="1">
        <v>46077.322662037041</v>
      </c>
      <c r="Q280" s="1">
        <v>46077.322627314818</v>
      </c>
      <c r="R280" t="s">
        <v>38</v>
      </c>
      <c r="S280" t="s">
        <v>3258</v>
      </c>
      <c r="T280" t="s">
        <v>31</v>
      </c>
      <c r="U280" t="s">
        <v>1150</v>
      </c>
      <c r="V280" t="s">
        <v>46</v>
      </c>
      <c r="W280" t="s">
        <v>751</v>
      </c>
      <c r="X280" t="s">
        <v>752</v>
      </c>
      <c r="Y280" t="s">
        <v>3565</v>
      </c>
      <c r="Z280" t="s">
        <v>3525</v>
      </c>
      <c r="AA280" t="s">
        <v>3526</v>
      </c>
      <c r="AB280" t="s">
        <v>32</v>
      </c>
      <c r="AC280" t="s">
        <v>613</v>
      </c>
      <c r="AD280" t="s">
        <v>614</v>
      </c>
      <c r="AE280" t="s">
        <v>33</v>
      </c>
    </row>
    <row r="281" spans="1:31" hidden="1">
      <c r="A281" t="s">
        <v>1759</v>
      </c>
      <c r="B281" t="s">
        <v>34</v>
      </c>
      <c r="C281" t="s">
        <v>1760</v>
      </c>
      <c r="D281" t="s">
        <v>1761</v>
      </c>
      <c r="E281" t="s">
        <v>1755</v>
      </c>
      <c r="F281" s="1">
        <v>46076.087766203702</v>
      </c>
      <c r="G281" t="s">
        <v>210</v>
      </c>
      <c r="H281" t="s">
        <v>776</v>
      </c>
      <c r="I281" t="s">
        <v>3667</v>
      </c>
      <c r="J281" t="s">
        <v>134</v>
      </c>
      <c r="K281" t="s">
        <v>273</v>
      </c>
      <c r="L281" t="s">
        <v>46</v>
      </c>
      <c r="M281" t="s">
        <v>751</v>
      </c>
      <c r="N281" t="s">
        <v>752</v>
      </c>
      <c r="O281" t="s">
        <v>30</v>
      </c>
      <c r="P281" s="1">
        <v>46078.34747685185</v>
      </c>
      <c r="Q281" s="1">
        <v>46078.34746527778</v>
      </c>
      <c r="R281" t="s">
        <v>38</v>
      </c>
      <c r="S281" t="s">
        <v>3259</v>
      </c>
      <c r="T281" t="s">
        <v>31</v>
      </c>
      <c r="U281" t="s">
        <v>1150</v>
      </c>
      <c r="V281" t="s">
        <v>46</v>
      </c>
      <c r="W281" t="s">
        <v>751</v>
      </c>
      <c r="X281" t="s">
        <v>752</v>
      </c>
      <c r="Y281" t="s">
        <v>3624</v>
      </c>
      <c r="Z281" t="s">
        <v>3525</v>
      </c>
      <c r="AA281" t="s">
        <v>3526</v>
      </c>
      <c r="AB281" t="s">
        <v>32</v>
      </c>
      <c r="AC281" t="s">
        <v>1762</v>
      </c>
      <c r="AD281" t="s">
        <v>1763</v>
      </c>
      <c r="AE281" t="s">
        <v>33</v>
      </c>
    </row>
    <row r="282" spans="1:31" hidden="1">
      <c r="A282" t="s">
        <v>1764</v>
      </c>
      <c r="B282" t="s">
        <v>34</v>
      </c>
      <c r="C282" t="s">
        <v>1765</v>
      </c>
      <c r="D282" t="s">
        <v>1766</v>
      </c>
      <c r="E282" t="s">
        <v>1755</v>
      </c>
      <c r="F282" s="1">
        <v>46076.086643518516</v>
      </c>
      <c r="G282" t="s">
        <v>132</v>
      </c>
      <c r="H282" t="s">
        <v>776</v>
      </c>
      <c r="I282" t="s">
        <v>3665</v>
      </c>
      <c r="J282" t="s">
        <v>134</v>
      </c>
      <c r="K282" t="s">
        <v>817</v>
      </c>
      <c r="L282" t="s">
        <v>46</v>
      </c>
      <c r="M282" t="s">
        <v>751</v>
      </c>
      <c r="N282" t="s">
        <v>752</v>
      </c>
      <c r="O282" t="s">
        <v>30</v>
      </c>
      <c r="P282" s="1">
        <v>46078.356724537036</v>
      </c>
      <c r="Q282" s="1">
        <v>46078.356712962966</v>
      </c>
      <c r="R282" t="s">
        <v>38</v>
      </c>
      <c r="S282" t="s">
        <v>3260</v>
      </c>
      <c r="T282" t="s">
        <v>31</v>
      </c>
      <c r="U282" t="s">
        <v>1150</v>
      </c>
      <c r="V282" t="s">
        <v>46</v>
      </c>
      <c r="W282" t="s">
        <v>751</v>
      </c>
      <c r="X282" t="s">
        <v>752</v>
      </c>
      <c r="Y282" t="s">
        <v>3625</v>
      </c>
      <c r="Z282" t="s">
        <v>3525</v>
      </c>
      <c r="AA282" t="s">
        <v>3526</v>
      </c>
      <c r="AB282" t="s">
        <v>32</v>
      </c>
      <c r="AC282" t="s">
        <v>1767</v>
      </c>
      <c r="AD282" t="s">
        <v>1768</v>
      </c>
      <c r="AE282" t="s">
        <v>33</v>
      </c>
    </row>
    <row r="283" spans="1:31" hidden="1">
      <c r="A283" t="s">
        <v>1769</v>
      </c>
      <c r="B283" t="s">
        <v>34</v>
      </c>
      <c r="C283" t="s">
        <v>1770</v>
      </c>
      <c r="D283" t="s">
        <v>1771</v>
      </c>
      <c r="E283" t="s">
        <v>1755</v>
      </c>
      <c r="F283" s="1">
        <v>46076.085081018522</v>
      </c>
      <c r="G283" t="s">
        <v>153</v>
      </c>
      <c r="H283" t="s">
        <v>776</v>
      </c>
      <c r="I283" t="s">
        <v>3669</v>
      </c>
      <c r="J283" t="s">
        <v>134</v>
      </c>
      <c r="K283" t="s">
        <v>231</v>
      </c>
      <c r="L283" t="s">
        <v>46</v>
      </c>
      <c r="M283" t="s">
        <v>751</v>
      </c>
      <c r="N283" t="s">
        <v>752</v>
      </c>
      <c r="O283" t="s">
        <v>30</v>
      </c>
      <c r="P283" s="1">
        <v>46078.46261574074</v>
      </c>
      <c r="Q283" s="1">
        <v>46078.462592592594</v>
      </c>
      <c r="R283" t="s">
        <v>38</v>
      </c>
      <c r="S283" t="s">
        <v>3261</v>
      </c>
      <c r="T283" t="s">
        <v>31</v>
      </c>
      <c r="U283" t="s">
        <v>1150</v>
      </c>
      <c r="V283" t="s">
        <v>46</v>
      </c>
      <c r="W283" t="s">
        <v>751</v>
      </c>
      <c r="X283" t="s">
        <v>752</v>
      </c>
      <c r="Y283">
        <v>14868</v>
      </c>
      <c r="Z283" t="s">
        <v>3525</v>
      </c>
      <c r="AA283" t="s">
        <v>3526</v>
      </c>
      <c r="AB283" t="s">
        <v>32</v>
      </c>
      <c r="AC283" t="s">
        <v>1772</v>
      </c>
      <c r="AD283" t="s">
        <v>1773</v>
      </c>
      <c r="AE283" t="s">
        <v>33</v>
      </c>
    </row>
    <row r="284" spans="1:31" hidden="1">
      <c r="A284" t="s">
        <v>1774</v>
      </c>
      <c r="B284" t="s">
        <v>34</v>
      </c>
      <c r="C284" t="s">
        <v>800</v>
      </c>
      <c r="D284" t="s">
        <v>800</v>
      </c>
      <c r="E284" t="s">
        <v>1755</v>
      </c>
      <c r="F284" s="1">
        <v>46076.083449074074</v>
      </c>
      <c r="G284" t="s">
        <v>878</v>
      </c>
      <c r="H284" t="s">
        <v>776</v>
      </c>
      <c r="I284" t="s">
        <v>3666</v>
      </c>
      <c r="J284" t="s">
        <v>134</v>
      </c>
      <c r="K284" t="s">
        <v>1501</v>
      </c>
      <c r="L284" t="s">
        <v>46</v>
      </c>
      <c r="M284" t="s">
        <v>751</v>
      </c>
      <c r="N284" t="s">
        <v>752</v>
      </c>
      <c r="O284" t="s">
        <v>30</v>
      </c>
      <c r="P284" s="1">
        <v>46078.420370370368</v>
      </c>
      <c r="Q284" s="1">
        <v>46078.420300925929</v>
      </c>
      <c r="R284" t="s">
        <v>38</v>
      </c>
      <c r="S284" t="s">
        <v>3262</v>
      </c>
      <c r="T284" t="s">
        <v>31</v>
      </c>
      <c r="U284" t="s">
        <v>1150</v>
      </c>
      <c r="V284" t="s">
        <v>46</v>
      </c>
      <c r="W284" t="s">
        <v>751</v>
      </c>
      <c r="X284" t="s">
        <v>752</v>
      </c>
      <c r="Y284">
        <v>12415</v>
      </c>
      <c r="Z284" t="s">
        <v>3525</v>
      </c>
      <c r="AA284" t="s">
        <v>3526</v>
      </c>
      <c r="AB284" t="s">
        <v>32</v>
      </c>
      <c r="AC284" t="s">
        <v>879</v>
      </c>
      <c r="AD284" t="s">
        <v>880</v>
      </c>
      <c r="AE284" t="s">
        <v>33</v>
      </c>
    </row>
    <row r="285" spans="1:31">
      <c r="A285" t="s">
        <v>1776</v>
      </c>
      <c r="B285" t="s">
        <v>34</v>
      </c>
      <c r="C285" t="s">
        <v>1777</v>
      </c>
      <c r="D285" t="s">
        <v>172</v>
      </c>
      <c r="E285" t="s">
        <v>535</v>
      </c>
      <c r="F285" s="1">
        <v>46075.84479166667</v>
      </c>
      <c r="G285" t="s">
        <v>26</v>
      </c>
      <c r="H285" t="s">
        <v>776</v>
      </c>
      <c r="I285" t="s">
        <v>3665</v>
      </c>
      <c r="J285" t="s">
        <v>44</v>
      </c>
      <c r="K285" t="s">
        <v>45</v>
      </c>
      <c r="L285" t="s">
        <v>46</v>
      </c>
      <c r="M285" t="s">
        <v>188</v>
      </c>
      <c r="N285" t="s">
        <v>431</v>
      </c>
      <c r="O285" t="s">
        <v>30</v>
      </c>
      <c r="P285" s="1">
        <v>46079.084675925929</v>
      </c>
      <c r="Q285" s="1">
        <v>46075.845879629633</v>
      </c>
      <c r="R285" t="s">
        <v>1775</v>
      </c>
      <c r="S285" t="s">
        <v>3263</v>
      </c>
      <c r="T285" t="s">
        <v>31</v>
      </c>
      <c r="U285" t="s">
        <v>49</v>
      </c>
      <c r="V285" t="s">
        <v>46</v>
      </c>
      <c r="W285" t="s">
        <v>188</v>
      </c>
      <c r="X285" t="s">
        <v>431</v>
      </c>
      <c r="Y285" t="s">
        <v>3626</v>
      </c>
      <c r="Z285" t="s">
        <v>3530</v>
      </c>
      <c r="AA285" t="s">
        <v>3528</v>
      </c>
      <c r="AB285" t="s">
        <v>32</v>
      </c>
      <c r="AC285" t="s">
        <v>1778</v>
      </c>
      <c r="AD285" t="s">
        <v>1779</v>
      </c>
      <c r="AE285" t="s">
        <v>33</v>
      </c>
    </row>
    <row r="286" spans="1:31">
      <c r="A286" t="s">
        <v>1780</v>
      </c>
      <c r="B286" t="s">
        <v>34</v>
      </c>
      <c r="C286" t="s">
        <v>1781</v>
      </c>
      <c r="D286" t="s">
        <v>1782</v>
      </c>
      <c r="E286" t="s">
        <v>813</v>
      </c>
      <c r="F286" s="1">
        <v>46075.843900462962</v>
      </c>
      <c r="G286" t="s">
        <v>177</v>
      </c>
      <c r="H286" t="s">
        <v>776</v>
      </c>
      <c r="I286" t="s">
        <v>3772</v>
      </c>
      <c r="J286" t="s">
        <v>44</v>
      </c>
      <c r="K286" t="s">
        <v>45</v>
      </c>
      <c r="L286" t="s">
        <v>46</v>
      </c>
      <c r="M286" t="s">
        <v>188</v>
      </c>
      <c r="N286" t="s">
        <v>431</v>
      </c>
      <c r="O286" t="s">
        <v>30</v>
      </c>
      <c r="P286" s="1">
        <v>46079.084664351853</v>
      </c>
      <c r="Q286" s="1">
        <v>46075.845717592594</v>
      </c>
      <c r="R286" t="s">
        <v>1775</v>
      </c>
      <c r="S286" t="s">
        <v>3263</v>
      </c>
      <c r="T286" t="s">
        <v>31</v>
      </c>
      <c r="U286" t="s">
        <v>49</v>
      </c>
      <c r="V286" t="s">
        <v>46</v>
      </c>
      <c r="W286" t="s">
        <v>188</v>
      </c>
      <c r="X286" t="s">
        <v>431</v>
      </c>
      <c r="Y286">
        <v>15301</v>
      </c>
      <c r="Z286" t="s">
        <v>3530</v>
      </c>
      <c r="AA286" t="s">
        <v>3528</v>
      </c>
      <c r="AB286" t="s">
        <v>32</v>
      </c>
      <c r="AC286" t="s">
        <v>1783</v>
      </c>
      <c r="AD286" t="s">
        <v>1784</v>
      </c>
      <c r="AE286" t="s">
        <v>33</v>
      </c>
    </row>
    <row r="287" spans="1:31">
      <c r="A287" t="s">
        <v>1785</v>
      </c>
      <c r="B287" t="s">
        <v>34</v>
      </c>
      <c r="C287" t="s">
        <v>1017</v>
      </c>
      <c r="D287" t="s">
        <v>1786</v>
      </c>
      <c r="E287" t="s">
        <v>813</v>
      </c>
      <c r="F287" s="1">
        <v>46075.726006944446</v>
      </c>
      <c r="G287" t="s">
        <v>283</v>
      </c>
      <c r="H287" t="s">
        <v>776</v>
      </c>
      <c r="I287" t="s">
        <v>3670</v>
      </c>
      <c r="J287" t="s">
        <v>44</v>
      </c>
      <c r="K287" t="s">
        <v>45</v>
      </c>
      <c r="L287" t="s">
        <v>46</v>
      </c>
      <c r="M287" t="s">
        <v>188</v>
      </c>
      <c r="N287" t="s">
        <v>431</v>
      </c>
      <c r="O287" t="s">
        <v>30</v>
      </c>
      <c r="P287" s="1">
        <v>46079.084560185183</v>
      </c>
      <c r="Q287" s="1">
        <v>46075.726643518516</v>
      </c>
      <c r="R287" t="s">
        <v>1775</v>
      </c>
      <c r="S287" t="s">
        <v>3155</v>
      </c>
      <c r="T287" t="s">
        <v>31</v>
      </c>
      <c r="U287" t="s">
        <v>49</v>
      </c>
      <c r="V287" t="s">
        <v>46</v>
      </c>
      <c r="W287" t="s">
        <v>188</v>
      </c>
      <c r="X287" t="s">
        <v>431</v>
      </c>
      <c r="Y287">
        <v>11111</v>
      </c>
      <c r="Z287" t="s">
        <v>3530</v>
      </c>
      <c r="AA287" t="s">
        <v>3528</v>
      </c>
      <c r="AB287" t="s">
        <v>32</v>
      </c>
      <c r="AC287" t="s">
        <v>1787</v>
      </c>
      <c r="AD287" t="s">
        <v>1788</v>
      </c>
      <c r="AE287" t="s">
        <v>33</v>
      </c>
    </row>
    <row r="288" spans="1:31">
      <c r="A288" t="s">
        <v>1791</v>
      </c>
      <c r="B288" t="s">
        <v>34</v>
      </c>
      <c r="C288" t="s">
        <v>229</v>
      </c>
      <c r="D288" t="s">
        <v>1792</v>
      </c>
      <c r="E288" t="s">
        <v>109</v>
      </c>
      <c r="F288" s="1">
        <v>46075.65457175926</v>
      </c>
      <c r="G288" t="s">
        <v>150</v>
      </c>
      <c r="H288" t="s">
        <v>776</v>
      </c>
      <c r="I288" t="s">
        <v>3671</v>
      </c>
      <c r="J288" t="s">
        <v>44</v>
      </c>
      <c r="K288" t="s">
        <v>733</v>
      </c>
      <c r="L288" t="s">
        <v>46</v>
      </c>
      <c r="M288" t="s">
        <v>110</v>
      </c>
      <c r="N288" t="s">
        <v>111</v>
      </c>
      <c r="O288" t="s">
        <v>30</v>
      </c>
      <c r="P288" s="1">
        <v>46079.084467592591</v>
      </c>
      <c r="Q288" s="1">
        <v>46075.657835648148</v>
      </c>
      <c r="R288" t="s">
        <v>1775</v>
      </c>
      <c r="S288" t="s">
        <v>3264</v>
      </c>
      <c r="T288" t="s">
        <v>31</v>
      </c>
      <c r="U288" t="s">
        <v>726</v>
      </c>
      <c r="V288" t="s">
        <v>46</v>
      </c>
      <c r="W288" t="s">
        <v>110</v>
      </c>
      <c r="X288" t="s">
        <v>111</v>
      </c>
      <c r="Y288">
        <v>5781</v>
      </c>
      <c r="Z288" t="s">
        <v>3530</v>
      </c>
      <c r="AA288" t="s">
        <v>3528</v>
      </c>
      <c r="AB288" t="s">
        <v>32</v>
      </c>
      <c r="AC288" t="s">
        <v>1793</v>
      </c>
      <c r="AD288" t="s">
        <v>1794</v>
      </c>
      <c r="AE288" t="s">
        <v>33</v>
      </c>
    </row>
    <row r="289" spans="1:31">
      <c r="A289" t="s">
        <v>1795</v>
      </c>
      <c r="B289" t="s">
        <v>34</v>
      </c>
      <c r="C289" t="s">
        <v>220</v>
      </c>
      <c r="D289" t="s">
        <v>1796</v>
      </c>
      <c r="E289" t="s">
        <v>109</v>
      </c>
      <c r="F289" s="1">
        <v>46075.60359953704</v>
      </c>
      <c r="G289" t="s">
        <v>26</v>
      </c>
      <c r="H289" t="s">
        <v>776</v>
      </c>
      <c r="I289" t="s">
        <v>3665</v>
      </c>
      <c r="J289" t="s">
        <v>44</v>
      </c>
      <c r="K289" t="s">
        <v>733</v>
      </c>
      <c r="L289" t="s">
        <v>46</v>
      </c>
      <c r="M289" t="s">
        <v>110</v>
      </c>
      <c r="N289" t="s">
        <v>111</v>
      </c>
      <c r="O289" t="s">
        <v>30</v>
      </c>
      <c r="P289" s="1">
        <v>46079.084409722222</v>
      </c>
      <c r="Q289" s="1">
        <v>46075.603726851848</v>
      </c>
      <c r="R289" t="s">
        <v>1775</v>
      </c>
      <c r="S289" t="s">
        <v>3265</v>
      </c>
      <c r="T289" t="s">
        <v>31</v>
      </c>
      <c r="U289" t="s">
        <v>726</v>
      </c>
      <c r="V289" t="s">
        <v>46</v>
      </c>
      <c r="W289" t="s">
        <v>110</v>
      </c>
      <c r="X289" t="s">
        <v>111</v>
      </c>
      <c r="Y289">
        <v>9916</v>
      </c>
      <c r="Z289" t="s">
        <v>3530</v>
      </c>
      <c r="AA289" t="s">
        <v>3528</v>
      </c>
      <c r="AB289" t="s">
        <v>181</v>
      </c>
      <c r="AC289" t="s">
        <v>1797</v>
      </c>
      <c r="AD289" t="s">
        <v>1798</v>
      </c>
      <c r="AE289" t="s">
        <v>33</v>
      </c>
    </row>
    <row r="290" spans="1:31">
      <c r="A290" t="s">
        <v>1799</v>
      </c>
      <c r="B290" t="s">
        <v>34</v>
      </c>
      <c r="C290" t="s">
        <v>129</v>
      </c>
      <c r="D290" t="s">
        <v>1800</v>
      </c>
      <c r="E290" t="s">
        <v>109</v>
      </c>
      <c r="F290" s="1">
        <v>46075.595185185186</v>
      </c>
      <c r="G290" t="s">
        <v>26</v>
      </c>
      <c r="H290" t="s">
        <v>776</v>
      </c>
      <c r="I290" t="s">
        <v>3665</v>
      </c>
      <c r="J290" t="s">
        <v>44</v>
      </c>
      <c r="K290" t="s">
        <v>733</v>
      </c>
      <c r="L290" t="s">
        <v>46</v>
      </c>
      <c r="M290" t="s">
        <v>110</v>
      </c>
      <c r="N290" t="s">
        <v>111</v>
      </c>
      <c r="O290" t="s">
        <v>30</v>
      </c>
      <c r="P290" s="1">
        <v>46079.084386574075</v>
      </c>
      <c r="Q290" s="1">
        <v>46075.595486111109</v>
      </c>
      <c r="R290" t="s">
        <v>1775</v>
      </c>
      <c r="S290" t="s">
        <v>3266</v>
      </c>
      <c r="T290" t="s">
        <v>31</v>
      </c>
      <c r="U290" t="s">
        <v>726</v>
      </c>
      <c r="V290" t="s">
        <v>46</v>
      </c>
      <c r="W290" t="s">
        <v>110</v>
      </c>
      <c r="X290" t="s">
        <v>111</v>
      </c>
      <c r="Y290" t="s">
        <v>3628</v>
      </c>
      <c r="Z290" t="s">
        <v>3530</v>
      </c>
      <c r="AA290" t="s">
        <v>3528</v>
      </c>
      <c r="AB290" t="s">
        <v>32</v>
      </c>
      <c r="AC290" t="s">
        <v>1801</v>
      </c>
      <c r="AD290" t="s">
        <v>1802</v>
      </c>
      <c r="AE290" t="s">
        <v>33</v>
      </c>
    </row>
    <row r="291" spans="1:31" hidden="1">
      <c r="A291" t="s">
        <v>1803</v>
      </c>
      <c r="B291" t="s">
        <v>24</v>
      </c>
      <c r="C291" t="s">
        <v>1804</v>
      </c>
      <c r="D291" t="s">
        <v>201</v>
      </c>
      <c r="E291" t="s">
        <v>1805</v>
      </c>
      <c r="F291" s="1">
        <v>46075.490219907406</v>
      </c>
      <c r="G291" t="s">
        <v>62</v>
      </c>
      <c r="H291" t="s">
        <v>776</v>
      </c>
      <c r="I291" t="s">
        <v>3668</v>
      </c>
      <c r="J291" t="s">
        <v>134</v>
      </c>
      <c r="K291" t="s">
        <v>642</v>
      </c>
      <c r="L291" t="s">
        <v>46</v>
      </c>
      <c r="M291" t="s">
        <v>197</v>
      </c>
      <c r="N291" t="s">
        <v>875</v>
      </c>
      <c r="O291" t="s">
        <v>86</v>
      </c>
      <c r="P291" s="1">
        <v>46079.287291666667</v>
      </c>
      <c r="R291" t="s">
        <v>90</v>
      </c>
      <c r="T291" t="s">
        <v>31</v>
      </c>
      <c r="U291" t="s">
        <v>1806</v>
      </c>
      <c r="Y291" t="s">
        <v>3629</v>
      </c>
      <c r="Z291" t="s">
        <v>3527</v>
      </c>
      <c r="AA291" t="s">
        <v>3539</v>
      </c>
      <c r="AB291" t="s">
        <v>32</v>
      </c>
      <c r="AC291" t="s">
        <v>1806</v>
      </c>
      <c r="AD291" t="s">
        <v>1807</v>
      </c>
      <c r="AE291" t="s">
        <v>33</v>
      </c>
    </row>
    <row r="292" spans="1:31">
      <c r="A292" t="s">
        <v>1808</v>
      </c>
      <c r="B292" t="s">
        <v>34</v>
      </c>
      <c r="C292" t="s">
        <v>1809</v>
      </c>
      <c r="D292" t="s">
        <v>1810</v>
      </c>
      <c r="E292" t="s">
        <v>505</v>
      </c>
      <c r="F292" s="1">
        <v>46075.482233796298</v>
      </c>
      <c r="G292" t="s">
        <v>62</v>
      </c>
      <c r="H292" t="s">
        <v>776</v>
      </c>
      <c r="I292" t="s">
        <v>3668</v>
      </c>
      <c r="J292" t="s">
        <v>44</v>
      </c>
      <c r="K292" t="s">
        <v>733</v>
      </c>
      <c r="L292" t="s">
        <v>46</v>
      </c>
      <c r="M292" t="s">
        <v>348</v>
      </c>
      <c r="N292" t="s">
        <v>506</v>
      </c>
      <c r="O292" t="s">
        <v>30</v>
      </c>
      <c r="P292" s="1">
        <v>46079.084247685183</v>
      </c>
      <c r="Q292" s="1">
        <v>46075.48332175926</v>
      </c>
      <c r="R292" t="s">
        <v>1775</v>
      </c>
      <c r="S292" t="s">
        <v>3267</v>
      </c>
      <c r="T292" t="s">
        <v>31</v>
      </c>
      <c r="U292" t="s">
        <v>726</v>
      </c>
      <c r="V292" t="s">
        <v>46</v>
      </c>
      <c r="W292" t="s">
        <v>348</v>
      </c>
      <c r="X292" t="s">
        <v>506</v>
      </c>
      <c r="Y292" t="s">
        <v>3630</v>
      </c>
      <c r="Z292" t="s">
        <v>3364</v>
      </c>
      <c r="AA292" t="s">
        <v>3528</v>
      </c>
      <c r="AB292" t="s">
        <v>32</v>
      </c>
      <c r="AC292" t="s">
        <v>1811</v>
      </c>
      <c r="AD292" t="s">
        <v>1812</v>
      </c>
      <c r="AE292" t="s">
        <v>33</v>
      </c>
    </row>
    <row r="293" spans="1:31">
      <c r="A293" t="s">
        <v>1813</v>
      </c>
      <c r="B293" t="s">
        <v>34</v>
      </c>
      <c r="C293" t="s">
        <v>261</v>
      </c>
      <c r="D293" t="s">
        <v>1814</v>
      </c>
      <c r="E293" t="s">
        <v>1815</v>
      </c>
      <c r="F293" s="1">
        <v>46075.375</v>
      </c>
      <c r="G293" t="s">
        <v>35</v>
      </c>
      <c r="H293" t="s">
        <v>776</v>
      </c>
      <c r="I293" t="s">
        <v>3772</v>
      </c>
      <c r="J293" t="s">
        <v>44</v>
      </c>
      <c r="K293" t="s">
        <v>733</v>
      </c>
      <c r="L293" t="s">
        <v>27</v>
      </c>
      <c r="M293" t="s">
        <v>28</v>
      </c>
      <c r="N293" t="s">
        <v>406</v>
      </c>
      <c r="O293" t="s">
        <v>30</v>
      </c>
      <c r="P293" s="1">
        <v>46078.011377314811</v>
      </c>
      <c r="Q293" s="1">
        <v>46078.011331018519</v>
      </c>
      <c r="R293" t="s">
        <v>38</v>
      </c>
      <c r="S293" t="s">
        <v>3269</v>
      </c>
      <c r="T293" t="s">
        <v>31</v>
      </c>
      <c r="U293" t="s">
        <v>1137</v>
      </c>
      <c r="V293" t="s">
        <v>636</v>
      </c>
      <c r="W293" t="s">
        <v>3256</v>
      </c>
      <c r="X293" t="s">
        <v>3268</v>
      </c>
      <c r="Y293" t="s">
        <v>3631</v>
      </c>
      <c r="Z293" t="s">
        <v>3525</v>
      </c>
      <c r="AA293" t="s">
        <v>3526</v>
      </c>
      <c r="AB293" t="s">
        <v>32</v>
      </c>
      <c r="AC293" t="s">
        <v>1816</v>
      </c>
      <c r="AD293" t="s">
        <v>1817</v>
      </c>
      <c r="AE293" t="s">
        <v>33</v>
      </c>
    </row>
    <row r="294" spans="1:31">
      <c r="A294" t="s">
        <v>1819</v>
      </c>
      <c r="B294" t="s">
        <v>34</v>
      </c>
      <c r="C294" t="s">
        <v>1820</v>
      </c>
      <c r="D294" t="s">
        <v>1821</v>
      </c>
      <c r="E294" t="s">
        <v>1188</v>
      </c>
      <c r="F294" s="1">
        <v>46075.232881944445</v>
      </c>
      <c r="G294" t="s">
        <v>755</v>
      </c>
      <c r="H294" t="s">
        <v>776</v>
      </c>
      <c r="I294" t="s">
        <v>3669</v>
      </c>
      <c r="J294" t="s">
        <v>44</v>
      </c>
      <c r="K294" t="s">
        <v>1149</v>
      </c>
      <c r="L294" t="s">
        <v>46</v>
      </c>
      <c r="M294" t="s">
        <v>348</v>
      </c>
      <c r="N294" t="s">
        <v>506</v>
      </c>
      <c r="O294" t="s">
        <v>30</v>
      </c>
      <c r="P294" s="1">
        <v>46079.084062499998</v>
      </c>
      <c r="Q294" s="1">
        <v>46075.235474537039</v>
      </c>
      <c r="R294" t="s">
        <v>1775</v>
      </c>
      <c r="S294" t="s">
        <v>3196</v>
      </c>
      <c r="T294" t="s">
        <v>31</v>
      </c>
      <c r="U294" t="s">
        <v>1150</v>
      </c>
      <c r="V294" t="s">
        <v>46</v>
      </c>
      <c r="W294" t="s">
        <v>348</v>
      </c>
      <c r="X294" t="s">
        <v>3197</v>
      </c>
      <c r="Y294">
        <v>11629</v>
      </c>
      <c r="Z294" t="s">
        <v>3530</v>
      </c>
      <c r="AA294" t="s">
        <v>3528</v>
      </c>
      <c r="AB294" t="s">
        <v>32</v>
      </c>
      <c r="AC294" t="s">
        <v>1822</v>
      </c>
      <c r="AD294" t="s">
        <v>1823</v>
      </c>
      <c r="AE294" t="s">
        <v>33</v>
      </c>
    </row>
    <row r="295" spans="1:31">
      <c r="A295" t="s">
        <v>1824</v>
      </c>
      <c r="B295" t="s">
        <v>34</v>
      </c>
      <c r="C295" t="s">
        <v>1825</v>
      </c>
      <c r="D295" t="s">
        <v>383</v>
      </c>
      <c r="E295" t="s">
        <v>1826</v>
      </c>
      <c r="F295" s="1">
        <v>46075.232187499998</v>
      </c>
      <c r="G295" t="s">
        <v>333</v>
      </c>
      <c r="H295" t="s">
        <v>776</v>
      </c>
      <c r="I295" t="s">
        <v>3671</v>
      </c>
      <c r="J295" t="s">
        <v>44</v>
      </c>
      <c r="K295" t="s">
        <v>1149</v>
      </c>
      <c r="L295" t="s">
        <v>46</v>
      </c>
      <c r="M295" t="s">
        <v>57</v>
      </c>
      <c r="N295" t="s">
        <v>58</v>
      </c>
      <c r="O295" t="s">
        <v>30</v>
      </c>
      <c r="P295" s="1">
        <v>46079.084050925929</v>
      </c>
      <c r="Q295" s="1">
        <v>46075.235092592593</v>
      </c>
      <c r="R295" t="s">
        <v>1775</v>
      </c>
      <c r="S295" t="s">
        <v>3270</v>
      </c>
      <c r="T295" t="s">
        <v>31</v>
      </c>
      <c r="U295" t="s">
        <v>1150</v>
      </c>
      <c r="V295" t="s">
        <v>46</v>
      </c>
      <c r="W295" t="s">
        <v>57</v>
      </c>
      <c r="X295" t="s">
        <v>58</v>
      </c>
      <c r="Y295">
        <v>1964</v>
      </c>
      <c r="Z295" t="s">
        <v>3530</v>
      </c>
      <c r="AA295" t="s">
        <v>3528</v>
      </c>
      <c r="AB295" t="s">
        <v>32</v>
      </c>
      <c r="AC295" t="s">
        <v>1827</v>
      </c>
      <c r="AD295" t="s">
        <v>1828</v>
      </c>
      <c r="AE295" t="s">
        <v>33</v>
      </c>
    </row>
    <row r="296" spans="1:31">
      <c r="A296" t="s">
        <v>1829</v>
      </c>
      <c r="B296" t="s">
        <v>34</v>
      </c>
      <c r="C296" t="s">
        <v>115</v>
      </c>
      <c r="D296" t="s">
        <v>115</v>
      </c>
      <c r="E296" t="s">
        <v>109</v>
      </c>
      <c r="F296" s="1">
        <v>46075.231400462966</v>
      </c>
      <c r="G296" t="s">
        <v>96</v>
      </c>
      <c r="H296" t="s">
        <v>776</v>
      </c>
      <c r="I296" t="s">
        <v>96</v>
      </c>
      <c r="J296" t="s">
        <v>44</v>
      </c>
      <c r="K296" t="s">
        <v>1149</v>
      </c>
      <c r="L296" t="s">
        <v>46</v>
      </c>
      <c r="M296" t="s">
        <v>110</v>
      </c>
      <c r="N296" t="s">
        <v>111</v>
      </c>
      <c r="O296" t="s">
        <v>30</v>
      </c>
      <c r="P296" s="1">
        <v>46079.084039351852</v>
      </c>
      <c r="Q296" s="1">
        <v>46075.2346412037</v>
      </c>
      <c r="R296" t="s">
        <v>1775</v>
      </c>
      <c r="S296" t="s">
        <v>3193</v>
      </c>
      <c r="T296" t="s">
        <v>31</v>
      </c>
      <c r="U296" t="s">
        <v>1150</v>
      </c>
      <c r="V296" t="s">
        <v>46</v>
      </c>
      <c r="W296" t="s">
        <v>110</v>
      </c>
      <c r="X296" t="s">
        <v>111</v>
      </c>
      <c r="Y296">
        <v>871</v>
      </c>
      <c r="Z296" t="s">
        <v>3530</v>
      </c>
      <c r="AA296" t="s">
        <v>3528</v>
      </c>
      <c r="AB296" t="s">
        <v>32</v>
      </c>
      <c r="AC296" t="s">
        <v>1180</v>
      </c>
      <c r="AD296" t="s">
        <v>1181</v>
      </c>
      <c r="AE296" t="s">
        <v>33</v>
      </c>
    </row>
    <row r="297" spans="1:31">
      <c r="A297" t="s">
        <v>1830</v>
      </c>
      <c r="B297" t="s">
        <v>34</v>
      </c>
      <c r="C297" t="s">
        <v>1831</v>
      </c>
      <c r="D297" t="s">
        <v>1832</v>
      </c>
      <c r="E297" t="s">
        <v>109</v>
      </c>
      <c r="F297" s="1">
        <v>46075.231145833335</v>
      </c>
      <c r="G297" t="s">
        <v>470</v>
      </c>
      <c r="H297" t="s">
        <v>776</v>
      </c>
      <c r="I297" t="s">
        <v>3671</v>
      </c>
      <c r="J297" t="s">
        <v>44</v>
      </c>
      <c r="K297" t="s">
        <v>1149</v>
      </c>
      <c r="L297" t="s">
        <v>46</v>
      </c>
      <c r="M297" t="s">
        <v>110</v>
      </c>
      <c r="N297" t="s">
        <v>111</v>
      </c>
      <c r="O297" t="s">
        <v>30</v>
      </c>
      <c r="P297" s="1">
        <v>46079.084027777775</v>
      </c>
      <c r="Q297" s="1">
        <v>46075.234513888892</v>
      </c>
      <c r="R297" t="s">
        <v>1775</v>
      </c>
      <c r="S297" t="s">
        <v>3193</v>
      </c>
      <c r="T297" t="s">
        <v>31</v>
      </c>
      <c r="U297" t="s">
        <v>1150</v>
      </c>
      <c r="V297" t="s">
        <v>46</v>
      </c>
      <c r="W297" t="s">
        <v>110</v>
      </c>
      <c r="X297" t="s">
        <v>111</v>
      </c>
      <c r="Y297">
        <v>15693</v>
      </c>
      <c r="Z297" t="s">
        <v>3530</v>
      </c>
      <c r="AA297" t="s">
        <v>3528</v>
      </c>
      <c r="AB297" t="s">
        <v>32</v>
      </c>
      <c r="AC297" t="s">
        <v>1833</v>
      </c>
      <c r="AD297" t="s">
        <v>1834</v>
      </c>
      <c r="AE297" t="s">
        <v>33</v>
      </c>
    </row>
    <row r="298" spans="1:31">
      <c r="A298" t="s">
        <v>1835</v>
      </c>
      <c r="B298" t="s">
        <v>34</v>
      </c>
      <c r="C298" t="s">
        <v>1836</v>
      </c>
      <c r="D298" t="s">
        <v>1837</v>
      </c>
      <c r="E298" t="s">
        <v>109</v>
      </c>
      <c r="F298" s="1">
        <v>46075.230856481481</v>
      </c>
      <c r="G298" t="s">
        <v>878</v>
      </c>
      <c r="H298" t="s">
        <v>776</v>
      </c>
      <c r="I298" t="s">
        <v>3666</v>
      </c>
      <c r="J298" t="s">
        <v>44</v>
      </c>
      <c r="K298" t="s">
        <v>1149</v>
      </c>
      <c r="L298" t="s">
        <v>46</v>
      </c>
      <c r="M298" t="s">
        <v>110</v>
      </c>
      <c r="N298" t="s">
        <v>111</v>
      </c>
      <c r="O298" t="s">
        <v>30</v>
      </c>
      <c r="P298" s="1">
        <v>46079.084027777775</v>
      </c>
      <c r="Q298" s="1">
        <v>46075.234351851854</v>
      </c>
      <c r="R298" t="s">
        <v>1775</v>
      </c>
      <c r="S298" t="s">
        <v>3193</v>
      </c>
      <c r="T298" t="s">
        <v>31</v>
      </c>
      <c r="U298" t="s">
        <v>1150</v>
      </c>
      <c r="V298" t="s">
        <v>46</v>
      </c>
      <c r="W298" t="s">
        <v>110</v>
      </c>
      <c r="X298" t="s">
        <v>111</v>
      </c>
      <c r="Y298">
        <v>3737</v>
      </c>
      <c r="Z298" t="s">
        <v>3530</v>
      </c>
      <c r="AA298" t="s">
        <v>3528</v>
      </c>
      <c r="AB298" t="s">
        <v>181</v>
      </c>
      <c r="AC298" t="s">
        <v>1838</v>
      </c>
      <c r="AD298" t="s">
        <v>1839</v>
      </c>
      <c r="AE298" t="s">
        <v>33</v>
      </c>
    </row>
    <row r="299" spans="1:31">
      <c r="A299" t="s">
        <v>1840</v>
      </c>
      <c r="B299" t="s">
        <v>34</v>
      </c>
      <c r="C299" t="s">
        <v>1841</v>
      </c>
      <c r="D299" t="s">
        <v>1818</v>
      </c>
      <c r="E299" t="s">
        <v>109</v>
      </c>
      <c r="F299" s="1">
        <v>46075.230624999997</v>
      </c>
      <c r="G299" t="s">
        <v>755</v>
      </c>
      <c r="H299" t="s">
        <v>776</v>
      </c>
      <c r="I299" t="s">
        <v>3669</v>
      </c>
      <c r="J299" t="s">
        <v>44</v>
      </c>
      <c r="K299" t="s">
        <v>1149</v>
      </c>
      <c r="L299" t="s">
        <v>46</v>
      </c>
      <c r="M299" t="s">
        <v>110</v>
      </c>
      <c r="N299" t="s">
        <v>111</v>
      </c>
      <c r="O299" t="s">
        <v>30</v>
      </c>
      <c r="P299" s="1">
        <v>46079.084016203706</v>
      </c>
      <c r="Q299" s="1">
        <v>46075.234178240738</v>
      </c>
      <c r="R299" t="s">
        <v>1775</v>
      </c>
      <c r="S299" t="s">
        <v>3193</v>
      </c>
      <c r="T299" t="s">
        <v>31</v>
      </c>
      <c r="U299" t="s">
        <v>1150</v>
      </c>
      <c r="V299" t="s">
        <v>46</v>
      </c>
      <c r="W299" t="s">
        <v>110</v>
      </c>
      <c r="X299" t="s">
        <v>111</v>
      </c>
      <c r="Y299">
        <v>11272</v>
      </c>
      <c r="Z299" t="s">
        <v>3530</v>
      </c>
      <c r="AA299" t="s">
        <v>3528</v>
      </c>
      <c r="AB299" t="s">
        <v>32</v>
      </c>
      <c r="AC299" t="s">
        <v>1842</v>
      </c>
      <c r="AD299" t="s">
        <v>1843</v>
      </c>
      <c r="AE299" t="s">
        <v>33</v>
      </c>
    </row>
    <row r="300" spans="1:31">
      <c r="A300" t="s">
        <v>1844</v>
      </c>
      <c r="B300" t="s">
        <v>34</v>
      </c>
      <c r="C300" t="s">
        <v>1845</v>
      </c>
      <c r="D300" t="s">
        <v>1846</v>
      </c>
      <c r="E300" t="s">
        <v>109</v>
      </c>
      <c r="F300" s="1">
        <v>46075.230381944442</v>
      </c>
      <c r="G300" t="s">
        <v>333</v>
      </c>
      <c r="H300" t="s">
        <v>776</v>
      </c>
      <c r="I300" t="s">
        <v>3671</v>
      </c>
      <c r="J300" t="s">
        <v>44</v>
      </c>
      <c r="K300" t="s">
        <v>1149</v>
      </c>
      <c r="L300" t="s">
        <v>46</v>
      </c>
      <c r="M300" t="s">
        <v>110</v>
      </c>
      <c r="N300" t="s">
        <v>111</v>
      </c>
      <c r="O300" t="s">
        <v>30</v>
      </c>
      <c r="P300" s="1">
        <v>46079.083981481483</v>
      </c>
      <c r="Q300" s="1">
        <v>46075.233981481484</v>
      </c>
      <c r="R300" t="s">
        <v>1775</v>
      </c>
      <c r="S300" t="s">
        <v>3193</v>
      </c>
      <c r="T300" t="s">
        <v>31</v>
      </c>
      <c r="U300" t="s">
        <v>1150</v>
      </c>
      <c r="V300" t="s">
        <v>46</v>
      </c>
      <c r="W300" t="s">
        <v>110</v>
      </c>
      <c r="X300" t="s">
        <v>111</v>
      </c>
      <c r="Y300">
        <v>886</v>
      </c>
      <c r="Z300" t="s">
        <v>3530</v>
      </c>
      <c r="AA300" t="s">
        <v>3528</v>
      </c>
      <c r="AB300" t="s">
        <v>32</v>
      </c>
      <c r="AC300" t="s">
        <v>1847</v>
      </c>
      <c r="AD300" t="s">
        <v>1848</v>
      </c>
      <c r="AE300" t="s">
        <v>33</v>
      </c>
    </row>
    <row r="301" spans="1:31" hidden="1">
      <c r="A301" t="s">
        <v>1849</v>
      </c>
      <c r="B301" t="s">
        <v>24</v>
      </c>
      <c r="C301" t="s">
        <v>1850</v>
      </c>
      <c r="D301" t="s">
        <v>25</v>
      </c>
      <c r="E301" t="s">
        <v>1851</v>
      </c>
      <c r="F301" s="1">
        <v>46075.227916666663</v>
      </c>
      <c r="G301" t="s">
        <v>153</v>
      </c>
      <c r="H301" t="s">
        <v>776</v>
      </c>
      <c r="I301" t="s">
        <v>3669</v>
      </c>
      <c r="J301" t="s">
        <v>134</v>
      </c>
      <c r="K301" t="s">
        <v>320</v>
      </c>
      <c r="L301" t="s">
        <v>46</v>
      </c>
      <c r="M301" t="s">
        <v>338</v>
      </c>
      <c r="N301" t="s">
        <v>890</v>
      </c>
      <c r="O301" t="s">
        <v>284</v>
      </c>
      <c r="P301" s="1">
        <v>46077.339143518519</v>
      </c>
      <c r="Q301" s="1">
        <v>46077.339131944442</v>
      </c>
      <c r="R301" t="s">
        <v>38</v>
      </c>
      <c r="S301" t="e">
        <f>- Ensured that SEP virus definitions are updated. - Cleaned / deleted Quarantined items. - deleted temporary files, temporary internet files and cookies. - Ran AV full scan. - No Risks were found.</f>
        <v>#NAME?</v>
      </c>
      <c r="T301" t="s">
        <v>31</v>
      </c>
      <c r="U301" t="s">
        <v>1150</v>
      </c>
      <c r="V301" t="s">
        <v>46</v>
      </c>
      <c r="W301" t="s">
        <v>338</v>
      </c>
      <c r="X301" t="s">
        <v>890</v>
      </c>
      <c r="Y301" t="s">
        <v>3632</v>
      </c>
      <c r="Z301" t="s">
        <v>3525</v>
      </c>
      <c r="AA301" t="s">
        <v>3526</v>
      </c>
      <c r="AB301" t="s">
        <v>32</v>
      </c>
      <c r="AC301" t="s">
        <v>1852</v>
      </c>
      <c r="AD301" t="s">
        <v>1853</v>
      </c>
      <c r="AE301" t="s">
        <v>33</v>
      </c>
    </row>
    <row r="302" spans="1:31" hidden="1">
      <c r="A302" t="s">
        <v>1854</v>
      </c>
      <c r="B302" t="s">
        <v>24</v>
      </c>
      <c r="C302" t="s">
        <v>78</v>
      </c>
      <c r="D302" t="s">
        <v>79</v>
      </c>
      <c r="E302" t="s">
        <v>1855</v>
      </c>
      <c r="F302" s="1">
        <v>46074.908715277779</v>
      </c>
      <c r="G302" t="s">
        <v>62</v>
      </c>
      <c r="H302" t="s">
        <v>776</v>
      </c>
      <c r="I302" t="s">
        <v>3668</v>
      </c>
      <c r="J302" t="s">
        <v>44</v>
      </c>
      <c r="K302" t="s">
        <v>514</v>
      </c>
      <c r="L302" t="s">
        <v>27</v>
      </c>
      <c r="M302" t="s">
        <v>29</v>
      </c>
      <c r="N302" t="s">
        <v>29</v>
      </c>
      <c r="O302" t="s">
        <v>86</v>
      </c>
      <c r="P302" s="1">
        <v>46079.338645833333</v>
      </c>
      <c r="R302" t="s">
        <v>90</v>
      </c>
      <c r="T302" t="s">
        <v>31</v>
      </c>
      <c r="U302" t="s">
        <v>49</v>
      </c>
      <c r="Y302" t="s">
        <v>3532</v>
      </c>
      <c r="Z302" t="s">
        <v>3525</v>
      </c>
      <c r="AA302" t="s">
        <v>3541</v>
      </c>
      <c r="AB302" t="s">
        <v>32</v>
      </c>
      <c r="AC302" t="s">
        <v>81</v>
      </c>
      <c r="AD302" t="s">
        <v>82</v>
      </c>
      <c r="AE302" t="s">
        <v>33</v>
      </c>
    </row>
    <row r="303" spans="1:31" hidden="1">
      <c r="A303" t="s">
        <v>1856</v>
      </c>
      <c r="B303" t="s">
        <v>34</v>
      </c>
      <c r="C303" t="s">
        <v>123</v>
      </c>
      <c r="D303" t="s">
        <v>1857</v>
      </c>
      <c r="E303" t="s">
        <v>1858</v>
      </c>
      <c r="F303" s="1">
        <v>46074.726122685184</v>
      </c>
      <c r="G303" t="s">
        <v>96</v>
      </c>
      <c r="H303" t="s">
        <v>776</v>
      </c>
      <c r="I303" t="s">
        <v>96</v>
      </c>
      <c r="J303" t="s">
        <v>44</v>
      </c>
      <c r="K303" t="s">
        <v>680</v>
      </c>
      <c r="L303" t="s">
        <v>46</v>
      </c>
      <c r="M303" t="s">
        <v>348</v>
      </c>
      <c r="N303" t="s">
        <v>1859</v>
      </c>
      <c r="O303" t="s">
        <v>30</v>
      </c>
      <c r="P303" s="1">
        <v>46079.367569444446</v>
      </c>
      <c r="R303" t="s">
        <v>90</v>
      </c>
      <c r="T303" t="s">
        <v>31</v>
      </c>
      <c r="U303" t="s">
        <v>49</v>
      </c>
      <c r="Y303" t="s">
        <v>3633</v>
      </c>
      <c r="Z303" t="s">
        <v>3525</v>
      </c>
      <c r="AA303" t="s">
        <v>3541</v>
      </c>
      <c r="AB303" t="s">
        <v>32</v>
      </c>
      <c r="AC303" t="s">
        <v>1860</v>
      </c>
      <c r="AD303" t="s">
        <v>1861</v>
      </c>
      <c r="AE303" t="s">
        <v>33</v>
      </c>
    </row>
    <row r="304" spans="1:31">
      <c r="A304" t="s">
        <v>1866</v>
      </c>
      <c r="B304" t="s">
        <v>34</v>
      </c>
      <c r="C304" t="s">
        <v>327</v>
      </c>
      <c r="D304" t="s">
        <v>1867</v>
      </c>
      <c r="E304" t="s">
        <v>813</v>
      </c>
      <c r="F304" s="1">
        <v>46074.677025462966</v>
      </c>
      <c r="G304" t="s">
        <v>470</v>
      </c>
      <c r="H304" t="s">
        <v>776</v>
      </c>
      <c r="I304" t="s">
        <v>3671</v>
      </c>
      <c r="J304" t="s">
        <v>44</v>
      </c>
      <c r="K304" t="s">
        <v>411</v>
      </c>
      <c r="L304" t="s">
        <v>46</v>
      </c>
      <c r="M304" t="s">
        <v>188</v>
      </c>
      <c r="N304" t="s">
        <v>431</v>
      </c>
      <c r="O304" t="s">
        <v>30</v>
      </c>
      <c r="P304" s="1">
        <v>46076.430023148147</v>
      </c>
      <c r="Q304" s="1">
        <v>46076.430011574077</v>
      </c>
      <c r="R304" t="s">
        <v>38</v>
      </c>
      <c r="S304" t="s">
        <v>3271</v>
      </c>
      <c r="T304" t="s">
        <v>31</v>
      </c>
      <c r="U304" t="s">
        <v>49</v>
      </c>
      <c r="V304" t="s">
        <v>46</v>
      </c>
      <c r="W304" t="s">
        <v>188</v>
      </c>
      <c r="X304" t="s">
        <v>431</v>
      </c>
      <c r="Y304">
        <v>5033</v>
      </c>
      <c r="Z304" t="s">
        <v>3525</v>
      </c>
      <c r="AA304" t="s">
        <v>3526</v>
      </c>
      <c r="AB304" t="s">
        <v>32</v>
      </c>
      <c r="AC304" t="s">
        <v>1868</v>
      </c>
      <c r="AD304" t="s">
        <v>1869</v>
      </c>
      <c r="AE304" t="s">
        <v>33</v>
      </c>
    </row>
    <row r="305" spans="1:31">
      <c r="A305" t="s">
        <v>1870</v>
      </c>
      <c r="B305" t="s">
        <v>34</v>
      </c>
      <c r="C305" t="s">
        <v>1737</v>
      </c>
      <c r="D305" t="s">
        <v>244</v>
      </c>
      <c r="E305" t="s">
        <v>505</v>
      </c>
      <c r="F305" s="1">
        <v>46074.631898148145</v>
      </c>
      <c r="G305" t="s">
        <v>62</v>
      </c>
      <c r="H305" t="s">
        <v>776</v>
      </c>
      <c r="I305" t="s">
        <v>3668</v>
      </c>
      <c r="J305" t="s">
        <v>44</v>
      </c>
      <c r="K305" t="s">
        <v>205</v>
      </c>
      <c r="L305" t="s">
        <v>46</v>
      </c>
      <c r="M305" t="s">
        <v>348</v>
      </c>
      <c r="N305" t="s">
        <v>506</v>
      </c>
      <c r="O305" t="s">
        <v>30</v>
      </c>
      <c r="P305" s="1">
        <v>46078.085474537038</v>
      </c>
      <c r="Q305" s="1">
        <v>46074.63212962963</v>
      </c>
      <c r="R305" t="s">
        <v>1775</v>
      </c>
      <c r="S305" t="s">
        <v>3211</v>
      </c>
      <c r="T305" t="s">
        <v>31</v>
      </c>
      <c r="U305" t="s">
        <v>206</v>
      </c>
      <c r="V305" t="s">
        <v>46</v>
      </c>
      <c r="W305" t="s">
        <v>348</v>
      </c>
      <c r="X305" t="s">
        <v>506</v>
      </c>
      <c r="Y305" t="s">
        <v>3621</v>
      </c>
      <c r="Z305" t="s">
        <v>3530</v>
      </c>
      <c r="AA305" t="s">
        <v>3528</v>
      </c>
      <c r="AB305" t="s">
        <v>32</v>
      </c>
      <c r="AC305" t="s">
        <v>1739</v>
      </c>
      <c r="AD305" t="s">
        <v>1740</v>
      </c>
      <c r="AE305" t="s">
        <v>33</v>
      </c>
    </row>
    <row r="306" spans="1:31">
      <c r="A306" t="s">
        <v>1874</v>
      </c>
      <c r="B306" t="s">
        <v>34</v>
      </c>
      <c r="C306" t="s">
        <v>99</v>
      </c>
      <c r="D306" t="s">
        <v>100</v>
      </c>
      <c r="E306" t="s">
        <v>1875</v>
      </c>
      <c r="F306" s="1">
        <v>46074.536944444444</v>
      </c>
      <c r="G306" t="s">
        <v>101</v>
      </c>
      <c r="H306" t="s">
        <v>776</v>
      </c>
      <c r="I306" t="s">
        <v>3667</v>
      </c>
      <c r="J306" t="s">
        <v>44</v>
      </c>
      <c r="K306" t="s">
        <v>205</v>
      </c>
      <c r="L306" t="s">
        <v>46</v>
      </c>
      <c r="M306" t="s">
        <v>188</v>
      </c>
      <c r="N306" t="s">
        <v>521</v>
      </c>
      <c r="O306" t="s">
        <v>30</v>
      </c>
      <c r="P306" s="1">
        <v>46078.085358796299</v>
      </c>
      <c r="Q306" s="1">
        <v>46074.53765046296</v>
      </c>
      <c r="R306" t="s">
        <v>1775</v>
      </c>
      <c r="S306" t="s">
        <v>3272</v>
      </c>
      <c r="T306" t="s">
        <v>31</v>
      </c>
      <c r="U306" t="s">
        <v>206</v>
      </c>
      <c r="V306" t="s">
        <v>46</v>
      </c>
      <c r="W306" t="s">
        <v>188</v>
      </c>
      <c r="X306" t="s">
        <v>521</v>
      </c>
      <c r="Y306">
        <v>11214</v>
      </c>
      <c r="Z306" t="s">
        <v>3530</v>
      </c>
      <c r="AA306" t="s">
        <v>3528</v>
      </c>
      <c r="AB306" t="s">
        <v>32</v>
      </c>
      <c r="AC306" t="s">
        <v>102</v>
      </c>
      <c r="AD306" t="s">
        <v>103</v>
      </c>
      <c r="AE306" t="s">
        <v>33</v>
      </c>
    </row>
    <row r="307" spans="1:31" hidden="1">
      <c r="A307" t="s">
        <v>1876</v>
      </c>
      <c r="B307" t="s">
        <v>34</v>
      </c>
      <c r="C307" t="s">
        <v>334</v>
      </c>
      <c r="D307" t="s">
        <v>335</v>
      </c>
      <c r="E307" t="s">
        <v>1877</v>
      </c>
      <c r="F307" s="1">
        <v>46074.494884259257</v>
      </c>
      <c r="G307" t="s">
        <v>336</v>
      </c>
      <c r="H307" t="s">
        <v>776</v>
      </c>
      <c r="I307" t="s">
        <v>3668</v>
      </c>
      <c r="J307" t="s">
        <v>44</v>
      </c>
      <c r="K307" t="s">
        <v>205</v>
      </c>
      <c r="L307" t="s">
        <v>46</v>
      </c>
      <c r="M307" t="s">
        <v>751</v>
      </c>
      <c r="N307" t="s">
        <v>752</v>
      </c>
      <c r="O307" t="s">
        <v>30</v>
      </c>
      <c r="P307" s="1">
        <v>46079.287291666667</v>
      </c>
      <c r="R307" t="s">
        <v>90</v>
      </c>
      <c r="T307" t="s">
        <v>31</v>
      </c>
      <c r="U307" t="s">
        <v>206</v>
      </c>
      <c r="Z307" t="s">
        <v>3530</v>
      </c>
      <c r="AA307" t="s">
        <v>3541</v>
      </c>
      <c r="AB307" t="s">
        <v>32</v>
      </c>
      <c r="AC307" t="s">
        <v>339</v>
      </c>
      <c r="AD307" t="s">
        <v>340</v>
      </c>
      <c r="AE307" t="s">
        <v>33</v>
      </c>
    </row>
    <row r="308" spans="1:31">
      <c r="A308" t="s">
        <v>1878</v>
      </c>
      <c r="B308" t="s">
        <v>34</v>
      </c>
      <c r="C308" t="s">
        <v>99</v>
      </c>
      <c r="D308" t="s">
        <v>1879</v>
      </c>
      <c r="E308" t="s">
        <v>590</v>
      </c>
      <c r="F308" s="1">
        <v>46074.484386574077</v>
      </c>
      <c r="G308" t="s">
        <v>333</v>
      </c>
      <c r="H308" t="s">
        <v>776</v>
      </c>
      <c r="I308" t="s">
        <v>3671</v>
      </c>
      <c r="J308" t="s">
        <v>44</v>
      </c>
      <c r="K308" t="s">
        <v>205</v>
      </c>
      <c r="L308" t="s">
        <v>46</v>
      </c>
      <c r="M308" t="s">
        <v>379</v>
      </c>
      <c r="N308" t="s">
        <v>379</v>
      </c>
      <c r="O308" t="s">
        <v>30</v>
      </c>
      <c r="P308" s="1">
        <v>46078.085300925923</v>
      </c>
      <c r="Q308" s="1">
        <v>46074.484664351854</v>
      </c>
      <c r="R308" t="s">
        <v>1775</v>
      </c>
      <c r="S308" t="s">
        <v>3132</v>
      </c>
      <c r="T308" t="s">
        <v>31</v>
      </c>
      <c r="U308" t="s">
        <v>206</v>
      </c>
      <c r="V308" t="s">
        <v>46</v>
      </c>
      <c r="W308" t="s">
        <v>379</v>
      </c>
      <c r="X308" t="s">
        <v>379</v>
      </c>
      <c r="Y308">
        <v>1722</v>
      </c>
      <c r="Z308" t="s">
        <v>3530</v>
      </c>
      <c r="AA308" t="s">
        <v>3528</v>
      </c>
      <c r="AB308" t="s">
        <v>32</v>
      </c>
      <c r="AC308" t="s">
        <v>1880</v>
      </c>
      <c r="AD308" t="s">
        <v>1881</v>
      </c>
      <c r="AE308" t="s">
        <v>33</v>
      </c>
    </row>
    <row r="309" spans="1:31">
      <c r="A309" t="s">
        <v>1882</v>
      </c>
      <c r="B309" t="s">
        <v>34</v>
      </c>
      <c r="C309" t="s">
        <v>1700</v>
      </c>
      <c r="D309" t="s">
        <v>1701</v>
      </c>
      <c r="E309" t="s">
        <v>590</v>
      </c>
      <c r="F309" s="1">
        <v>46074.477951388886</v>
      </c>
      <c r="G309" t="s">
        <v>153</v>
      </c>
      <c r="H309" t="s">
        <v>776</v>
      </c>
      <c r="I309" t="s">
        <v>3669</v>
      </c>
      <c r="J309" t="s">
        <v>44</v>
      </c>
      <c r="K309" t="s">
        <v>205</v>
      </c>
      <c r="L309" t="s">
        <v>46</v>
      </c>
      <c r="M309" t="s">
        <v>379</v>
      </c>
      <c r="N309" t="s">
        <v>379</v>
      </c>
      <c r="O309" t="s">
        <v>30</v>
      </c>
      <c r="P309" s="1">
        <v>46078.085289351853</v>
      </c>
      <c r="Q309" s="1">
        <v>46074.483796296299</v>
      </c>
      <c r="R309" t="s">
        <v>1775</v>
      </c>
      <c r="S309" t="s">
        <v>3132</v>
      </c>
      <c r="T309" t="s">
        <v>31</v>
      </c>
      <c r="U309" t="s">
        <v>206</v>
      </c>
      <c r="V309" t="s">
        <v>46</v>
      </c>
      <c r="W309" t="s">
        <v>379</v>
      </c>
      <c r="X309" t="s">
        <v>379</v>
      </c>
      <c r="Y309" t="s">
        <v>3618</v>
      </c>
      <c r="Z309" t="s">
        <v>3530</v>
      </c>
      <c r="AA309" t="s">
        <v>3528</v>
      </c>
      <c r="AB309" t="s">
        <v>32</v>
      </c>
      <c r="AC309" t="s">
        <v>1702</v>
      </c>
      <c r="AD309" t="s">
        <v>1703</v>
      </c>
      <c r="AE309" t="s">
        <v>33</v>
      </c>
    </row>
    <row r="310" spans="1:31">
      <c r="A310" t="s">
        <v>1886</v>
      </c>
      <c r="B310" t="s">
        <v>34</v>
      </c>
      <c r="C310" t="s">
        <v>78</v>
      </c>
      <c r="D310" t="s">
        <v>79</v>
      </c>
      <c r="E310" t="s">
        <v>535</v>
      </c>
      <c r="F310" s="1">
        <v>46074.389953703707</v>
      </c>
      <c r="G310" t="s">
        <v>62</v>
      </c>
      <c r="H310" t="s">
        <v>776</v>
      </c>
      <c r="I310" t="s">
        <v>3668</v>
      </c>
      <c r="J310" t="s">
        <v>44</v>
      </c>
      <c r="K310" t="s">
        <v>205</v>
      </c>
      <c r="L310" t="s">
        <v>46</v>
      </c>
      <c r="M310" t="s">
        <v>188</v>
      </c>
      <c r="N310" t="s">
        <v>431</v>
      </c>
      <c r="O310" t="s">
        <v>30</v>
      </c>
      <c r="P310" s="1">
        <v>46078.085115740738</v>
      </c>
      <c r="Q310" s="1">
        <v>46074.391250000001</v>
      </c>
      <c r="R310" t="s">
        <v>1775</v>
      </c>
      <c r="S310" t="s">
        <v>3273</v>
      </c>
      <c r="T310" t="s">
        <v>31</v>
      </c>
      <c r="U310" t="s">
        <v>206</v>
      </c>
      <c r="V310" t="s">
        <v>46</v>
      </c>
      <c r="W310" t="s">
        <v>188</v>
      </c>
      <c r="X310" t="s">
        <v>431</v>
      </c>
      <c r="Y310" t="s">
        <v>3532</v>
      </c>
      <c r="Z310" t="s">
        <v>3530</v>
      </c>
      <c r="AA310" t="s">
        <v>3528</v>
      </c>
      <c r="AB310" t="s">
        <v>32</v>
      </c>
      <c r="AC310" t="s">
        <v>81</v>
      </c>
      <c r="AD310" t="s">
        <v>82</v>
      </c>
      <c r="AE310" t="s">
        <v>33</v>
      </c>
    </row>
    <row r="311" spans="1:31">
      <c r="A311" t="s">
        <v>1887</v>
      </c>
      <c r="B311" t="s">
        <v>34</v>
      </c>
      <c r="C311" t="s">
        <v>282</v>
      </c>
      <c r="D311" t="s">
        <v>1888</v>
      </c>
      <c r="E311" t="s">
        <v>692</v>
      </c>
      <c r="F311" s="1">
        <v>46074.285243055558</v>
      </c>
      <c r="G311" t="s">
        <v>153</v>
      </c>
      <c r="H311" t="s">
        <v>776</v>
      </c>
      <c r="I311" t="s">
        <v>3669</v>
      </c>
      <c r="J311" t="s">
        <v>44</v>
      </c>
      <c r="K311" t="s">
        <v>300</v>
      </c>
      <c r="L311" t="s">
        <v>46</v>
      </c>
      <c r="M311" t="s">
        <v>379</v>
      </c>
      <c r="N311" t="s">
        <v>379</v>
      </c>
      <c r="O311" t="s">
        <v>30</v>
      </c>
      <c r="P311" s="1">
        <v>46078.084953703707</v>
      </c>
      <c r="Q311" s="1">
        <v>46074.285324074073</v>
      </c>
      <c r="R311" t="s">
        <v>1775</v>
      </c>
      <c r="S311" t="s">
        <v>3140</v>
      </c>
      <c r="T311" t="s">
        <v>31</v>
      </c>
      <c r="U311" t="s">
        <v>399</v>
      </c>
      <c r="V311" t="s">
        <v>46</v>
      </c>
      <c r="W311" t="s">
        <v>379</v>
      </c>
      <c r="X311" t="s">
        <v>379</v>
      </c>
      <c r="Y311">
        <v>3607</v>
      </c>
      <c r="Z311" t="s">
        <v>3530</v>
      </c>
      <c r="AA311" t="s">
        <v>3528</v>
      </c>
      <c r="AB311" t="s">
        <v>32</v>
      </c>
      <c r="AC311" t="s">
        <v>1889</v>
      </c>
      <c r="AD311" t="s">
        <v>1890</v>
      </c>
      <c r="AE311" t="s">
        <v>33</v>
      </c>
    </row>
    <row r="312" spans="1:31">
      <c r="A312" t="s">
        <v>1891</v>
      </c>
      <c r="B312" t="s">
        <v>34</v>
      </c>
      <c r="C312" t="s">
        <v>282</v>
      </c>
      <c r="D312" t="s">
        <v>1888</v>
      </c>
      <c r="E312" t="s">
        <v>692</v>
      </c>
      <c r="F312" s="1">
        <v>46074.285011574073</v>
      </c>
      <c r="G312" t="s">
        <v>153</v>
      </c>
      <c r="H312" t="s">
        <v>776</v>
      </c>
      <c r="I312" t="s">
        <v>3669</v>
      </c>
      <c r="J312" t="s">
        <v>44</v>
      </c>
      <c r="K312" t="s">
        <v>300</v>
      </c>
      <c r="L312" t="s">
        <v>46</v>
      </c>
      <c r="M312" t="s">
        <v>379</v>
      </c>
      <c r="N312" t="s">
        <v>379</v>
      </c>
      <c r="O312" t="s">
        <v>30</v>
      </c>
      <c r="P312" s="1">
        <v>46078.08494212963</v>
      </c>
      <c r="Q312" s="1">
        <v>46074.285115740742</v>
      </c>
      <c r="R312" t="s">
        <v>1775</v>
      </c>
      <c r="S312" t="s">
        <v>3140</v>
      </c>
      <c r="T312" t="s">
        <v>31</v>
      </c>
      <c r="U312" t="s">
        <v>399</v>
      </c>
      <c r="V312" t="s">
        <v>46</v>
      </c>
      <c r="W312" t="s">
        <v>379</v>
      </c>
      <c r="X312" t="s">
        <v>379</v>
      </c>
      <c r="Y312">
        <v>3607</v>
      </c>
      <c r="Z312" t="s">
        <v>3530</v>
      </c>
      <c r="AA312" t="s">
        <v>3528</v>
      </c>
      <c r="AB312" t="s">
        <v>32</v>
      </c>
      <c r="AC312" t="s">
        <v>1889</v>
      </c>
      <c r="AD312" t="s">
        <v>1890</v>
      </c>
      <c r="AE312" t="s">
        <v>33</v>
      </c>
    </row>
    <row r="313" spans="1:31">
      <c r="A313" t="s">
        <v>1892</v>
      </c>
      <c r="B313" t="s">
        <v>34</v>
      </c>
      <c r="C313" t="s">
        <v>25</v>
      </c>
      <c r="D313" t="s">
        <v>1699</v>
      </c>
      <c r="E313" t="s">
        <v>656</v>
      </c>
      <c r="F313" s="1">
        <v>46074.280439814815</v>
      </c>
      <c r="G313" t="s">
        <v>153</v>
      </c>
      <c r="H313" t="s">
        <v>776</v>
      </c>
      <c r="I313" t="s">
        <v>3669</v>
      </c>
      <c r="J313" t="s">
        <v>44</v>
      </c>
      <c r="K313" t="s">
        <v>300</v>
      </c>
      <c r="L313" t="s">
        <v>46</v>
      </c>
      <c r="M313" t="s">
        <v>47</v>
      </c>
      <c r="N313" t="s">
        <v>657</v>
      </c>
      <c r="O313" t="s">
        <v>30</v>
      </c>
      <c r="P313" s="1">
        <v>46078.084918981483</v>
      </c>
      <c r="Q313" s="1">
        <v>46074.280555555553</v>
      </c>
      <c r="R313" t="s">
        <v>1775</v>
      </c>
      <c r="S313" t="s">
        <v>3274</v>
      </c>
      <c r="T313" t="s">
        <v>31</v>
      </c>
      <c r="U313" t="s">
        <v>399</v>
      </c>
      <c r="V313" t="s">
        <v>46</v>
      </c>
      <c r="W313" t="s">
        <v>47</v>
      </c>
      <c r="X313" t="s">
        <v>48</v>
      </c>
      <c r="Y313" t="s">
        <v>3634</v>
      </c>
      <c r="Z313" t="s">
        <v>3530</v>
      </c>
      <c r="AA313" t="s">
        <v>3528</v>
      </c>
      <c r="AB313" t="s">
        <v>32</v>
      </c>
      <c r="AC313" t="s">
        <v>1893</v>
      </c>
      <c r="AD313" t="s">
        <v>1894</v>
      </c>
      <c r="AE313" t="s">
        <v>33</v>
      </c>
    </row>
    <row r="314" spans="1:31">
      <c r="A314" t="s">
        <v>1895</v>
      </c>
      <c r="B314" t="s">
        <v>34</v>
      </c>
      <c r="C314" t="s">
        <v>737</v>
      </c>
      <c r="D314" t="s">
        <v>738</v>
      </c>
      <c r="E314" t="s">
        <v>109</v>
      </c>
      <c r="F314" s="1">
        <v>46074.26116898148</v>
      </c>
      <c r="G314" t="s">
        <v>153</v>
      </c>
      <c r="H314" t="s">
        <v>776</v>
      </c>
      <c r="I314" t="s">
        <v>3669</v>
      </c>
      <c r="J314" t="s">
        <v>44</v>
      </c>
      <c r="K314" t="s">
        <v>300</v>
      </c>
      <c r="L314" t="s">
        <v>46</v>
      </c>
      <c r="M314" t="s">
        <v>110</v>
      </c>
      <c r="N314" t="s">
        <v>111</v>
      </c>
      <c r="O314" t="s">
        <v>30</v>
      </c>
      <c r="P314" s="1">
        <v>46078.08489583333</v>
      </c>
      <c r="Q314" s="1">
        <v>46074.261273148149</v>
      </c>
      <c r="R314" t="s">
        <v>1775</v>
      </c>
      <c r="S314" t="s">
        <v>3275</v>
      </c>
      <c r="T314" t="s">
        <v>31</v>
      </c>
      <c r="U314" t="s">
        <v>399</v>
      </c>
      <c r="V314" t="s">
        <v>46</v>
      </c>
      <c r="W314" t="s">
        <v>110</v>
      </c>
      <c r="X314" t="s">
        <v>111</v>
      </c>
      <c r="Y314" t="s">
        <v>3577</v>
      </c>
      <c r="Z314" t="s">
        <v>3530</v>
      </c>
      <c r="AA314" t="s">
        <v>3528</v>
      </c>
      <c r="AB314" t="s">
        <v>32</v>
      </c>
      <c r="AC314" t="s">
        <v>740</v>
      </c>
      <c r="AD314" t="s">
        <v>741</v>
      </c>
      <c r="AE314" t="s">
        <v>33</v>
      </c>
    </row>
    <row r="315" spans="1:31">
      <c r="A315" t="s">
        <v>1896</v>
      </c>
      <c r="B315" t="s">
        <v>34</v>
      </c>
      <c r="C315" t="s">
        <v>115</v>
      </c>
      <c r="D315" t="s">
        <v>115</v>
      </c>
      <c r="E315" t="s">
        <v>692</v>
      </c>
      <c r="F315" s="1">
        <v>46074.194108796299</v>
      </c>
      <c r="G315" t="s">
        <v>96</v>
      </c>
      <c r="H315" t="s">
        <v>776</v>
      </c>
      <c r="I315" t="s">
        <v>96</v>
      </c>
      <c r="J315" t="s">
        <v>44</v>
      </c>
      <c r="K315" t="s">
        <v>300</v>
      </c>
      <c r="L315" t="s">
        <v>46</v>
      </c>
      <c r="M315" t="s">
        <v>379</v>
      </c>
      <c r="N315" t="s">
        <v>379</v>
      </c>
      <c r="O315" t="s">
        <v>30</v>
      </c>
      <c r="P315" s="1">
        <v>46078.084826388891</v>
      </c>
      <c r="Q315" s="1">
        <v>46074.194189814814</v>
      </c>
      <c r="R315" t="s">
        <v>1775</v>
      </c>
      <c r="S315" t="s">
        <v>3140</v>
      </c>
      <c r="T315" t="s">
        <v>31</v>
      </c>
      <c r="U315" t="s">
        <v>399</v>
      </c>
      <c r="V315" t="s">
        <v>46</v>
      </c>
      <c r="W315" t="s">
        <v>379</v>
      </c>
      <c r="X315" t="s">
        <v>379</v>
      </c>
      <c r="Y315">
        <v>871</v>
      </c>
      <c r="Z315" t="s">
        <v>3530</v>
      </c>
      <c r="AA315" t="s">
        <v>3528</v>
      </c>
      <c r="AB315" t="s">
        <v>32</v>
      </c>
      <c r="AC315" t="s">
        <v>1180</v>
      </c>
      <c r="AD315" t="s">
        <v>1181</v>
      </c>
      <c r="AE315" t="s">
        <v>33</v>
      </c>
    </row>
    <row r="316" spans="1:31">
      <c r="A316" t="s">
        <v>1897</v>
      </c>
      <c r="B316" t="s">
        <v>34</v>
      </c>
      <c r="C316" t="s">
        <v>115</v>
      </c>
      <c r="D316" t="s">
        <v>115</v>
      </c>
      <c r="E316" t="s">
        <v>590</v>
      </c>
      <c r="F316" s="1">
        <v>46074.193749999999</v>
      </c>
      <c r="G316" t="s">
        <v>96</v>
      </c>
      <c r="H316" t="s">
        <v>776</v>
      </c>
      <c r="I316" t="s">
        <v>96</v>
      </c>
      <c r="J316" t="s">
        <v>44</v>
      </c>
      <c r="K316" t="s">
        <v>300</v>
      </c>
      <c r="L316" t="s">
        <v>46</v>
      </c>
      <c r="M316" t="s">
        <v>379</v>
      </c>
      <c r="N316" t="s">
        <v>379</v>
      </c>
      <c r="O316" t="s">
        <v>30</v>
      </c>
      <c r="P316" s="1">
        <v>46078.084814814814</v>
      </c>
      <c r="Q316" s="1">
        <v>46074.193888888891</v>
      </c>
      <c r="R316" t="s">
        <v>1775</v>
      </c>
      <c r="S316" t="s">
        <v>3132</v>
      </c>
      <c r="T316" t="s">
        <v>31</v>
      </c>
      <c r="U316" t="s">
        <v>399</v>
      </c>
      <c r="V316" t="s">
        <v>46</v>
      </c>
      <c r="W316" t="s">
        <v>379</v>
      </c>
      <c r="X316" t="s">
        <v>379</v>
      </c>
      <c r="Y316">
        <v>871</v>
      </c>
      <c r="Z316" t="s">
        <v>3530</v>
      </c>
      <c r="AA316" t="s">
        <v>3528</v>
      </c>
      <c r="AB316" t="s">
        <v>32</v>
      </c>
      <c r="AC316" t="s">
        <v>1180</v>
      </c>
      <c r="AD316" t="s">
        <v>1181</v>
      </c>
      <c r="AE316" t="s">
        <v>33</v>
      </c>
    </row>
    <row r="317" spans="1:31">
      <c r="A317" t="s">
        <v>1898</v>
      </c>
      <c r="B317" t="s">
        <v>34</v>
      </c>
      <c r="C317" t="s">
        <v>1899</v>
      </c>
      <c r="D317" t="s">
        <v>116</v>
      </c>
      <c r="E317" t="s">
        <v>109</v>
      </c>
      <c r="F317" s="1">
        <v>46073.964872685188</v>
      </c>
      <c r="G317" t="s">
        <v>108</v>
      </c>
      <c r="H317" t="s">
        <v>776</v>
      </c>
      <c r="I317" t="s">
        <v>3666</v>
      </c>
      <c r="J317" t="s">
        <v>44</v>
      </c>
      <c r="K317" t="s">
        <v>514</v>
      </c>
      <c r="L317" t="s">
        <v>46</v>
      </c>
      <c r="M317" t="s">
        <v>110</v>
      </c>
      <c r="N317" t="s">
        <v>111</v>
      </c>
      <c r="O317" t="s">
        <v>30</v>
      </c>
      <c r="P317" s="1">
        <v>46077.089247685188</v>
      </c>
      <c r="Q317" s="1">
        <v>46073.965601851851</v>
      </c>
      <c r="R317" t="s">
        <v>1775</v>
      </c>
      <c r="S317" t="s">
        <v>3276</v>
      </c>
      <c r="T317" t="s">
        <v>31</v>
      </c>
      <c r="U317" t="s">
        <v>266</v>
      </c>
      <c r="V317" t="s">
        <v>46</v>
      </c>
      <c r="W317" t="s">
        <v>110</v>
      </c>
      <c r="X317" t="s">
        <v>111</v>
      </c>
      <c r="Y317" t="s">
        <v>3635</v>
      </c>
      <c r="Z317" t="s">
        <v>3530</v>
      </c>
      <c r="AA317" t="s">
        <v>3528</v>
      </c>
      <c r="AB317" t="s">
        <v>32</v>
      </c>
      <c r="AC317" t="s">
        <v>1268</v>
      </c>
      <c r="AD317" t="s">
        <v>1900</v>
      </c>
      <c r="AE317" t="s">
        <v>33</v>
      </c>
    </row>
    <row r="318" spans="1:31">
      <c r="A318" t="s">
        <v>1903</v>
      </c>
      <c r="B318" t="s">
        <v>24</v>
      </c>
      <c r="C318" t="s">
        <v>1904</v>
      </c>
      <c r="D318" t="s">
        <v>1905</v>
      </c>
      <c r="E318" t="s">
        <v>875</v>
      </c>
      <c r="F318" s="1">
        <v>46073.909004629626</v>
      </c>
      <c r="G318" t="s">
        <v>153</v>
      </c>
      <c r="H318" t="s">
        <v>776</v>
      </c>
      <c r="I318" t="s">
        <v>3669</v>
      </c>
      <c r="J318" t="s">
        <v>44</v>
      </c>
      <c r="K318" t="s">
        <v>514</v>
      </c>
      <c r="L318" t="s">
        <v>46</v>
      </c>
      <c r="M318" t="s">
        <v>197</v>
      </c>
      <c r="N318" t="s">
        <v>875</v>
      </c>
      <c r="O318" t="s">
        <v>86</v>
      </c>
      <c r="P318" s="1">
        <v>46077.089189814818</v>
      </c>
      <c r="Q318" s="1">
        <v>46073.91238425926</v>
      </c>
      <c r="R318" t="s">
        <v>1775</v>
      </c>
      <c r="S318" t="s">
        <v>3277</v>
      </c>
      <c r="T318" t="s">
        <v>31</v>
      </c>
      <c r="U318" t="s">
        <v>266</v>
      </c>
      <c r="V318" t="s">
        <v>46</v>
      </c>
      <c r="W318" t="s">
        <v>197</v>
      </c>
      <c r="X318" t="s">
        <v>875</v>
      </c>
      <c r="Y318">
        <v>1892</v>
      </c>
      <c r="Z318" t="s">
        <v>3530</v>
      </c>
      <c r="AA318" t="s">
        <v>3528</v>
      </c>
      <c r="AB318" t="s">
        <v>32</v>
      </c>
      <c r="AC318" t="s">
        <v>1906</v>
      </c>
      <c r="AD318" t="s">
        <v>1907</v>
      </c>
      <c r="AE318" t="s">
        <v>33</v>
      </c>
    </row>
    <row r="319" spans="1:31" hidden="1">
      <c r="A319" t="s">
        <v>1908</v>
      </c>
      <c r="B319" t="s">
        <v>34</v>
      </c>
      <c r="C319" t="s">
        <v>331</v>
      </c>
      <c r="D319" t="s">
        <v>25</v>
      </c>
      <c r="E319" t="s">
        <v>1909</v>
      </c>
      <c r="F319" s="1">
        <v>46073.801701388889</v>
      </c>
      <c r="G319" t="s">
        <v>186</v>
      </c>
      <c r="H319" t="s">
        <v>776</v>
      </c>
      <c r="I319" t="s">
        <v>3667</v>
      </c>
      <c r="J319" t="s">
        <v>134</v>
      </c>
      <c r="K319" t="s">
        <v>494</v>
      </c>
      <c r="L319" t="s">
        <v>46</v>
      </c>
      <c r="M319" t="s">
        <v>751</v>
      </c>
      <c r="N319" t="s">
        <v>752</v>
      </c>
      <c r="O319" t="s">
        <v>30</v>
      </c>
      <c r="P319" s="1">
        <v>46076.721770833334</v>
      </c>
      <c r="Q319" s="1">
        <v>46076.721724537034</v>
      </c>
      <c r="R319" t="s">
        <v>38</v>
      </c>
      <c r="S319" t="s">
        <v>3278</v>
      </c>
      <c r="T319" t="s">
        <v>31</v>
      </c>
      <c r="U319" t="s">
        <v>266</v>
      </c>
      <c r="V319" t="s">
        <v>46</v>
      </c>
      <c r="W319" t="s">
        <v>751</v>
      </c>
      <c r="X319" t="s">
        <v>752</v>
      </c>
      <c r="Y319" t="s">
        <v>3636</v>
      </c>
      <c r="Z319" t="s">
        <v>3525</v>
      </c>
      <c r="AA319" t="s">
        <v>3526</v>
      </c>
      <c r="AB319" t="s">
        <v>32</v>
      </c>
      <c r="AC319" t="s">
        <v>1910</v>
      </c>
      <c r="AD319" t="s">
        <v>1911</v>
      </c>
      <c r="AE319" t="s">
        <v>33</v>
      </c>
    </row>
    <row r="320" spans="1:31">
      <c r="A320" t="s">
        <v>1912</v>
      </c>
      <c r="B320" t="s">
        <v>34</v>
      </c>
      <c r="C320" t="s">
        <v>1913</v>
      </c>
      <c r="D320" t="s">
        <v>1914</v>
      </c>
      <c r="E320" t="s">
        <v>1915</v>
      </c>
      <c r="F320" s="1">
        <v>46073.789618055554</v>
      </c>
      <c r="G320" t="s">
        <v>128</v>
      </c>
      <c r="H320" t="s">
        <v>776</v>
      </c>
      <c r="I320" t="s">
        <v>3668</v>
      </c>
      <c r="J320" t="s">
        <v>44</v>
      </c>
      <c r="K320" t="s">
        <v>411</v>
      </c>
      <c r="L320" t="s">
        <v>46</v>
      </c>
      <c r="M320" t="s">
        <v>188</v>
      </c>
      <c r="N320" t="s">
        <v>431</v>
      </c>
      <c r="O320" t="s">
        <v>30</v>
      </c>
      <c r="P320" s="1">
        <v>46079.424027777779</v>
      </c>
      <c r="Q320" s="1">
        <v>46079.424004629633</v>
      </c>
      <c r="R320" t="s">
        <v>38</v>
      </c>
      <c r="S320" t="s">
        <v>3637</v>
      </c>
      <c r="T320" t="s">
        <v>31</v>
      </c>
      <c r="U320" t="s">
        <v>266</v>
      </c>
      <c r="V320" t="s">
        <v>46</v>
      </c>
      <c r="W320" t="s">
        <v>188</v>
      </c>
      <c r="X320" t="s">
        <v>431</v>
      </c>
      <c r="Y320" t="s">
        <v>3638</v>
      </c>
      <c r="Z320" t="s">
        <v>3525</v>
      </c>
      <c r="AA320" t="s">
        <v>3526</v>
      </c>
      <c r="AB320" t="s">
        <v>32</v>
      </c>
      <c r="AC320" t="s">
        <v>1916</v>
      </c>
      <c r="AD320" t="s">
        <v>1917</v>
      </c>
      <c r="AE320" t="s">
        <v>33</v>
      </c>
    </row>
    <row r="321" spans="1:31">
      <c r="A321" t="s">
        <v>1918</v>
      </c>
      <c r="B321" t="s">
        <v>34</v>
      </c>
      <c r="C321" t="s">
        <v>1919</v>
      </c>
      <c r="D321" t="s">
        <v>1920</v>
      </c>
      <c r="E321" t="s">
        <v>1921</v>
      </c>
      <c r="F321" s="1">
        <v>46073.761712962965</v>
      </c>
      <c r="G321" t="s">
        <v>62</v>
      </c>
      <c r="H321" t="s">
        <v>776</v>
      </c>
      <c r="I321" t="s">
        <v>3668</v>
      </c>
      <c r="J321" t="s">
        <v>44</v>
      </c>
      <c r="K321" t="s">
        <v>205</v>
      </c>
      <c r="L321" t="s">
        <v>46</v>
      </c>
      <c r="M321" t="s">
        <v>188</v>
      </c>
      <c r="N321" t="s">
        <v>431</v>
      </c>
      <c r="O321" t="s">
        <v>30</v>
      </c>
      <c r="P321" s="1">
        <v>46077.520671296297</v>
      </c>
      <c r="Q321" s="1">
        <v>46077.52065972222</v>
      </c>
      <c r="R321" t="s">
        <v>38</v>
      </c>
      <c r="S321" t="s">
        <v>3188</v>
      </c>
      <c r="T321" t="s">
        <v>31</v>
      </c>
      <c r="U321" t="s">
        <v>266</v>
      </c>
      <c r="V321" t="s">
        <v>46</v>
      </c>
      <c r="W321" t="s">
        <v>188</v>
      </c>
      <c r="X321" t="s">
        <v>431</v>
      </c>
      <c r="Y321" t="s">
        <v>3639</v>
      </c>
      <c r="Z321" t="s">
        <v>3525</v>
      </c>
      <c r="AA321" t="s">
        <v>3526</v>
      </c>
      <c r="AB321" t="s">
        <v>32</v>
      </c>
      <c r="AC321" t="s">
        <v>1922</v>
      </c>
      <c r="AD321" t="s">
        <v>1923</v>
      </c>
      <c r="AE321" t="s">
        <v>33</v>
      </c>
    </row>
    <row r="322" spans="1:31">
      <c r="A322" t="s">
        <v>1924</v>
      </c>
      <c r="B322" t="s">
        <v>34</v>
      </c>
      <c r="C322" t="s">
        <v>1862</v>
      </c>
      <c r="D322" t="s">
        <v>1863</v>
      </c>
      <c r="E322" t="s">
        <v>543</v>
      </c>
      <c r="F322" s="1">
        <v>46073.737928240742</v>
      </c>
      <c r="G322" t="s">
        <v>153</v>
      </c>
      <c r="H322" t="s">
        <v>776</v>
      </c>
      <c r="I322" t="s">
        <v>3669</v>
      </c>
      <c r="J322" t="s">
        <v>44</v>
      </c>
      <c r="K322" t="s">
        <v>514</v>
      </c>
      <c r="L322" t="s">
        <v>46</v>
      </c>
      <c r="M322" t="s">
        <v>379</v>
      </c>
      <c r="N322" t="s">
        <v>379</v>
      </c>
      <c r="O322" t="s">
        <v>30</v>
      </c>
      <c r="P322" s="1">
        <v>46077.089062500003</v>
      </c>
      <c r="Q322" s="1">
        <v>46073.738796296297</v>
      </c>
      <c r="R322" t="s">
        <v>1775</v>
      </c>
      <c r="S322" t="s">
        <v>3279</v>
      </c>
      <c r="T322" t="s">
        <v>31</v>
      </c>
      <c r="U322" t="s">
        <v>266</v>
      </c>
      <c r="V322" t="s">
        <v>46</v>
      </c>
      <c r="W322" t="s">
        <v>379</v>
      </c>
      <c r="X322" t="s">
        <v>379</v>
      </c>
      <c r="Y322">
        <v>4868</v>
      </c>
      <c r="Z322" t="s">
        <v>3530</v>
      </c>
      <c r="AA322" t="s">
        <v>3528</v>
      </c>
      <c r="AB322" t="s">
        <v>32</v>
      </c>
      <c r="AC322" t="s">
        <v>1864</v>
      </c>
      <c r="AD322" t="s">
        <v>1865</v>
      </c>
      <c r="AE322" t="s">
        <v>33</v>
      </c>
    </row>
    <row r="323" spans="1:31" hidden="1">
      <c r="A323" t="s">
        <v>1925</v>
      </c>
      <c r="B323" t="s">
        <v>34</v>
      </c>
      <c r="C323" t="s">
        <v>1926</v>
      </c>
      <c r="D323" t="s">
        <v>172</v>
      </c>
      <c r="E323" t="s">
        <v>1927</v>
      </c>
      <c r="F323" s="1">
        <v>46073.70890046296</v>
      </c>
      <c r="G323" t="s">
        <v>470</v>
      </c>
      <c r="H323" t="s">
        <v>776</v>
      </c>
      <c r="I323" t="s">
        <v>3671</v>
      </c>
      <c r="J323" t="s">
        <v>134</v>
      </c>
      <c r="K323" t="s">
        <v>320</v>
      </c>
      <c r="L323" t="s">
        <v>46</v>
      </c>
      <c r="M323" t="s">
        <v>751</v>
      </c>
      <c r="N323" t="s">
        <v>752</v>
      </c>
      <c r="O323" t="s">
        <v>30</v>
      </c>
      <c r="P323" s="1">
        <v>46076.334606481483</v>
      </c>
      <c r="Q323" s="1">
        <v>46076.334560185183</v>
      </c>
      <c r="R323" t="s">
        <v>38</v>
      </c>
      <c r="S323" t="e">
        <f>- Cleaned / deleted Quarantined items. - deleted temporary files, temporary internet files and cookies. - Ran SEP Active scan. - Completed successfully</f>
        <v>#NAME?</v>
      </c>
      <c r="T323" t="s">
        <v>31</v>
      </c>
      <c r="U323" t="s">
        <v>266</v>
      </c>
      <c r="V323" t="s">
        <v>46</v>
      </c>
      <c r="W323" t="s">
        <v>751</v>
      </c>
      <c r="X323" t="s">
        <v>752</v>
      </c>
      <c r="Y323" t="s">
        <v>3640</v>
      </c>
      <c r="Z323" t="s">
        <v>3525</v>
      </c>
      <c r="AA323" t="s">
        <v>3526</v>
      </c>
      <c r="AB323" t="s">
        <v>32</v>
      </c>
      <c r="AC323" t="s">
        <v>1928</v>
      </c>
      <c r="AD323" t="s">
        <v>1929</v>
      </c>
      <c r="AE323" t="s">
        <v>33</v>
      </c>
    </row>
    <row r="324" spans="1:31">
      <c r="A324" t="s">
        <v>1930</v>
      </c>
      <c r="B324" t="s">
        <v>34</v>
      </c>
      <c r="C324" t="s">
        <v>1724</v>
      </c>
      <c r="D324" t="s">
        <v>1931</v>
      </c>
      <c r="E324" t="s">
        <v>1932</v>
      </c>
      <c r="F324" s="1">
        <v>46073.706875000003</v>
      </c>
      <c r="G324" t="s">
        <v>35</v>
      </c>
      <c r="H324" t="s">
        <v>776</v>
      </c>
      <c r="I324" t="s">
        <v>3772</v>
      </c>
      <c r="J324" t="s">
        <v>44</v>
      </c>
      <c r="K324" t="s">
        <v>514</v>
      </c>
      <c r="L324" t="s">
        <v>46</v>
      </c>
      <c r="M324" t="s">
        <v>751</v>
      </c>
      <c r="N324" t="s">
        <v>752</v>
      </c>
      <c r="O324" t="s">
        <v>30</v>
      </c>
      <c r="P324" s="1">
        <v>46077.089039351849</v>
      </c>
      <c r="Q324" s="1">
        <v>46073.718055555553</v>
      </c>
      <c r="R324" t="s">
        <v>1775</v>
      </c>
      <c r="S324" t="s">
        <v>3280</v>
      </c>
      <c r="T324" t="s">
        <v>31</v>
      </c>
      <c r="U324" t="s">
        <v>266</v>
      </c>
      <c r="V324" t="s">
        <v>46</v>
      </c>
      <c r="W324" t="s">
        <v>751</v>
      </c>
      <c r="X324" t="s">
        <v>752</v>
      </c>
      <c r="Y324" t="s">
        <v>3641</v>
      </c>
      <c r="Z324" t="s">
        <v>3525</v>
      </c>
      <c r="AA324" t="s">
        <v>3528</v>
      </c>
      <c r="AB324" t="s">
        <v>32</v>
      </c>
      <c r="AC324" t="s">
        <v>1933</v>
      </c>
      <c r="AD324" t="s">
        <v>1934</v>
      </c>
      <c r="AE324" t="s">
        <v>33</v>
      </c>
    </row>
    <row r="325" spans="1:31" hidden="1">
      <c r="A325" t="s">
        <v>1938</v>
      </c>
      <c r="B325" t="s">
        <v>24</v>
      </c>
      <c r="C325" t="s">
        <v>1939</v>
      </c>
      <c r="D325" t="s">
        <v>1940</v>
      </c>
      <c r="E325" t="s">
        <v>1941</v>
      </c>
      <c r="F325" s="1">
        <v>46073.674803240741</v>
      </c>
      <c r="G325" t="s">
        <v>26</v>
      </c>
      <c r="H325" t="s">
        <v>776</v>
      </c>
      <c r="I325" t="s">
        <v>3665</v>
      </c>
      <c r="J325" t="s">
        <v>134</v>
      </c>
      <c r="K325" t="s">
        <v>135</v>
      </c>
      <c r="L325" t="s">
        <v>46</v>
      </c>
      <c r="M325" t="s">
        <v>197</v>
      </c>
      <c r="N325" t="s">
        <v>875</v>
      </c>
      <c r="O325" t="s">
        <v>86</v>
      </c>
      <c r="P325" s="1">
        <v>46076.447731481479</v>
      </c>
      <c r="Q325" s="1">
        <v>46076.447696759256</v>
      </c>
      <c r="R325" t="s">
        <v>38</v>
      </c>
      <c r="S325" t="s">
        <v>3281</v>
      </c>
      <c r="T325" t="s">
        <v>31</v>
      </c>
      <c r="U325" t="s">
        <v>266</v>
      </c>
      <c r="V325" t="s">
        <v>46</v>
      </c>
      <c r="W325" t="s">
        <v>110</v>
      </c>
      <c r="X325" t="s">
        <v>3181</v>
      </c>
      <c r="Y325">
        <v>3297</v>
      </c>
      <c r="Z325" t="s">
        <v>3525</v>
      </c>
      <c r="AA325" t="s">
        <v>3526</v>
      </c>
      <c r="AB325" t="s">
        <v>32</v>
      </c>
      <c r="AC325" t="s">
        <v>1942</v>
      </c>
      <c r="AD325" t="s">
        <v>1943</v>
      </c>
      <c r="AE325" t="s">
        <v>33</v>
      </c>
    </row>
    <row r="326" spans="1:31" hidden="1">
      <c r="A326" t="s">
        <v>1944</v>
      </c>
      <c r="B326" t="s">
        <v>24</v>
      </c>
      <c r="C326" t="s">
        <v>123</v>
      </c>
      <c r="D326" t="s">
        <v>1945</v>
      </c>
      <c r="E326" t="s">
        <v>1946</v>
      </c>
      <c r="F326" s="1">
        <v>46073.573923611111</v>
      </c>
      <c r="G326" t="s">
        <v>226</v>
      </c>
      <c r="H326" t="s">
        <v>776</v>
      </c>
      <c r="I326" t="s">
        <v>3665</v>
      </c>
      <c r="J326" t="s">
        <v>134</v>
      </c>
      <c r="K326" t="s">
        <v>1219</v>
      </c>
      <c r="L326" t="s">
        <v>46</v>
      </c>
      <c r="M326" t="s">
        <v>314</v>
      </c>
      <c r="N326" t="s">
        <v>1947</v>
      </c>
      <c r="O326" t="s">
        <v>284</v>
      </c>
      <c r="P326" s="1">
        <v>46077.087638888886</v>
      </c>
      <c r="Q326" s="1">
        <v>46073.669305555559</v>
      </c>
      <c r="R326" t="s">
        <v>1775</v>
      </c>
      <c r="S326" t="s">
        <v>3282</v>
      </c>
      <c r="T326" t="s">
        <v>31</v>
      </c>
      <c r="U326" t="s">
        <v>726</v>
      </c>
      <c r="V326" t="s">
        <v>46</v>
      </c>
      <c r="W326" t="s">
        <v>314</v>
      </c>
      <c r="X326" t="s">
        <v>1947</v>
      </c>
      <c r="Y326">
        <v>6110</v>
      </c>
      <c r="Z326" t="s">
        <v>3530</v>
      </c>
      <c r="AA326" t="s">
        <v>3528</v>
      </c>
      <c r="AB326" t="s">
        <v>32</v>
      </c>
      <c r="AC326" t="s">
        <v>1948</v>
      </c>
      <c r="AD326" t="s">
        <v>1949</v>
      </c>
      <c r="AE326" t="s">
        <v>33</v>
      </c>
    </row>
    <row r="327" spans="1:31">
      <c r="A327" t="s">
        <v>1950</v>
      </c>
      <c r="B327" t="s">
        <v>24</v>
      </c>
      <c r="C327" t="s">
        <v>169</v>
      </c>
      <c r="D327" t="s">
        <v>1951</v>
      </c>
      <c r="E327" t="s">
        <v>1952</v>
      </c>
      <c r="F327" s="1">
        <v>46073.514803240738</v>
      </c>
      <c r="G327" t="s">
        <v>74</v>
      </c>
      <c r="H327" t="s">
        <v>776</v>
      </c>
      <c r="I327" t="s">
        <v>3665</v>
      </c>
      <c r="J327" t="s">
        <v>44</v>
      </c>
      <c r="K327" t="s">
        <v>411</v>
      </c>
      <c r="L327" t="s">
        <v>46</v>
      </c>
      <c r="M327" t="s">
        <v>559</v>
      </c>
      <c r="N327" t="s">
        <v>48</v>
      </c>
      <c r="O327" t="s">
        <v>86</v>
      </c>
      <c r="P327" s="1">
        <v>46077.087523148148</v>
      </c>
      <c r="Q327" s="1">
        <v>46073.51934027778</v>
      </c>
      <c r="R327" t="s">
        <v>1775</v>
      </c>
      <c r="S327" t="s">
        <v>3283</v>
      </c>
      <c r="T327" t="s">
        <v>31</v>
      </c>
      <c r="U327" t="s">
        <v>413</v>
      </c>
      <c r="V327" t="s">
        <v>46</v>
      </c>
      <c r="W327" t="s">
        <v>559</v>
      </c>
      <c r="X327" t="s">
        <v>48</v>
      </c>
      <c r="Y327">
        <v>12556</v>
      </c>
      <c r="Z327" t="s">
        <v>3530</v>
      </c>
      <c r="AA327" t="s">
        <v>3528</v>
      </c>
      <c r="AB327" t="s">
        <v>32</v>
      </c>
      <c r="AC327" t="s">
        <v>1953</v>
      </c>
      <c r="AD327" t="s">
        <v>1954</v>
      </c>
      <c r="AE327" t="s">
        <v>33</v>
      </c>
    </row>
    <row r="328" spans="1:31">
      <c r="A328" t="s">
        <v>1955</v>
      </c>
      <c r="B328" t="s">
        <v>24</v>
      </c>
      <c r="C328" t="s">
        <v>1956</v>
      </c>
      <c r="D328" t="s">
        <v>261</v>
      </c>
      <c r="E328" t="s">
        <v>453</v>
      </c>
      <c r="F328" s="1">
        <v>46073.506284722222</v>
      </c>
      <c r="G328" t="s">
        <v>242</v>
      </c>
      <c r="H328" t="s">
        <v>776</v>
      </c>
      <c r="I328" t="s">
        <v>3671</v>
      </c>
      <c r="J328" t="s">
        <v>44</v>
      </c>
      <c r="K328" t="s">
        <v>290</v>
      </c>
      <c r="L328" t="s">
        <v>46</v>
      </c>
      <c r="M328" t="s">
        <v>454</v>
      </c>
      <c r="N328" t="s">
        <v>1957</v>
      </c>
      <c r="O328" t="s">
        <v>86</v>
      </c>
      <c r="P328" s="1">
        <v>46077.087500000001</v>
      </c>
      <c r="Q328" s="1">
        <v>46073.507245370369</v>
      </c>
      <c r="R328" t="s">
        <v>1775</v>
      </c>
      <c r="S328" t="s">
        <v>3284</v>
      </c>
      <c r="T328" t="s">
        <v>31</v>
      </c>
      <c r="U328" t="s">
        <v>190</v>
      </c>
      <c r="V328" t="s">
        <v>46</v>
      </c>
      <c r="W328" t="s">
        <v>454</v>
      </c>
      <c r="X328" t="s">
        <v>3285</v>
      </c>
      <c r="Y328">
        <v>13248</v>
      </c>
      <c r="Z328" t="s">
        <v>3530</v>
      </c>
      <c r="AA328" t="s">
        <v>3528</v>
      </c>
      <c r="AB328" t="s">
        <v>32</v>
      </c>
      <c r="AC328" t="s">
        <v>1958</v>
      </c>
      <c r="AD328" t="s">
        <v>1959</v>
      </c>
      <c r="AE328" t="s">
        <v>33</v>
      </c>
    </row>
    <row r="329" spans="1:31">
      <c r="A329" t="s">
        <v>1960</v>
      </c>
      <c r="B329" t="s">
        <v>34</v>
      </c>
      <c r="C329" t="s">
        <v>220</v>
      </c>
      <c r="D329" t="s">
        <v>91</v>
      </c>
      <c r="E329" t="s">
        <v>212</v>
      </c>
      <c r="F329" s="1">
        <v>46073.502245370371</v>
      </c>
      <c r="G329" t="s">
        <v>118</v>
      </c>
      <c r="H329" t="s">
        <v>776</v>
      </c>
      <c r="I329" t="s">
        <v>3666</v>
      </c>
      <c r="J329" t="s">
        <v>44</v>
      </c>
      <c r="K329" t="s">
        <v>473</v>
      </c>
      <c r="L329" t="s">
        <v>162</v>
      </c>
      <c r="M329" t="s">
        <v>163</v>
      </c>
      <c r="N329" t="s">
        <v>164</v>
      </c>
      <c r="O329" t="s">
        <v>30</v>
      </c>
      <c r="P329" s="1">
        <v>46077.444328703707</v>
      </c>
      <c r="Q329" s="1">
        <v>46077.44431712963</v>
      </c>
      <c r="R329" t="s">
        <v>38</v>
      </c>
      <c r="S329" t="s">
        <v>3286</v>
      </c>
      <c r="T329" t="s">
        <v>31</v>
      </c>
      <c r="U329" t="s">
        <v>104</v>
      </c>
      <c r="V329" t="s">
        <v>46</v>
      </c>
      <c r="W329" t="s">
        <v>110</v>
      </c>
      <c r="X329" t="s">
        <v>3287</v>
      </c>
      <c r="Y329">
        <v>2850</v>
      </c>
      <c r="Z329" t="s">
        <v>3536</v>
      </c>
      <c r="AA329" t="s">
        <v>3526</v>
      </c>
      <c r="AB329" t="s">
        <v>32</v>
      </c>
      <c r="AC329" t="s">
        <v>380</v>
      </c>
      <c r="AD329" t="s">
        <v>381</v>
      </c>
      <c r="AE329" t="s">
        <v>33</v>
      </c>
    </row>
    <row r="330" spans="1:31">
      <c r="A330" t="s">
        <v>1961</v>
      </c>
      <c r="B330" t="s">
        <v>34</v>
      </c>
      <c r="C330" t="s">
        <v>220</v>
      </c>
      <c r="D330" t="s">
        <v>91</v>
      </c>
      <c r="E330" t="s">
        <v>212</v>
      </c>
      <c r="F330" s="1">
        <v>46073.498217592591</v>
      </c>
      <c r="G330" t="s">
        <v>118</v>
      </c>
      <c r="H330" t="s">
        <v>776</v>
      </c>
      <c r="I330" t="s">
        <v>3666</v>
      </c>
      <c r="J330" t="s">
        <v>44</v>
      </c>
      <c r="K330" t="s">
        <v>253</v>
      </c>
      <c r="L330" t="s">
        <v>162</v>
      </c>
      <c r="M330" t="s">
        <v>163</v>
      </c>
      <c r="N330" t="s">
        <v>164</v>
      </c>
      <c r="O330" t="s">
        <v>30</v>
      </c>
      <c r="P330" s="1">
        <v>46077.504988425928</v>
      </c>
      <c r="Q330" s="1">
        <v>46077.504930555559</v>
      </c>
      <c r="R330" t="s">
        <v>38</v>
      </c>
      <c r="S330" t="s">
        <v>3288</v>
      </c>
      <c r="T330" t="s">
        <v>31</v>
      </c>
      <c r="U330" t="s">
        <v>104</v>
      </c>
      <c r="V330" t="s">
        <v>46</v>
      </c>
      <c r="W330" t="s">
        <v>110</v>
      </c>
      <c r="X330" t="s">
        <v>3110</v>
      </c>
      <c r="Y330">
        <v>2850</v>
      </c>
      <c r="Z330" t="s">
        <v>3536</v>
      </c>
      <c r="AA330" t="s">
        <v>3526</v>
      </c>
      <c r="AB330" t="s">
        <v>32</v>
      </c>
      <c r="AC330" t="s">
        <v>380</v>
      </c>
      <c r="AD330" t="s">
        <v>381</v>
      </c>
      <c r="AE330" t="s">
        <v>33</v>
      </c>
    </row>
    <row r="331" spans="1:31">
      <c r="A331" t="s">
        <v>1962</v>
      </c>
      <c r="B331" t="s">
        <v>34</v>
      </c>
      <c r="C331" t="s">
        <v>220</v>
      </c>
      <c r="D331" t="s">
        <v>91</v>
      </c>
      <c r="E331" t="s">
        <v>212</v>
      </c>
      <c r="F331" s="1">
        <v>46073.495509259257</v>
      </c>
      <c r="G331" t="s">
        <v>118</v>
      </c>
      <c r="H331" t="s">
        <v>776</v>
      </c>
      <c r="I331" t="s">
        <v>3666</v>
      </c>
      <c r="J331" t="s">
        <v>44</v>
      </c>
      <c r="K331" t="s">
        <v>473</v>
      </c>
      <c r="L331" t="s">
        <v>162</v>
      </c>
      <c r="M331" t="s">
        <v>163</v>
      </c>
      <c r="N331" t="s">
        <v>164</v>
      </c>
      <c r="O331" t="s">
        <v>30</v>
      </c>
      <c r="P331" s="1">
        <v>46077.442280092589</v>
      </c>
      <c r="Q331" s="1">
        <v>46077.442256944443</v>
      </c>
      <c r="R331" t="s">
        <v>38</v>
      </c>
      <c r="S331" t="s">
        <v>3289</v>
      </c>
      <c r="T331" t="s">
        <v>31</v>
      </c>
      <c r="U331" t="s">
        <v>104</v>
      </c>
      <c r="V331" t="s">
        <v>46</v>
      </c>
      <c r="W331" t="s">
        <v>110</v>
      </c>
      <c r="X331" t="s">
        <v>3287</v>
      </c>
      <c r="Y331">
        <v>2850</v>
      </c>
      <c r="Z331" t="s">
        <v>3536</v>
      </c>
      <c r="AA331" t="s">
        <v>3526</v>
      </c>
      <c r="AB331" t="s">
        <v>32</v>
      </c>
      <c r="AC331" t="s">
        <v>380</v>
      </c>
      <c r="AD331" t="s">
        <v>381</v>
      </c>
      <c r="AE331" t="s">
        <v>33</v>
      </c>
    </row>
    <row r="332" spans="1:31" hidden="1">
      <c r="A332" t="s">
        <v>1963</v>
      </c>
      <c r="B332" t="s">
        <v>34</v>
      </c>
      <c r="C332" t="s">
        <v>1964</v>
      </c>
      <c r="D332" t="s">
        <v>1965</v>
      </c>
      <c r="E332" t="s">
        <v>1320</v>
      </c>
      <c r="F332" s="1">
        <v>46073.495127314818</v>
      </c>
      <c r="G332" t="s">
        <v>26</v>
      </c>
      <c r="H332" t="s">
        <v>776</v>
      </c>
      <c r="I332" t="s">
        <v>3665</v>
      </c>
      <c r="J332" t="s">
        <v>134</v>
      </c>
      <c r="K332" t="s">
        <v>320</v>
      </c>
      <c r="L332" t="s">
        <v>162</v>
      </c>
      <c r="M332" t="s">
        <v>163</v>
      </c>
      <c r="N332" t="s">
        <v>164</v>
      </c>
      <c r="O332" t="s">
        <v>30</v>
      </c>
      <c r="P332" s="1">
        <v>46078.366724537038</v>
      </c>
      <c r="Q332" s="1">
        <v>46078.366712962961</v>
      </c>
      <c r="R332" t="s">
        <v>38</v>
      </c>
      <c r="S332" t="e">
        <f>- after troubleshooting the issue, found it is hardware issue. - Escalated to AMC support team - they visited and replaced the Faulty keyboards.</f>
        <v>#NAME?</v>
      </c>
      <c r="T332" t="s">
        <v>31</v>
      </c>
      <c r="U332" t="s">
        <v>104</v>
      </c>
      <c r="V332" t="s">
        <v>46</v>
      </c>
      <c r="W332" t="s">
        <v>582</v>
      </c>
      <c r="X332" t="s">
        <v>3290</v>
      </c>
      <c r="Y332" t="s">
        <v>3642</v>
      </c>
      <c r="Z332" t="s">
        <v>3536</v>
      </c>
      <c r="AA332" t="s">
        <v>3526</v>
      </c>
      <c r="AB332" t="s">
        <v>32</v>
      </c>
      <c r="AC332" t="s">
        <v>1966</v>
      </c>
      <c r="AD332" t="s">
        <v>1967</v>
      </c>
      <c r="AE332" t="s">
        <v>33</v>
      </c>
    </row>
    <row r="333" spans="1:31">
      <c r="A333" t="s">
        <v>1968</v>
      </c>
      <c r="B333" t="s">
        <v>34</v>
      </c>
      <c r="C333" t="s">
        <v>169</v>
      </c>
      <c r="D333" t="s">
        <v>257</v>
      </c>
      <c r="E333" t="s">
        <v>535</v>
      </c>
      <c r="F333" s="1">
        <v>46073.489560185182</v>
      </c>
      <c r="G333" t="s">
        <v>62</v>
      </c>
      <c r="H333" t="s">
        <v>776</v>
      </c>
      <c r="I333" t="s">
        <v>3668</v>
      </c>
      <c r="J333" t="s">
        <v>44</v>
      </c>
      <c r="K333" t="s">
        <v>411</v>
      </c>
      <c r="L333" t="s">
        <v>46</v>
      </c>
      <c r="M333" t="s">
        <v>188</v>
      </c>
      <c r="N333" t="s">
        <v>431</v>
      </c>
      <c r="O333" t="s">
        <v>30</v>
      </c>
      <c r="P333" s="1">
        <v>46077.087395833332</v>
      </c>
      <c r="Q333" s="1">
        <v>46073.49</v>
      </c>
      <c r="R333" t="s">
        <v>1775</v>
      </c>
      <c r="S333" t="s">
        <v>3291</v>
      </c>
      <c r="T333" t="s">
        <v>31</v>
      </c>
      <c r="U333" t="s">
        <v>413</v>
      </c>
      <c r="V333" t="s">
        <v>46</v>
      </c>
      <c r="W333" t="s">
        <v>188</v>
      </c>
      <c r="X333" t="s">
        <v>431</v>
      </c>
      <c r="Y333">
        <v>12173</v>
      </c>
      <c r="Z333" t="s">
        <v>3530</v>
      </c>
      <c r="AA333" t="s">
        <v>3528</v>
      </c>
      <c r="AB333" t="s">
        <v>32</v>
      </c>
      <c r="AC333" t="s">
        <v>258</v>
      </c>
      <c r="AD333" t="s">
        <v>259</v>
      </c>
      <c r="AE333" t="s">
        <v>33</v>
      </c>
    </row>
    <row r="334" spans="1:31">
      <c r="A334" t="s">
        <v>1969</v>
      </c>
      <c r="B334" t="s">
        <v>34</v>
      </c>
      <c r="C334" t="s">
        <v>25</v>
      </c>
      <c r="D334" t="s">
        <v>964</v>
      </c>
      <c r="E334" t="s">
        <v>421</v>
      </c>
      <c r="F334" s="1">
        <v>46073.486111111109</v>
      </c>
      <c r="G334" t="s">
        <v>26</v>
      </c>
      <c r="H334" t="s">
        <v>776</v>
      </c>
      <c r="I334" t="s">
        <v>3665</v>
      </c>
      <c r="J334" t="s">
        <v>44</v>
      </c>
      <c r="K334" t="s">
        <v>514</v>
      </c>
      <c r="L334" t="s">
        <v>162</v>
      </c>
      <c r="M334" t="s">
        <v>163</v>
      </c>
      <c r="N334" t="s">
        <v>164</v>
      </c>
      <c r="O334" t="s">
        <v>30</v>
      </c>
      <c r="P334" s="1">
        <v>46077.532962962963</v>
      </c>
      <c r="Q334" s="1">
        <v>46077.532951388886</v>
      </c>
      <c r="R334" t="s">
        <v>38</v>
      </c>
      <c r="S334" t="s">
        <v>3172</v>
      </c>
      <c r="T334" t="s">
        <v>31</v>
      </c>
      <c r="U334" t="s">
        <v>104</v>
      </c>
      <c r="V334" t="s">
        <v>46</v>
      </c>
      <c r="W334" t="s">
        <v>94</v>
      </c>
      <c r="X334" t="s">
        <v>95</v>
      </c>
      <c r="Y334" t="s">
        <v>3589</v>
      </c>
      <c r="Z334" t="s">
        <v>3536</v>
      </c>
      <c r="AA334" t="s">
        <v>3526</v>
      </c>
      <c r="AB334" t="s">
        <v>32</v>
      </c>
      <c r="AC334" t="s">
        <v>965</v>
      </c>
      <c r="AD334" t="s">
        <v>966</v>
      </c>
      <c r="AE334" t="s">
        <v>33</v>
      </c>
    </row>
    <row r="335" spans="1:31">
      <c r="A335" t="s">
        <v>1970</v>
      </c>
      <c r="B335" t="s">
        <v>34</v>
      </c>
      <c r="C335" t="s">
        <v>1971</v>
      </c>
      <c r="D335" t="s">
        <v>1972</v>
      </c>
      <c r="E335" t="s">
        <v>1973</v>
      </c>
      <c r="F335" s="1">
        <v>46073.486701388887</v>
      </c>
      <c r="G335" t="s">
        <v>353</v>
      </c>
      <c r="H335" t="s">
        <v>776</v>
      </c>
      <c r="I335" t="s">
        <v>3671</v>
      </c>
      <c r="J335" t="s">
        <v>44</v>
      </c>
      <c r="K335" t="s">
        <v>253</v>
      </c>
      <c r="L335" t="s">
        <v>120</v>
      </c>
      <c r="M335" t="s">
        <v>121</v>
      </c>
      <c r="N335" t="s">
        <v>122</v>
      </c>
      <c r="O335" t="s">
        <v>30</v>
      </c>
      <c r="P335" s="1">
        <v>46077.087372685186</v>
      </c>
      <c r="Q335" s="1">
        <v>46073.491527777776</v>
      </c>
      <c r="R335" t="s">
        <v>1775</v>
      </c>
      <c r="S335" t="s">
        <v>3292</v>
      </c>
      <c r="T335" t="s">
        <v>31</v>
      </c>
      <c r="U335" t="s">
        <v>367</v>
      </c>
      <c r="V335" t="s">
        <v>46</v>
      </c>
      <c r="W335" t="s">
        <v>188</v>
      </c>
      <c r="X335" t="s">
        <v>431</v>
      </c>
      <c r="Y335">
        <v>15648</v>
      </c>
      <c r="Z335" t="s">
        <v>3530</v>
      </c>
      <c r="AA335" t="s">
        <v>3528</v>
      </c>
      <c r="AB335" t="s">
        <v>32</v>
      </c>
      <c r="AC335" t="s">
        <v>1974</v>
      </c>
      <c r="AD335" t="s">
        <v>1975</v>
      </c>
      <c r="AE335" t="s">
        <v>33</v>
      </c>
    </row>
    <row r="336" spans="1:31">
      <c r="A336" t="s">
        <v>1976</v>
      </c>
      <c r="B336" t="s">
        <v>34</v>
      </c>
      <c r="C336" t="s">
        <v>759</v>
      </c>
      <c r="D336" t="s">
        <v>1007</v>
      </c>
      <c r="E336" t="s">
        <v>379</v>
      </c>
      <c r="F336" s="1">
        <v>46073.484224537038</v>
      </c>
      <c r="G336" t="s">
        <v>108</v>
      </c>
      <c r="H336" t="s">
        <v>776</v>
      </c>
      <c r="I336" t="s">
        <v>3666</v>
      </c>
      <c r="J336" t="s">
        <v>44</v>
      </c>
      <c r="K336" t="s">
        <v>253</v>
      </c>
      <c r="L336" t="s">
        <v>46</v>
      </c>
      <c r="M336" t="s">
        <v>379</v>
      </c>
      <c r="N336" t="s">
        <v>379</v>
      </c>
      <c r="O336" t="s">
        <v>30</v>
      </c>
      <c r="P336" s="1">
        <v>46077.087337962963</v>
      </c>
      <c r="Q336" s="1">
        <v>46073.494143518517</v>
      </c>
      <c r="R336" t="s">
        <v>1775</v>
      </c>
      <c r="S336" t="s">
        <v>3293</v>
      </c>
      <c r="T336" t="s">
        <v>31</v>
      </c>
      <c r="U336" t="s">
        <v>367</v>
      </c>
      <c r="V336" t="s">
        <v>46</v>
      </c>
      <c r="W336" t="s">
        <v>379</v>
      </c>
      <c r="X336" t="s">
        <v>379</v>
      </c>
      <c r="Y336">
        <v>13289</v>
      </c>
      <c r="Z336" t="s">
        <v>3530</v>
      </c>
      <c r="AA336" t="s">
        <v>3528</v>
      </c>
      <c r="AB336" t="s">
        <v>32</v>
      </c>
      <c r="AC336" t="s">
        <v>1977</v>
      </c>
      <c r="AD336" t="s">
        <v>1978</v>
      </c>
      <c r="AE336" t="s">
        <v>33</v>
      </c>
    </row>
    <row r="337" spans="1:31">
      <c r="A337" t="s">
        <v>1979</v>
      </c>
      <c r="B337" t="s">
        <v>34</v>
      </c>
      <c r="C337" t="s">
        <v>1053</v>
      </c>
      <c r="D337" t="s">
        <v>1054</v>
      </c>
      <c r="E337" t="s">
        <v>813</v>
      </c>
      <c r="F337" s="1">
        <v>46073.481168981481</v>
      </c>
      <c r="G337" t="s">
        <v>353</v>
      </c>
      <c r="H337" t="s">
        <v>776</v>
      </c>
      <c r="I337" t="s">
        <v>3671</v>
      </c>
      <c r="J337" t="s">
        <v>44</v>
      </c>
      <c r="K337" t="s">
        <v>253</v>
      </c>
      <c r="L337" t="s">
        <v>46</v>
      </c>
      <c r="M337" t="s">
        <v>188</v>
      </c>
      <c r="N337" t="s">
        <v>431</v>
      </c>
      <c r="O337" t="s">
        <v>30</v>
      </c>
      <c r="P337" s="1">
        <v>46076.462488425925</v>
      </c>
      <c r="Q337" s="1">
        <v>46076.462465277778</v>
      </c>
      <c r="R337" t="s">
        <v>38</v>
      </c>
      <c r="S337" t="s">
        <v>3294</v>
      </c>
      <c r="T337" t="s">
        <v>31</v>
      </c>
      <c r="U337" t="s">
        <v>367</v>
      </c>
      <c r="V337" t="s">
        <v>46</v>
      </c>
      <c r="W337" t="s">
        <v>188</v>
      </c>
      <c r="X337" t="s">
        <v>431</v>
      </c>
      <c r="Y337">
        <v>15874</v>
      </c>
      <c r="Z337" t="s">
        <v>3530</v>
      </c>
      <c r="AA337" t="s">
        <v>3526</v>
      </c>
      <c r="AB337" t="s">
        <v>32</v>
      </c>
      <c r="AC337" t="s">
        <v>1056</v>
      </c>
      <c r="AD337" t="s">
        <v>1057</v>
      </c>
      <c r="AE337" t="s">
        <v>33</v>
      </c>
    </row>
    <row r="338" spans="1:31">
      <c r="A338" t="s">
        <v>1980</v>
      </c>
      <c r="B338" t="s">
        <v>34</v>
      </c>
      <c r="C338" t="s">
        <v>1747</v>
      </c>
      <c r="D338" t="s">
        <v>1748</v>
      </c>
      <c r="E338" t="s">
        <v>1981</v>
      </c>
      <c r="F338" s="1">
        <v>46073.475937499999</v>
      </c>
      <c r="G338" t="s">
        <v>424</v>
      </c>
      <c r="H338" t="s">
        <v>776</v>
      </c>
      <c r="I338" t="s">
        <v>3668</v>
      </c>
      <c r="J338" t="s">
        <v>44</v>
      </c>
      <c r="K338" t="s">
        <v>253</v>
      </c>
      <c r="L338" t="s">
        <v>46</v>
      </c>
      <c r="M338" t="s">
        <v>348</v>
      </c>
      <c r="N338" t="s">
        <v>506</v>
      </c>
      <c r="O338" t="s">
        <v>30</v>
      </c>
      <c r="P338" s="1">
        <v>46077.087291666663</v>
      </c>
      <c r="Q338" s="1">
        <v>46073.478900462964</v>
      </c>
      <c r="R338" t="s">
        <v>1775</v>
      </c>
      <c r="S338" t="s">
        <v>3295</v>
      </c>
      <c r="T338" t="s">
        <v>31</v>
      </c>
      <c r="U338" t="s">
        <v>367</v>
      </c>
      <c r="V338" t="s">
        <v>46</v>
      </c>
      <c r="W338" t="s">
        <v>348</v>
      </c>
      <c r="X338" t="s">
        <v>506</v>
      </c>
      <c r="Y338">
        <v>3128</v>
      </c>
      <c r="Z338" t="s">
        <v>3530</v>
      </c>
      <c r="AA338" t="s">
        <v>3528</v>
      </c>
      <c r="AB338" t="s">
        <v>181</v>
      </c>
      <c r="AC338" t="s">
        <v>1749</v>
      </c>
      <c r="AD338" t="s">
        <v>1750</v>
      </c>
      <c r="AE338" t="s">
        <v>33</v>
      </c>
    </row>
    <row r="339" spans="1:31">
      <c r="A339" t="s">
        <v>1982</v>
      </c>
      <c r="B339" t="s">
        <v>24</v>
      </c>
      <c r="C339" t="s">
        <v>1983</v>
      </c>
      <c r="D339" t="s">
        <v>1984</v>
      </c>
      <c r="E339" t="s">
        <v>1985</v>
      </c>
      <c r="F339" s="1">
        <v>46073.462847222225</v>
      </c>
      <c r="G339" t="s">
        <v>238</v>
      </c>
      <c r="H339" t="s">
        <v>776</v>
      </c>
      <c r="I339" t="s">
        <v>3665</v>
      </c>
      <c r="J339" t="s">
        <v>44</v>
      </c>
      <c r="K339" t="s">
        <v>253</v>
      </c>
      <c r="L339" t="s">
        <v>162</v>
      </c>
      <c r="M339" t="s">
        <v>163</v>
      </c>
      <c r="N339" t="s">
        <v>164</v>
      </c>
      <c r="O339" t="s">
        <v>86</v>
      </c>
      <c r="P339" s="1">
        <v>46077.087245370371</v>
      </c>
      <c r="Q339" s="1">
        <v>46073.516111111108</v>
      </c>
      <c r="R339" t="s">
        <v>1775</v>
      </c>
      <c r="S339" t="s">
        <v>3296</v>
      </c>
      <c r="T339" t="s">
        <v>31</v>
      </c>
      <c r="U339" t="s">
        <v>104</v>
      </c>
      <c r="V339" t="s">
        <v>46</v>
      </c>
      <c r="W339" t="s">
        <v>374</v>
      </c>
      <c r="X339" t="s">
        <v>618</v>
      </c>
      <c r="Y339">
        <v>15868</v>
      </c>
      <c r="Z339" t="s">
        <v>3536</v>
      </c>
      <c r="AA339" t="s">
        <v>3528</v>
      </c>
      <c r="AB339" t="s">
        <v>32</v>
      </c>
      <c r="AC339" t="s">
        <v>1986</v>
      </c>
      <c r="AD339" t="s">
        <v>1987</v>
      </c>
      <c r="AE339" t="s">
        <v>33</v>
      </c>
    </row>
    <row r="340" spans="1:31">
      <c r="A340" t="s">
        <v>1988</v>
      </c>
      <c r="B340" t="s">
        <v>34</v>
      </c>
      <c r="C340" t="s">
        <v>930</v>
      </c>
      <c r="D340" t="s">
        <v>821</v>
      </c>
      <c r="E340" t="s">
        <v>109</v>
      </c>
      <c r="F340" s="1">
        <v>46073.451226851852</v>
      </c>
      <c r="G340" t="s">
        <v>173</v>
      </c>
      <c r="H340" t="s">
        <v>776</v>
      </c>
      <c r="I340" t="s">
        <v>3666</v>
      </c>
      <c r="J340" t="s">
        <v>44</v>
      </c>
      <c r="K340" t="s">
        <v>1149</v>
      </c>
      <c r="L340" t="s">
        <v>46</v>
      </c>
      <c r="M340" t="s">
        <v>110</v>
      </c>
      <c r="N340" t="s">
        <v>111</v>
      </c>
      <c r="O340" t="s">
        <v>30</v>
      </c>
      <c r="P340" s="1">
        <v>46077.087164351855</v>
      </c>
      <c r="Q340" s="1">
        <v>46073.45244212963</v>
      </c>
      <c r="R340" t="s">
        <v>1775</v>
      </c>
      <c r="S340" t="s">
        <v>3193</v>
      </c>
      <c r="T340" t="s">
        <v>31</v>
      </c>
      <c r="U340" t="s">
        <v>1150</v>
      </c>
      <c r="V340" t="s">
        <v>46</v>
      </c>
      <c r="W340" t="s">
        <v>110</v>
      </c>
      <c r="X340" t="s">
        <v>111</v>
      </c>
      <c r="Y340">
        <v>12898</v>
      </c>
      <c r="Z340" t="s">
        <v>3530</v>
      </c>
      <c r="AA340" t="s">
        <v>3528</v>
      </c>
      <c r="AB340" t="s">
        <v>32</v>
      </c>
      <c r="AC340" t="s">
        <v>1989</v>
      </c>
      <c r="AD340" t="s">
        <v>1990</v>
      </c>
      <c r="AE340" t="s">
        <v>33</v>
      </c>
    </row>
    <row r="341" spans="1:31" hidden="1">
      <c r="A341" t="s">
        <v>1991</v>
      </c>
      <c r="B341" t="s">
        <v>34</v>
      </c>
      <c r="C341" t="s">
        <v>1992</v>
      </c>
      <c r="D341" t="s">
        <v>1993</v>
      </c>
      <c r="E341" t="s">
        <v>595</v>
      </c>
      <c r="F341" s="1">
        <v>46073.444201388891</v>
      </c>
      <c r="G341" t="s">
        <v>153</v>
      </c>
      <c r="H341" t="s">
        <v>776</v>
      </c>
      <c r="I341" t="s">
        <v>3669</v>
      </c>
      <c r="J341" t="s">
        <v>44</v>
      </c>
      <c r="K341" t="s">
        <v>473</v>
      </c>
      <c r="L341" t="s">
        <v>27</v>
      </c>
      <c r="M341" t="s">
        <v>28</v>
      </c>
      <c r="O341" t="s">
        <v>30</v>
      </c>
      <c r="P341" s="1">
        <v>46079.410092592596</v>
      </c>
      <c r="R341" t="s">
        <v>90</v>
      </c>
      <c r="T341" t="s">
        <v>31</v>
      </c>
      <c r="U341" t="s">
        <v>104</v>
      </c>
      <c r="V341" t="s">
        <v>28</v>
      </c>
      <c r="Y341" t="s">
        <v>3643</v>
      </c>
      <c r="Z341" t="s">
        <v>3536</v>
      </c>
      <c r="AA341" t="s">
        <v>3541</v>
      </c>
      <c r="AB341" t="s">
        <v>32</v>
      </c>
      <c r="AC341" t="s">
        <v>1994</v>
      </c>
      <c r="AD341" t="s">
        <v>1995</v>
      </c>
      <c r="AE341" t="s">
        <v>33</v>
      </c>
    </row>
    <row r="342" spans="1:31">
      <c r="A342" t="s">
        <v>1996</v>
      </c>
      <c r="B342" t="s">
        <v>34</v>
      </c>
      <c r="C342" t="s">
        <v>363</v>
      </c>
      <c r="D342" t="s">
        <v>1997</v>
      </c>
      <c r="E342" t="s">
        <v>1998</v>
      </c>
      <c r="F342" s="1">
        <v>46073.451122685183</v>
      </c>
      <c r="G342" t="s">
        <v>39</v>
      </c>
      <c r="H342" t="s">
        <v>776</v>
      </c>
      <c r="I342" t="s">
        <v>3667</v>
      </c>
      <c r="J342" t="s">
        <v>44</v>
      </c>
      <c r="K342" t="s">
        <v>179</v>
      </c>
      <c r="L342" t="s">
        <v>46</v>
      </c>
      <c r="M342" t="s">
        <v>379</v>
      </c>
      <c r="N342" t="s">
        <v>379</v>
      </c>
      <c r="O342" t="s">
        <v>30</v>
      </c>
      <c r="P342" s="1">
        <v>46077.087141203701</v>
      </c>
      <c r="Q342" s="1">
        <v>46073.451226851852</v>
      </c>
      <c r="R342" t="s">
        <v>1775</v>
      </c>
      <c r="S342" t="s">
        <v>3297</v>
      </c>
      <c r="T342" t="s">
        <v>31</v>
      </c>
      <c r="U342" t="s">
        <v>350</v>
      </c>
      <c r="V342" t="s">
        <v>46</v>
      </c>
      <c r="W342" t="s">
        <v>379</v>
      </c>
      <c r="X342" t="s">
        <v>379</v>
      </c>
      <c r="Y342" t="s">
        <v>3644</v>
      </c>
      <c r="Z342" t="s">
        <v>3530</v>
      </c>
      <c r="AA342" t="s">
        <v>3528</v>
      </c>
      <c r="AB342" t="s">
        <v>32</v>
      </c>
      <c r="AC342" t="s">
        <v>1999</v>
      </c>
      <c r="AD342" t="s">
        <v>2000</v>
      </c>
      <c r="AE342" t="s">
        <v>33</v>
      </c>
    </row>
    <row r="343" spans="1:31" hidden="1">
      <c r="A343" t="s">
        <v>2001</v>
      </c>
      <c r="B343" t="s">
        <v>34</v>
      </c>
      <c r="C343" t="s">
        <v>194</v>
      </c>
      <c r="D343" t="s">
        <v>2002</v>
      </c>
      <c r="E343" t="s">
        <v>1296</v>
      </c>
      <c r="F343" s="1">
        <v>46073.429444444446</v>
      </c>
      <c r="G343" t="s">
        <v>74</v>
      </c>
      <c r="H343" t="s">
        <v>776</v>
      </c>
      <c r="I343" t="s">
        <v>3665</v>
      </c>
      <c r="J343" t="s">
        <v>651</v>
      </c>
      <c r="K343" t="s">
        <v>772</v>
      </c>
      <c r="L343" t="s">
        <v>162</v>
      </c>
      <c r="M343" t="s">
        <v>163</v>
      </c>
      <c r="N343" t="s">
        <v>164</v>
      </c>
      <c r="O343" t="s">
        <v>30</v>
      </c>
      <c r="P343" s="1">
        <v>46079.287280092591</v>
      </c>
      <c r="R343" t="s">
        <v>90</v>
      </c>
      <c r="T343" t="s">
        <v>31</v>
      </c>
      <c r="U343" t="s">
        <v>104</v>
      </c>
      <c r="Y343">
        <v>12976</v>
      </c>
      <c r="Z343" t="s">
        <v>3536</v>
      </c>
      <c r="AA343" t="s">
        <v>3551</v>
      </c>
      <c r="AB343" t="s">
        <v>32</v>
      </c>
      <c r="AC343" t="s">
        <v>2003</v>
      </c>
      <c r="AD343" t="s">
        <v>2004</v>
      </c>
      <c r="AE343" t="s">
        <v>33</v>
      </c>
    </row>
    <row r="344" spans="1:31">
      <c r="A344" t="s">
        <v>2005</v>
      </c>
      <c r="B344" t="s">
        <v>34</v>
      </c>
      <c r="C344" t="s">
        <v>391</v>
      </c>
      <c r="D344" t="s">
        <v>65</v>
      </c>
      <c r="E344" t="s">
        <v>1158</v>
      </c>
      <c r="F344" s="1">
        <v>46073.413726851853</v>
      </c>
      <c r="G344" t="s">
        <v>35</v>
      </c>
      <c r="H344" t="s">
        <v>776</v>
      </c>
      <c r="I344" t="s">
        <v>3772</v>
      </c>
      <c r="J344" t="s">
        <v>44</v>
      </c>
      <c r="K344" t="s">
        <v>1149</v>
      </c>
      <c r="L344" t="s">
        <v>46</v>
      </c>
      <c r="M344" t="s">
        <v>379</v>
      </c>
      <c r="N344" t="s">
        <v>379</v>
      </c>
      <c r="O344" t="s">
        <v>30</v>
      </c>
      <c r="P344" s="1">
        <v>46077.086944444447</v>
      </c>
      <c r="Q344" s="1">
        <v>46073.4455787037</v>
      </c>
      <c r="R344" t="s">
        <v>1775</v>
      </c>
      <c r="S344" t="s">
        <v>3195</v>
      </c>
      <c r="T344" t="s">
        <v>31</v>
      </c>
      <c r="U344" t="s">
        <v>1150</v>
      </c>
      <c r="V344" t="s">
        <v>46</v>
      </c>
      <c r="W344" t="s">
        <v>379</v>
      </c>
      <c r="X344" t="s">
        <v>379</v>
      </c>
      <c r="Y344">
        <v>9892</v>
      </c>
      <c r="Z344" t="s">
        <v>3530</v>
      </c>
      <c r="AA344" t="s">
        <v>3528</v>
      </c>
      <c r="AB344" t="s">
        <v>181</v>
      </c>
      <c r="AC344" t="s">
        <v>2006</v>
      </c>
      <c r="AD344" t="s">
        <v>2007</v>
      </c>
      <c r="AE344" t="s">
        <v>33</v>
      </c>
    </row>
    <row r="345" spans="1:31">
      <c r="A345" t="s">
        <v>2008</v>
      </c>
      <c r="B345" t="s">
        <v>34</v>
      </c>
      <c r="C345" t="s">
        <v>66</v>
      </c>
      <c r="D345" t="s">
        <v>2009</v>
      </c>
      <c r="E345" t="s">
        <v>80</v>
      </c>
      <c r="F345" s="1">
        <v>46073.410995370374</v>
      </c>
      <c r="G345" t="s">
        <v>153</v>
      </c>
      <c r="H345" t="s">
        <v>776</v>
      </c>
      <c r="I345" t="s">
        <v>3669</v>
      </c>
      <c r="J345" t="s">
        <v>44</v>
      </c>
      <c r="K345" t="s">
        <v>179</v>
      </c>
      <c r="L345" t="s">
        <v>46</v>
      </c>
      <c r="M345" t="s">
        <v>110</v>
      </c>
      <c r="N345" t="s">
        <v>301</v>
      </c>
      <c r="O345" t="s">
        <v>30</v>
      </c>
      <c r="P345" s="1">
        <v>46077.086909722224</v>
      </c>
      <c r="Q345" s="1">
        <v>46073.411550925928</v>
      </c>
      <c r="R345" t="s">
        <v>1775</v>
      </c>
      <c r="S345" t="s">
        <v>3298</v>
      </c>
      <c r="T345" t="s">
        <v>31</v>
      </c>
      <c r="U345" t="s">
        <v>350</v>
      </c>
      <c r="V345" t="s">
        <v>46</v>
      </c>
      <c r="W345" t="s">
        <v>110</v>
      </c>
      <c r="X345" t="s">
        <v>3252</v>
      </c>
      <c r="Y345">
        <v>581</v>
      </c>
      <c r="Z345" t="s">
        <v>3530</v>
      </c>
      <c r="AA345" t="s">
        <v>3528</v>
      </c>
      <c r="AB345" t="s">
        <v>32</v>
      </c>
      <c r="AC345" t="s">
        <v>2010</v>
      </c>
      <c r="AD345" t="s">
        <v>2011</v>
      </c>
      <c r="AE345" t="s">
        <v>33</v>
      </c>
    </row>
    <row r="346" spans="1:31">
      <c r="A346" t="s">
        <v>2012</v>
      </c>
      <c r="B346" t="s">
        <v>24</v>
      </c>
      <c r="C346" t="s">
        <v>66</v>
      </c>
      <c r="D346" t="s">
        <v>2009</v>
      </c>
      <c r="E346" t="s">
        <v>2013</v>
      </c>
      <c r="F346" s="1">
        <v>46073.410208333335</v>
      </c>
      <c r="G346" t="s">
        <v>153</v>
      </c>
      <c r="H346" t="s">
        <v>776</v>
      </c>
      <c r="I346" t="s">
        <v>3669</v>
      </c>
      <c r="J346" t="s">
        <v>44</v>
      </c>
      <c r="K346" t="s">
        <v>179</v>
      </c>
      <c r="L346" t="s">
        <v>27</v>
      </c>
      <c r="M346" t="s">
        <v>28</v>
      </c>
      <c r="N346" t="s">
        <v>75</v>
      </c>
      <c r="O346" t="s">
        <v>86</v>
      </c>
      <c r="P346" s="1">
        <v>46077.462673611109</v>
      </c>
      <c r="Q346" s="1">
        <v>46077.462627314817</v>
      </c>
      <c r="R346" t="s">
        <v>38</v>
      </c>
      <c r="S346" t="s">
        <v>3236</v>
      </c>
      <c r="T346" t="s">
        <v>31</v>
      </c>
      <c r="U346" t="s">
        <v>350</v>
      </c>
      <c r="V346" t="s">
        <v>27</v>
      </c>
      <c r="W346" t="s">
        <v>28</v>
      </c>
      <c r="X346" t="s">
        <v>75</v>
      </c>
      <c r="Y346">
        <v>581</v>
      </c>
      <c r="Z346" t="s">
        <v>3530</v>
      </c>
      <c r="AA346" t="s">
        <v>3526</v>
      </c>
      <c r="AB346" t="s">
        <v>32</v>
      </c>
      <c r="AC346" t="s">
        <v>2010</v>
      </c>
      <c r="AD346" t="s">
        <v>2011</v>
      </c>
      <c r="AE346" t="s">
        <v>33</v>
      </c>
    </row>
    <row r="347" spans="1:31">
      <c r="A347" t="s">
        <v>2018</v>
      </c>
      <c r="B347" t="s">
        <v>24</v>
      </c>
      <c r="C347" t="s">
        <v>1971</v>
      </c>
      <c r="D347" t="s">
        <v>1972</v>
      </c>
      <c r="E347" t="s">
        <v>187</v>
      </c>
      <c r="F347" s="1">
        <v>46073.402002314811</v>
      </c>
      <c r="G347" t="s">
        <v>353</v>
      </c>
      <c r="H347" t="s">
        <v>776</v>
      </c>
      <c r="I347" t="s">
        <v>3671</v>
      </c>
      <c r="J347" t="s">
        <v>44</v>
      </c>
      <c r="K347" t="s">
        <v>290</v>
      </c>
      <c r="L347" t="s">
        <v>46</v>
      </c>
      <c r="M347" t="s">
        <v>188</v>
      </c>
      <c r="N347" t="s">
        <v>189</v>
      </c>
      <c r="O347" t="s">
        <v>86</v>
      </c>
      <c r="P347" s="1">
        <v>46077.377650462964</v>
      </c>
      <c r="Q347" s="1">
        <v>46077.377604166664</v>
      </c>
      <c r="R347" t="s">
        <v>38</v>
      </c>
      <c r="S347" t="s">
        <v>3299</v>
      </c>
      <c r="T347" t="s">
        <v>31</v>
      </c>
      <c r="U347" t="s">
        <v>190</v>
      </c>
      <c r="V347" t="s">
        <v>46</v>
      </c>
      <c r="W347" t="s">
        <v>188</v>
      </c>
      <c r="X347" t="s">
        <v>189</v>
      </c>
      <c r="Y347">
        <v>15648</v>
      </c>
      <c r="Z347" t="s">
        <v>3530</v>
      </c>
      <c r="AA347" t="s">
        <v>3526</v>
      </c>
      <c r="AB347" t="s">
        <v>32</v>
      </c>
      <c r="AC347" t="s">
        <v>1974</v>
      </c>
      <c r="AD347" t="s">
        <v>1975</v>
      </c>
      <c r="AE347" t="s">
        <v>33</v>
      </c>
    </row>
    <row r="348" spans="1:31" hidden="1">
      <c r="A348" t="s">
        <v>2019</v>
      </c>
      <c r="B348" t="s">
        <v>34</v>
      </c>
      <c r="C348" t="s">
        <v>627</v>
      </c>
      <c r="D348" t="s">
        <v>628</v>
      </c>
      <c r="E348" t="s">
        <v>595</v>
      </c>
      <c r="F348" s="1">
        <v>46073.39984953704</v>
      </c>
      <c r="G348" t="s">
        <v>108</v>
      </c>
      <c r="H348" t="s">
        <v>776</v>
      </c>
      <c r="I348" t="s">
        <v>3666</v>
      </c>
      <c r="J348" t="s">
        <v>44</v>
      </c>
      <c r="K348" t="s">
        <v>680</v>
      </c>
      <c r="L348" t="s">
        <v>27</v>
      </c>
      <c r="M348" t="s">
        <v>28</v>
      </c>
      <c r="O348" t="s">
        <v>30</v>
      </c>
      <c r="P348" s="1">
        <v>46079.376655092594</v>
      </c>
      <c r="R348" t="s">
        <v>90</v>
      </c>
      <c r="T348" t="s">
        <v>31</v>
      </c>
      <c r="U348" t="s">
        <v>104</v>
      </c>
      <c r="V348" t="s">
        <v>28</v>
      </c>
      <c r="Y348" t="s">
        <v>3567</v>
      </c>
      <c r="Z348" t="s">
        <v>3536</v>
      </c>
      <c r="AA348" t="s">
        <v>3541</v>
      </c>
      <c r="AB348" t="s">
        <v>32</v>
      </c>
      <c r="AC348" t="s">
        <v>629</v>
      </c>
      <c r="AD348" t="s">
        <v>630</v>
      </c>
      <c r="AE348" t="s">
        <v>33</v>
      </c>
    </row>
    <row r="349" spans="1:31">
      <c r="A349" t="s">
        <v>2020</v>
      </c>
      <c r="B349" t="s">
        <v>34</v>
      </c>
      <c r="C349" t="s">
        <v>124</v>
      </c>
      <c r="D349" t="s">
        <v>383</v>
      </c>
      <c r="E349" t="s">
        <v>608</v>
      </c>
      <c r="F349" s="1">
        <v>46073.420578703706</v>
      </c>
      <c r="G349" t="s">
        <v>226</v>
      </c>
      <c r="H349" t="s">
        <v>776</v>
      </c>
      <c r="I349" t="s">
        <v>3665</v>
      </c>
      <c r="J349" t="s">
        <v>44</v>
      </c>
      <c r="K349" t="s">
        <v>205</v>
      </c>
      <c r="L349" t="s">
        <v>46</v>
      </c>
      <c r="M349" t="s">
        <v>379</v>
      </c>
      <c r="N349" t="s">
        <v>379</v>
      </c>
      <c r="O349" t="s">
        <v>30</v>
      </c>
      <c r="P349" s="1">
        <v>46077.08697916667</v>
      </c>
      <c r="Q349" s="1">
        <v>46073.422719907408</v>
      </c>
      <c r="R349" t="s">
        <v>1775</v>
      </c>
      <c r="S349" t="s">
        <v>3134</v>
      </c>
      <c r="T349" t="s">
        <v>31</v>
      </c>
      <c r="U349" t="s">
        <v>206</v>
      </c>
      <c r="V349" t="s">
        <v>46</v>
      </c>
      <c r="W349" t="s">
        <v>379</v>
      </c>
      <c r="X349" t="s">
        <v>379</v>
      </c>
      <c r="Y349">
        <v>14548</v>
      </c>
      <c r="Z349" t="s">
        <v>3530</v>
      </c>
      <c r="AA349" t="s">
        <v>3528</v>
      </c>
      <c r="AB349" t="s">
        <v>32</v>
      </c>
      <c r="AC349" t="s">
        <v>2021</v>
      </c>
      <c r="AD349" t="s">
        <v>2022</v>
      </c>
      <c r="AE349" t="s">
        <v>33</v>
      </c>
    </row>
    <row r="350" spans="1:31">
      <c r="A350" t="s">
        <v>2023</v>
      </c>
      <c r="B350" t="s">
        <v>34</v>
      </c>
      <c r="C350" t="s">
        <v>2024</v>
      </c>
      <c r="D350" t="s">
        <v>1507</v>
      </c>
      <c r="E350" t="s">
        <v>109</v>
      </c>
      <c r="F350" s="1">
        <v>46073.392650462964</v>
      </c>
      <c r="G350" t="s">
        <v>108</v>
      </c>
      <c r="H350" t="s">
        <v>776</v>
      </c>
      <c r="I350" t="s">
        <v>3666</v>
      </c>
      <c r="J350" t="s">
        <v>44</v>
      </c>
      <c r="K350" t="s">
        <v>1149</v>
      </c>
      <c r="L350" t="s">
        <v>46</v>
      </c>
      <c r="M350" t="s">
        <v>110</v>
      </c>
      <c r="N350" t="s">
        <v>111</v>
      </c>
      <c r="O350" t="s">
        <v>30</v>
      </c>
      <c r="P350" s="1">
        <v>46077.086805555555</v>
      </c>
      <c r="Q350" s="1">
        <v>46073.452268518522</v>
      </c>
      <c r="R350" t="s">
        <v>1775</v>
      </c>
      <c r="S350" t="s">
        <v>3193</v>
      </c>
      <c r="T350" t="s">
        <v>31</v>
      </c>
      <c r="U350" t="s">
        <v>1150</v>
      </c>
      <c r="V350" t="s">
        <v>46</v>
      </c>
      <c r="W350" t="s">
        <v>110</v>
      </c>
      <c r="X350" t="s">
        <v>111</v>
      </c>
      <c r="Y350">
        <v>15008</v>
      </c>
      <c r="Z350" t="s">
        <v>3530</v>
      </c>
      <c r="AA350" t="s">
        <v>3528</v>
      </c>
      <c r="AB350" t="s">
        <v>32</v>
      </c>
      <c r="AC350" t="s">
        <v>2025</v>
      </c>
      <c r="AD350" t="s">
        <v>2026</v>
      </c>
      <c r="AE350" t="s">
        <v>33</v>
      </c>
    </row>
    <row r="351" spans="1:31">
      <c r="A351" t="s">
        <v>2027</v>
      </c>
      <c r="B351" t="s">
        <v>34</v>
      </c>
      <c r="C351" t="s">
        <v>1616</v>
      </c>
      <c r="D351" t="s">
        <v>1617</v>
      </c>
      <c r="E351" t="s">
        <v>2028</v>
      </c>
      <c r="F351" s="1">
        <v>46073.388958333337</v>
      </c>
      <c r="G351" t="s">
        <v>353</v>
      </c>
      <c r="H351" t="s">
        <v>776</v>
      </c>
      <c r="I351" t="s">
        <v>3671</v>
      </c>
      <c r="J351" t="s">
        <v>44</v>
      </c>
      <c r="K351" t="s">
        <v>1149</v>
      </c>
      <c r="L351" t="s">
        <v>46</v>
      </c>
      <c r="M351" t="s">
        <v>188</v>
      </c>
      <c r="N351" t="s">
        <v>431</v>
      </c>
      <c r="O351" t="s">
        <v>30</v>
      </c>
      <c r="P351" s="1">
        <v>46077.086770833332</v>
      </c>
      <c r="Q351" s="1">
        <v>46073.452048611114</v>
      </c>
      <c r="R351" t="s">
        <v>1775</v>
      </c>
      <c r="S351" t="s">
        <v>3196</v>
      </c>
      <c r="T351" t="s">
        <v>31</v>
      </c>
      <c r="U351" t="s">
        <v>1150</v>
      </c>
      <c r="V351" t="s">
        <v>46</v>
      </c>
      <c r="W351" t="s">
        <v>188</v>
      </c>
      <c r="X351" t="s">
        <v>431</v>
      </c>
      <c r="Y351">
        <v>4160</v>
      </c>
      <c r="Z351" t="s">
        <v>3530</v>
      </c>
      <c r="AA351" t="s">
        <v>3528</v>
      </c>
      <c r="AB351" t="s">
        <v>32</v>
      </c>
      <c r="AC351" t="s">
        <v>1618</v>
      </c>
      <c r="AD351" t="s">
        <v>1619</v>
      </c>
      <c r="AE351" t="s">
        <v>33</v>
      </c>
    </row>
    <row r="352" spans="1:31">
      <c r="A352" t="s">
        <v>2029</v>
      </c>
      <c r="B352" t="s">
        <v>34</v>
      </c>
      <c r="C352" t="s">
        <v>311</v>
      </c>
      <c r="D352" t="s">
        <v>332</v>
      </c>
      <c r="E352" t="s">
        <v>608</v>
      </c>
      <c r="F352" s="1">
        <v>46073.38962962963</v>
      </c>
      <c r="G352" t="s">
        <v>245</v>
      </c>
      <c r="H352" t="s">
        <v>776</v>
      </c>
      <c r="I352" t="s">
        <v>3665</v>
      </c>
      <c r="J352" t="s">
        <v>44</v>
      </c>
      <c r="K352" t="s">
        <v>205</v>
      </c>
      <c r="L352" t="s">
        <v>46</v>
      </c>
      <c r="M352" t="s">
        <v>379</v>
      </c>
      <c r="N352" t="s">
        <v>379</v>
      </c>
      <c r="O352" t="s">
        <v>30</v>
      </c>
      <c r="P352" s="1">
        <v>46077.086782407408</v>
      </c>
      <c r="Q352" s="1">
        <v>46073.389988425923</v>
      </c>
      <c r="R352" t="s">
        <v>1775</v>
      </c>
      <c r="S352" t="s">
        <v>3134</v>
      </c>
      <c r="T352" t="s">
        <v>31</v>
      </c>
      <c r="U352" t="s">
        <v>206</v>
      </c>
      <c r="V352" t="s">
        <v>46</v>
      </c>
      <c r="W352" t="s">
        <v>379</v>
      </c>
      <c r="X352" t="s">
        <v>379</v>
      </c>
      <c r="Y352">
        <v>15822</v>
      </c>
      <c r="Z352" t="s">
        <v>3530</v>
      </c>
      <c r="AA352" t="s">
        <v>3528</v>
      </c>
      <c r="AB352" t="s">
        <v>32</v>
      </c>
      <c r="AC352" t="s">
        <v>2030</v>
      </c>
      <c r="AD352" t="s">
        <v>2031</v>
      </c>
      <c r="AE352" t="s">
        <v>33</v>
      </c>
    </row>
    <row r="353" spans="1:31">
      <c r="A353" t="s">
        <v>2032</v>
      </c>
      <c r="B353" t="s">
        <v>34</v>
      </c>
      <c r="C353" t="s">
        <v>2033</v>
      </c>
      <c r="D353" t="s">
        <v>2034</v>
      </c>
      <c r="E353" t="s">
        <v>535</v>
      </c>
      <c r="F353" s="1">
        <v>46073.386354166665</v>
      </c>
      <c r="G353" t="s">
        <v>39</v>
      </c>
      <c r="H353" t="s">
        <v>776</v>
      </c>
      <c r="I353" t="s">
        <v>3667</v>
      </c>
      <c r="J353" t="s">
        <v>44</v>
      </c>
      <c r="K353" t="s">
        <v>733</v>
      </c>
      <c r="L353" t="s">
        <v>46</v>
      </c>
      <c r="M353" t="s">
        <v>188</v>
      </c>
      <c r="N353" t="s">
        <v>431</v>
      </c>
      <c r="O353" t="s">
        <v>30</v>
      </c>
      <c r="P353" s="1">
        <v>46077.086747685185</v>
      </c>
      <c r="Q353" s="1">
        <v>46073.422060185185</v>
      </c>
      <c r="R353" t="s">
        <v>1775</v>
      </c>
      <c r="S353" t="s">
        <v>3210</v>
      </c>
      <c r="T353" t="s">
        <v>31</v>
      </c>
      <c r="U353" t="s">
        <v>726</v>
      </c>
      <c r="V353" t="s">
        <v>46</v>
      </c>
      <c r="W353" t="s">
        <v>188</v>
      </c>
      <c r="X353" t="s">
        <v>431</v>
      </c>
      <c r="Y353">
        <v>15789</v>
      </c>
      <c r="Z353" t="s">
        <v>3530</v>
      </c>
      <c r="AA353" t="s">
        <v>3528</v>
      </c>
      <c r="AB353" t="s">
        <v>32</v>
      </c>
      <c r="AC353" t="s">
        <v>2035</v>
      </c>
      <c r="AD353" t="s">
        <v>2036</v>
      </c>
      <c r="AE353" t="s">
        <v>33</v>
      </c>
    </row>
    <row r="354" spans="1:31">
      <c r="A354" t="s">
        <v>2037</v>
      </c>
      <c r="B354" t="s">
        <v>34</v>
      </c>
      <c r="C354" t="s">
        <v>1616</v>
      </c>
      <c r="D354" t="s">
        <v>1617</v>
      </c>
      <c r="E354" t="s">
        <v>2038</v>
      </c>
      <c r="F354" s="1">
        <v>46073.380891203706</v>
      </c>
      <c r="G354" t="s">
        <v>353</v>
      </c>
      <c r="H354" t="s">
        <v>776</v>
      </c>
      <c r="I354" t="s">
        <v>3671</v>
      </c>
      <c r="J354" t="s">
        <v>44</v>
      </c>
      <c r="K354" t="s">
        <v>1149</v>
      </c>
      <c r="L354" t="s">
        <v>46</v>
      </c>
      <c r="M354" t="s">
        <v>110</v>
      </c>
      <c r="N354" t="s">
        <v>111</v>
      </c>
      <c r="O354" t="s">
        <v>30</v>
      </c>
      <c r="P354" s="1">
        <v>46077.086724537039</v>
      </c>
      <c r="Q354" s="1">
        <v>46073.451666666668</v>
      </c>
      <c r="R354" t="s">
        <v>1775</v>
      </c>
      <c r="S354" t="s">
        <v>3300</v>
      </c>
      <c r="T354" t="s">
        <v>31</v>
      </c>
      <c r="U354" t="s">
        <v>1150</v>
      </c>
      <c r="V354" t="s">
        <v>46</v>
      </c>
      <c r="W354" t="s">
        <v>110</v>
      </c>
      <c r="X354" t="s">
        <v>111</v>
      </c>
      <c r="Y354">
        <v>4160</v>
      </c>
      <c r="Z354" t="s">
        <v>3530</v>
      </c>
      <c r="AA354" t="s">
        <v>3528</v>
      </c>
      <c r="AB354" t="s">
        <v>32</v>
      </c>
      <c r="AC354" t="s">
        <v>1618</v>
      </c>
      <c r="AD354" t="s">
        <v>1619</v>
      </c>
      <c r="AE354" t="s">
        <v>33</v>
      </c>
    </row>
    <row r="355" spans="1:31">
      <c r="A355" t="s">
        <v>2039</v>
      </c>
      <c r="B355" t="s">
        <v>34</v>
      </c>
      <c r="C355" t="s">
        <v>914</v>
      </c>
      <c r="D355" t="s">
        <v>235</v>
      </c>
      <c r="E355" t="s">
        <v>1158</v>
      </c>
      <c r="F355" s="1">
        <v>46073.376377314817</v>
      </c>
      <c r="G355" t="s">
        <v>555</v>
      </c>
      <c r="H355" t="s">
        <v>776</v>
      </c>
      <c r="I355" t="s">
        <v>3666</v>
      </c>
      <c r="J355" t="s">
        <v>44</v>
      </c>
      <c r="K355" t="s">
        <v>1149</v>
      </c>
      <c r="L355" t="s">
        <v>46</v>
      </c>
      <c r="M355" t="s">
        <v>379</v>
      </c>
      <c r="N355" t="s">
        <v>379</v>
      </c>
      <c r="O355" t="s">
        <v>30</v>
      </c>
      <c r="P355" s="1">
        <v>46077.086689814816</v>
      </c>
      <c r="Q355" s="1">
        <v>46073.444780092592</v>
      </c>
      <c r="R355" t="s">
        <v>1775</v>
      </c>
      <c r="S355" t="s">
        <v>3195</v>
      </c>
      <c r="T355" t="s">
        <v>31</v>
      </c>
      <c r="U355" t="s">
        <v>1150</v>
      </c>
      <c r="V355" t="s">
        <v>46</v>
      </c>
      <c r="W355" t="s">
        <v>379</v>
      </c>
      <c r="X355" t="s">
        <v>379</v>
      </c>
      <c r="Y355">
        <v>12083</v>
      </c>
      <c r="Z355" t="s">
        <v>3530</v>
      </c>
      <c r="AA355" t="s">
        <v>3528</v>
      </c>
      <c r="AB355" t="s">
        <v>32</v>
      </c>
      <c r="AC355" t="s">
        <v>1085</v>
      </c>
      <c r="AD355" t="s">
        <v>1086</v>
      </c>
      <c r="AE355" t="s">
        <v>33</v>
      </c>
    </row>
    <row r="356" spans="1:31">
      <c r="A356" t="s">
        <v>2040</v>
      </c>
      <c r="B356" t="s">
        <v>34</v>
      </c>
      <c r="C356" t="s">
        <v>116</v>
      </c>
      <c r="D356" t="s">
        <v>572</v>
      </c>
      <c r="E356" t="s">
        <v>1092</v>
      </c>
      <c r="F356" s="1">
        <v>46073.375740740739</v>
      </c>
      <c r="G356" t="s">
        <v>209</v>
      </c>
      <c r="H356" t="s">
        <v>776</v>
      </c>
      <c r="I356" t="s">
        <v>3772</v>
      </c>
      <c r="J356" t="s">
        <v>44</v>
      </c>
      <c r="K356" t="s">
        <v>179</v>
      </c>
      <c r="L356" t="s">
        <v>46</v>
      </c>
      <c r="M356" t="s">
        <v>188</v>
      </c>
      <c r="N356" t="s">
        <v>431</v>
      </c>
      <c r="O356" t="s">
        <v>30</v>
      </c>
      <c r="P356" s="1">
        <v>46077.086678240739</v>
      </c>
      <c r="Q356" s="1">
        <v>46073.378981481481</v>
      </c>
      <c r="R356" t="s">
        <v>1775</v>
      </c>
      <c r="S356" t="s">
        <v>3189</v>
      </c>
      <c r="T356" t="s">
        <v>31</v>
      </c>
      <c r="U356" t="s">
        <v>350</v>
      </c>
      <c r="V356" t="s">
        <v>46</v>
      </c>
      <c r="W356" t="s">
        <v>188</v>
      </c>
      <c r="X356" t="s">
        <v>431</v>
      </c>
      <c r="Y356">
        <v>15703</v>
      </c>
      <c r="Z356" t="s">
        <v>3530</v>
      </c>
      <c r="AA356" t="s">
        <v>3528</v>
      </c>
      <c r="AB356" t="s">
        <v>32</v>
      </c>
      <c r="AC356" t="s">
        <v>573</v>
      </c>
      <c r="AD356" t="s">
        <v>574</v>
      </c>
      <c r="AE356" t="s">
        <v>33</v>
      </c>
    </row>
    <row r="357" spans="1:31" hidden="1">
      <c r="A357" t="s">
        <v>2041</v>
      </c>
      <c r="B357" t="s">
        <v>24</v>
      </c>
      <c r="C357" t="s">
        <v>1663</v>
      </c>
      <c r="D357" t="s">
        <v>1664</v>
      </c>
      <c r="E357" t="s">
        <v>2042</v>
      </c>
      <c r="F357" s="1">
        <v>46073.373229166667</v>
      </c>
      <c r="G357" t="s">
        <v>67</v>
      </c>
      <c r="H357" t="s">
        <v>776</v>
      </c>
      <c r="I357" t="s">
        <v>3671</v>
      </c>
      <c r="J357" t="s">
        <v>651</v>
      </c>
      <c r="K357" t="s">
        <v>652</v>
      </c>
      <c r="L357" t="s">
        <v>162</v>
      </c>
      <c r="M357" t="s">
        <v>163</v>
      </c>
      <c r="N357" t="s">
        <v>164</v>
      </c>
      <c r="O357" t="s">
        <v>86</v>
      </c>
      <c r="P357" s="1">
        <v>46079.287268518521</v>
      </c>
      <c r="R357" t="s">
        <v>90</v>
      </c>
      <c r="T357" t="s">
        <v>31</v>
      </c>
      <c r="U357" t="s">
        <v>104</v>
      </c>
      <c r="Y357">
        <v>13592</v>
      </c>
      <c r="Z357" t="s">
        <v>3536</v>
      </c>
      <c r="AA357" t="s">
        <v>3541</v>
      </c>
      <c r="AB357" t="s">
        <v>32</v>
      </c>
      <c r="AC357" t="s">
        <v>1665</v>
      </c>
      <c r="AD357" t="s">
        <v>1666</v>
      </c>
      <c r="AE357" t="s">
        <v>33</v>
      </c>
    </row>
    <row r="358" spans="1:31">
      <c r="A358" t="s">
        <v>2043</v>
      </c>
      <c r="B358" t="s">
        <v>34</v>
      </c>
      <c r="C358" t="s">
        <v>346</v>
      </c>
      <c r="D358" t="s">
        <v>1705</v>
      </c>
      <c r="E358" t="s">
        <v>109</v>
      </c>
      <c r="F358" s="1">
        <v>46073.371261574073</v>
      </c>
      <c r="G358" t="s">
        <v>226</v>
      </c>
      <c r="H358" t="s">
        <v>776</v>
      </c>
      <c r="I358" t="s">
        <v>3665</v>
      </c>
      <c r="J358" t="s">
        <v>44</v>
      </c>
      <c r="K358" t="s">
        <v>1149</v>
      </c>
      <c r="L358" t="s">
        <v>46</v>
      </c>
      <c r="M358" t="s">
        <v>110</v>
      </c>
      <c r="N358" t="s">
        <v>111</v>
      </c>
      <c r="O358" t="s">
        <v>30</v>
      </c>
      <c r="P358" s="1">
        <v>46077.086655092593</v>
      </c>
      <c r="Q358" s="1">
        <v>46073.444409722222</v>
      </c>
      <c r="R358" t="s">
        <v>1775</v>
      </c>
      <c r="S358" t="s">
        <v>3193</v>
      </c>
      <c r="T358" t="s">
        <v>31</v>
      </c>
      <c r="U358" t="s">
        <v>1150</v>
      </c>
      <c r="V358" t="s">
        <v>46</v>
      </c>
      <c r="W358" t="s">
        <v>110</v>
      </c>
      <c r="X358" t="s">
        <v>111</v>
      </c>
      <c r="Y358">
        <v>15128</v>
      </c>
      <c r="Z358" t="s">
        <v>3530</v>
      </c>
      <c r="AA358" t="s">
        <v>3528</v>
      </c>
      <c r="AB358" t="s">
        <v>32</v>
      </c>
      <c r="AC358" t="s">
        <v>1707</v>
      </c>
      <c r="AD358" t="s">
        <v>1708</v>
      </c>
      <c r="AE358" t="s">
        <v>33</v>
      </c>
    </row>
    <row r="359" spans="1:31">
      <c r="A359" t="s">
        <v>2044</v>
      </c>
      <c r="B359" t="s">
        <v>34</v>
      </c>
      <c r="C359" t="s">
        <v>2045</v>
      </c>
      <c r="D359" t="s">
        <v>2046</v>
      </c>
      <c r="E359" t="s">
        <v>2047</v>
      </c>
      <c r="F359" s="1">
        <v>46073.369953703703</v>
      </c>
      <c r="G359" t="s">
        <v>132</v>
      </c>
      <c r="H359" t="s">
        <v>776</v>
      </c>
      <c r="I359" t="s">
        <v>3665</v>
      </c>
      <c r="J359" t="s">
        <v>44</v>
      </c>
      <c r="K359" t="s">
        <v>205</v>
      </c>
      <c r="L359" t="s">
        <v>27</v>
      </c>
      <c r="M359" t="s">
        <v>28</v>
      </c>
      <c r="N359" t="s">
        <v>75</v>
      </c>
      <c r="O359" t="s">
        <v>30</v>
      </c>
      <c r="P359" s="1">
        <v>46079.339560185188</v>
      </c>
      <c r="Q359" s="1">
        <v>46079.339525462965</v>
      </c>
      <c r="R359" t="s">
        <v>38</v>
      </c>
      <c r="S359" t="s">
        <v>3645</v>
      </c>
      <c r="T359" t="s">
        <v>31</v>
      </c>
      <c r="U359" t="s">
        <v>206</v>
      </c>
      <c r="V359" t="s">
        <v>46</v>
      </c>
      <c r="W359" t="s">
        <v>379</v>
      </c>
      <c r="X359" t="s">
        <v>379</v>
      </c>
      <c r="Y359" t="s">
        <v>3646</v>
      </c>
      <c r="Z359" t="s">
        <v>3530</v>
      </c>
      <c r="AA359" t="s">
        <v>3526</v>
      </c>
      <c r="AB359" t="s">
        <v>32</v>
      </c>
      <c r="AC359" t="s">
        <v>2048</v>
      </c>
      <c r="AD359" t="s">
        <v>2049</v>
      </c>
      <c r="AE359" t="s">
        <v>33</v>
      </c>
    </row>
    <row r="360" spans="1:31">
      <c r="A360" t="s">
        <v>2050</v>
      </c>
      <c r="B360" t="s">
        <v>34</v>
      </c>
      <c r="C360" t="s">
        <v>2051</v>
      </c>
      <c r="D360" t="s">
        <v>2052</v>
      </c>
      <c r="E360" t="s">
        <v>2053</v>
      </c>
      <c r="F360" s="1">
        <v>46073.368159722224</v>
      </c>
      <c r="G360" t="s">
        <v>93</v>
      </c>
      <c r="H360" t="s">
        <v>776</v>
      </c>
      <c r="I360" t="s">
        <v>3666</v>
      </c>
      <c r="J360" t="s">
        <v>44</v>
      </c>
      <c r="K360" t="s">
        <v>1149</v>
      </c>
      <c r="L360" t="s">
        <v>46</v>
      </c>
      <c r="M360" t="s">
        <v>57</v>
      </c>
      <c r="N360" t="s">
        <v>58</v>
      </c>
      <c r="O360" t="s">
        <v>30</v>
      </c>
      <c r="P360" s="1">
        <v>46077.086597222224</v>
      </c>
      <c r="Q360" s="1">
        <v>46073.444004629629</v>
      </c>
      <c r="R360" t="s">
        <v>1775</v>
      </c>
      <c r="S360" t="s">
        <v>3301</v>
      </c>
      <c r="T360" t="s">
        <v>31</v>
      </c>
      <c r="U360" t="s">
        <v>1150</v>
      </c>
      <c r="V360" t="s">
        <v>46</v>
      </c>
      <c r="W360" t="s">
        <v>188</v>
      </c>
      <c r="X360" t="s">
        <v>3302</v>
      </c>
      <c r="Y360">
        <v>13737</v>
      </c>
      <c r="Z360" t="s">
        <v>3530</v>
      </c>
      <c r="AA360" t="s">
        <v>3528</v>
      </c>
      <c r="AB360" t="s">
        <v>32</v>
      </c>
      <c r="AC360" t="s">
        <v>2054</v>
      </c>
      <c r="AD360" t="s">
        <v>2055</v>
      </c>
      <c r="AE360" t="s">
        <v>33</v>
      </c>
    </row>
    <row r="361" spans="1:31">
      <c r="A361" t="s">
        <v>2056</v>
      </c>
      <c r="B361" t="s">
        <v>34</v>
      </c>
      <c r="C361" t="s">
        <v>2045</v>
      </c>
      <c r="D361" t="s">
        <v>2046</v>
      </c>
      <c r="E361" t="s">
        <v>80</v>
      </c>
      <c r="F361" s="1">
        <v>46073.370046296295</v>
      </c>
      <c r="G361" t="s">
        <v>132</v>
      </c>
      <c r="H361" t="s">
        <v>776</v>
      </c>
      <c r="I361" t="s">
        <v>3665</v>
      </c>
      <c r="J361" t="s">
        <v>44</v>
      </c>
      <c r="K361" t="s">
        <v>205</v>
      </c>
      <c r="L361" t="s">
        <v>46</v>
      </c>
      <c r="M361" t="s">
        <v>110</v>
      </c>
      <c r="N361" t="s">
        <v>301</v>
      </c>
      <c r="O361" t="s">
        <v>30</v>
      </c>
      <c r="P361" s="1">
        <v>46077.08662037037</v>
      </c>
      <c r="Q361" s="1">
        <v>46073.370937500003</v>
      </c>
      <c r="R361" t="s">
        <v>1775</v>
      </c>
      <c r="S361" t="s">
        <v>3303</v>
      </c>
      <c r="T361" t="s">
        <v>31</v>
      </c>
      <c r="U361" t="s">
        <v>206</v>
      </c>
      <c r="V361" t="s">
        <v>46</v>
      </c>
      <c r="W361" t="s">
        <v>110</v>
      </c>
      <c r="X361" t="s">
        <v>3252</v>
      </c>
      <c r="Y361" t="s">
        <v>3646</v>
      </c>
      <c r="Z361" t="s">
        <v>3530</v>
      </c>
      <c r="AA361" t="s">
        <v>3528</v>
      </c>
      <c r="AB361" t="s">
        <v>32</v>
      </c>
      <c r="AC361" t="s">
        <v>2048</v>
      </c>
      <c r="AD361" t="s">
        <v>2049</v>
      </c>
      <c r="AE361" t="s">
        <v>33</v>
      </c>
    </row>
    <row r="362" spans="1:31">
      <c r="A362" t="s">
        <v>2057</v>
      </c>
      <c r="B362" t="s">
        <v>34</v>
      </c>
      <c r="C362" t="s">
        <v>1595</v>
      </c>
      <c r="D362" t="s">
        <v>1596</v>
      </c>
      <c r="E362" t="s">
        <v>535</v>
      </c>
      <c r="F362" s="1">
        <v>46073.362002314818</v>
      </c>
      <c r="G362" t="s">
        <v>62</v>
      </c>
      <c r="H362" t="s">
        <v>776</v>
      </c>
      <c r="I362" t="s">
        <v>3668</v>
      </c>
      <c r="J362" t="s">
        <v>44</v>
      </c>
      <c r="K362" t="s">
        <v>205</v>
      </c>
      <c r="L362" t="s">
        <v>46</v>
      </c>
      <c r="M362" t="s">
        <v>188</v>
      </c>
      <c r="N362" t="s">
        <v>431</v>
      </c>
      <c r="O362" t="s">
        <v>30</v>
      </c>
      <c r="P362" s="1">
        <v>46077.086574074077</v>
      </c>
      <c r="Q362" s="1">
        <v>46073.362233796295</v>
      </c>
      <c r="R362" t="s">
        <v>1775</v>
      </c>
      <c r="S362" t="s">
        <v>3304</v>
      </c>
      <c r="T362" t="s">
        <v>31</v>
      </c>
      <c r="U362" t="s">
        <v>206</v>
      </c>
      <c r="V362" t="s">
        <v>46</v>
      </c>
      <c r="W362" t="s">
        <v>188</v>
      </c>
      <c r="X362" t="s">
        <v>431</v>
      </c>
      <c r="Y362" t="s">
        <v>3615</v>
      </c>
      <c r="Z362" t="s">
        <v>3530</v>
      </c>
      <c r="AA362" t="s">
        <v>3528</v>
      </c>
      <c r="AB362" t="s">
        <v>32</v>
      </c>
      <c r="AC362" t="s">
        <v>1597</v>
      </c>
      <c r="AD362" t="s">
        <v>1598</v>
      </c>
      <c r="AE362" t="s">
        <v>33</v>
      </c>
    </row>
    <row r="363" spans="1:31">
      <c r="A363" t="s">
        <v>2058</v>
      </c>
      <c r="B363" t="s">
        <v>34</v>
      </c>
      <c r="C363" t="s">
        <v>2051</v>
      </c>
      <c r="D363" t="s">
        <v>2052</v>
      </c>
      <c r="E363" t="s">
        <v>2059</v>
      </c>
      <c r="F363" s="1">
        <v>46073.357905092591</v>
      </c>
      <c r="G363" t="s">
        <v>93</v>
      </c>
      <c r="H363" t="s">
        <v>776</v>
      </c>
      <c r="I363" t="s">
        <v>3666</v>
      </c>
      <c r="J363" t="s">
        <v>44</v>
      </c>
      <c r="K363" t="s">
        <v>1149</v>
      </c>
      <c r="L363" t="s">
        <v>46</v>
      </c>
      <c r="M363" t="s">
        <v>188</v>
      </c>
      <c r="N363" t="s">
        <v>431</v>
      </c>
      <c r="O363" t="s">
        <v>30</v>
      </c>
      <c r="P363" s="1">
        <v>46077.086527777778</v>
      </c>
      <c r="Q363" s="1">
        <v>46073.443298611113</v>
      </c>
      <c r="R363" t="s">
        <v>1775</v>
      </c>
      <c r="S363" t="s">
        <v>3305</v>
      </c>
      <c r="T363" t="s">
        <v>31</v>
      </c>
      <c r="U363" t="s">
        <v>1150</v>
      </c>
      <c r="V363" t="s">
        <v>46</v>
      </c>
      <c r="W363" t="s">
        <v>188</v>
      </c>
      <c r="X363" t="s">
        <v>431</v>
      </c>
      <c r="Y363">
        <v>13737</v>
      </c>
      <c r="Z363" t="s">
        <v>3530</v>
      </c>
      <c r="AA363" t="s">
        <v>3528</v>
      </c>
      <c r="AB363" t="s">
        <v>32</v>
      </c>
      <c r="AC363" t="s">
        <v>2054</v>
      </c>
      <c r="AD363" t="s">
        <v>2055</v>
      </c>
      <c r="AE363" t="s">
        <v>33</v>
      </c>
    </row>
    <row r="364" spans="1:31">
      <c r="A364" t="s">
        <v>2060</v>
      </c>
      <c r="B364" t="s">
        <v>34</v>
      </c>
      <c r="C364" t="s">
        <v>169</v>
      </c>
      <c r="D364" t="s">
        <v>170</v>
      </c>
      <c r="E364" t="s">
        <v>109</v>
      </c>
      <c r="F364" s="1">
        <v>46073.354062500002</v>
      </c>
      <c r="G364" t="s">
        <v>153</v>
      </c>
      <c r="H364" t="s">
        <v>776</v>
      </c>
      <c r="I364" t="s">
        <v>3669</v>
      </c>
      <c r="J364" t="s">
        <v>44</v>
      </c>
      <c r="K364" t="s">
        <v>1149</v>
      </c>
      <c r="L364" t="s">
        <v>46</v>
      </c>
      <c r="M364" t="s">
        <v>110</v>
      </c>
      <c r="N364" t="s">
        <v>111</v>
      </c>
      <c r="O364" t="s">
        <v>30</v>
      </c>
      <c r="P364" s="1">
        <v>46077.086493055554</v>
      </c>
      <c r="Q364" s="1">
        <v>46073.442395833335</v>
      </c>
      <c r="R364" t="s">
        <v>1775</v>
      </c>
      <c r="S364" t="s">
        <v>3193</v>
      </c>
      <c r="T364" t="s">
        <v>31</v>
      </c>
      <c r="U364" t="s">
        <v>1150</v>
      </c>
      <c r="V364" t="s">
        <v>46</v>
      </c>
      <c r="W364" t="s">
        <v>110</v>
      </c>
      <c r="X364" t="s">
        <v>111</v>
      </c>
      <c r="Y364">
        <v>15115</v>
      </c>
      <c r="Z364" t="s">
        <v>3530</v>
      </c>
      <c r="AA364" t="s">
        <v>3528</v>
      </c>
      <c r="AB364" t="s">
        <v>32</v>
      </c>
      <c r="AC364" t="s">
        <v>2061</v>
      </c>
      <c r="AD364" t="s">
        <v>2062</v>
      </c>
      <c r="AE364" t="s">
        <v>33</v>
      </c>
    </row>
    <row r="365" spans="1:31">
      <c r="A365" t="s">
        <v>2063</v>
      </c>
      <c r="B365" t="s">
        <v>34</v>
      </c>
      <c r="C365" t="s">
        <v>2064</v>
      </c>
      <c r="D365" t="s">
        <v>2065</v>
      </c>
      <c r="E365" t="s">
        <v>109</v>
      </c>
      <c r="F365" s="1">
        <v>46073.350902777776</v>
      </c>
      <c r="G365" t="s">
        <v>77</v>
      </c>
      <c r="H365" t="s">
        <v>776</v>
      </c>
      <c r="I365" t="s">
        <v>3669</v>
      </c>
      <c r="J365" t="s">
        <v>44</v>
      </c>
      <c r="K365" t="s">
        <v>1149</v>
      </c>
      <c r="L365" t="s">
        <v>46</v>
      </c>
      <c r="M365" t="s">
        <v>110</v>
      </c>
      <c r="N365" t="s">
        <v>111</v>
      </c>
      <c r="O365" t="s">
        <v>30</v>
      </c>
      <c r="P365" s="1">
        <v>46077.086458333331</v>
      </c>
      <c r="Q365" s="1">
        <v>46073.44222222222</v>
      </c>
      <c r="R365" t="s">
        <v>1775</v>
      </c>
      <c r="S365" t="s">
        <v>3193</v>
      </c>
      <c r="T365" t="s">
        <v>31</v>
      </c>
      <c r="U365" t="s">
        <v>1150</v>
      </c>
      <c r="V365" t="s">
        <v>46</v>
      </c>
      <c r="W365" t="s">
        <v>110</v>
      </c>
      <c r="X365" t="s">
        <v>111</v>
      </c>
      <c r="Y365" t="s">
        <v>3647</v>
      </c>
      <c r="Z365" t="s">
        <v>3530</v>
      </c>
      <c r="AA365" t="s">
        <v>3528</v>
      </c>
      <c r="AB365" t="s">
        <v>32</v>
      </c>
      <c r="AC365" t="s">
        <v>2066</v>
      </c>
      <c r="AD365" t="s">
        <v>2067</v>
      </c>
      <c r="AE365" t="s">
        <v>33</v>
      </c>
    </row>
    <row r="366" spans="1:31">
      <c r="A366" t="s">
        <v>2068</v>
      </c>
      <c r="B366" t="s">
        <v>34</v>
      </c>
      <c r="C366" t="s">
        <v>1233</v>
      </c>
      <c r="D366" t="s">
        <v>172</v>
      </c>
      <c r="E366" t="s">
        <v>109</v>
      </c>
      <c r="F366" s="1">
        <v>46073.34542824074</v>
      </c>
      <c r="G366" t="s">
        <v>283</v>
      </c>
      <c r="H366" t="s">
        <v>776</v>
      </c>
      <c r="I366" t="s">
        <v>3670</v>
      </c>
      <c r="J366" t="s">
        <v>44</v>
      </c>
      <c r="K366" t="s">
        <v>1149</v>
      </c>
      <c r="L366" t="s">
        <v>46</v>
      </c>
      <c r="M366" t="s">
        <v>110</v>
      </c>
      <c r="N366" t="s">
        <v>111</v>
      </c>
      <c r="O366" t="s">
        <v>30</v>
      </c>
      <c r="P366" s="1">
        <v>46077.086400462962</v>
      </c>
      <c r="Q366" s="1">
        <v>46073.442025462966</v>
      </c>
      <c r="R366" t="s">
        <v>1775</v>
      </c>
      <c r="S366" t="s">
        <v>3193</v>
      </c>
      <c r="T366" t="s">
        <v>31</v>
      </c>
      <c r="U366" t="s">
        <v>1150</v>
      </c>
      <c r="V366" t="s">
        <v>46</v>
      </c>
      <c r="W366" t="s">
        <v>110</v>
      </c>
      <c r="X366" t="s">
        <v>111</v>
      </c>
      <c r="Y366">
        <v>15279</v>
      </c>
      <c r="Z366" t="s">
        <v>3530</v>
      </c>
      <c r="AA366" t="s">
        <v>3528</v>
      </c>
      <c r="AB366" t="s">
        <v>32</v>
      </c>
      <c r="AC366" t="s">
        <v>2069</v>
      </c>
      <c r="AD366" t="s">
        <v>2070</v>
      </c>
      <c r="AE366" t="s">
        <v>33</v>
      </c>
    </row>
    <row r="367" spans="1:31">
      <c r="A367" t="s">
        <v>2071</v>
      </c>
      <c r="B367" t="s">
        <v>34</v>
      </c>
      <c r="C367" t="s">
        <v>115</v>
      </c>
      <c r="D367" t="s">
        <v>2072</v>
      </c>
      <c r="E367" t="s">
        <v>109</v>
      </c>
      <c r="F367" s="1">
        <v>46073.341909722221</v>
      </c>
      <c r="G367" t="s">
        <v>173</v>
      </c>
      <c r="H367" t="s">
        <v>776</v>
      </c>
      <c r="I367" t="s">
        <v>3666</v>
      </c>
      <c r="J367" t="s">
        <v>44</v>
      </c>
      <c r="K367" t="s">
        <v>205</v>
      </c>
      <c r="L367" t="s">
        <v>46</v>
      </c>
      <c r="M367" t="s">
        <v>110</v>
      </c>
      <c r="N367" t="s">
        <v>111</v>
      </c>
      <c r="O367" t="s">
        <v>30</v>
      </c>
      <c r="P367" s="1">
        <v>46077.086342592593</v>
      </c>
      <c r="Q367" s="1">
        <v>46073.342118055552</v>
      </c>
      <c r="R367" t="s">
        <v>1775</v>
      </c>
      <c r="S367" t="s">
        <v>3134</v>
      </c>
      <c r="T367" t="s">
        <v>180</v>
      </c>
      <c r="U367" t="s">
        <v>206</v>
      </c>
      <c r="V367" t="s">
        <v>46</v>
      </c>
      <c r="W367" t="s">
        <v>110</v>
      </c>
      <c r="X367" t="s">
        <v>111</v>
      </c>
      <c r="Y367">
        <v>10030</v>
      </c>
      <c r="Z367" t="s">
        <v>3530</v>
      </c>
      <c r="AA367" t="s">
        <v>3528</v>
      </c>
      <c r="AB367" t="s">
        <v>181</v>
      </c>
      <c r="AC367" t="s">
        <v>2073</v>
      </c>
      <c r="AD367" t="s">
        <v>2074</v>
      </c>
      <c r="AE367" t="s">
        <v>33</v>
      </c>
    </row>
    <row r="368" spans="1:31">
      <c r="A368" t="s">
        <v>2075</v>
      </c>
      <c r="B368" t="s">
        <v>24</v>
      </c>
      <c r="C368" t="s">
        <v>1825</v>
      </c>
      <c r="D368" t="s">
        <v>2076</v>
      </c>
      <c r="E368" t="s">
        <v>2077</v>
      </c>
      <c r="F368" s="1">
        <v>46073.375578703701</v>
      </c>
      <c r="G368" t="s">
        <v>333</v>
      </c>
      <c r="H368" t="s">
        <v>776</v>
      </c>
      <c r="I368" t="s">
        <v>3671</v>
      </c>
      <c r="J368" t="s">
        <v>44</v>
      </c>
      <c r="K368" t="s">
        <v>1149</v>
      </c>
      <c r="L368" t="s">
        <v>46</v>
      </c>
      <c r="M368" t="s">
        <v>443</v>
      </c>
      <c r="N368" t="s">
        <v>869</v>
      </c>
      <c r="O368" t="s">
        <v>86</v>
      </c>
      <c r="P368" s="1">
        <v>46077.086678240739</v>
      </c>
      <c r="Q368" s="1">
        <v>46073.453402777777</v>
      </c>
      <c r="R368" t="s">
        <v>1775</v>
      </c>
      <c r="S368" t="s">
        <v>3306</v>
      </c>
      <c r="T368" t="s">
        <v>31</v>
      </c>
      <c r="U368" t="s">
        <v>1150</v>
      </c>
      <c r="V368" t="s">
        <v>46</v>
      </c>
      <c r="W368" t="s">
        <v>3113</v>
      </c>
      <c r="X368" t="s">
        <v>3163</v>
      </c>
      <c r="Y368">
        <v>696</v>
      </c>
      <c r="Z368" t="s">
        <v>3530</v>
      </c>
      <c r="AA368" t="s">
        <v>3528</v>
      </c>
      <c r="AB368" t="s">
        <v>32</v>
      </c>
      <c r="AC368" t="s">
        <v>2078</v>
      </c>
      <c r="AD368" t="s">
        <v>2079</v>
      </c>
      <c r="AE368" t="s">
        <v>33</v>
      </c>
    </row>
    <row r="369" spans="1:31">
      <c r="A369" t="s">
        <v>2080</v>
      </c>
      <c r="B369" t="s">
        <v>34</v>
      </c>
      <c r="C369" t="s">
        <v>425</v>
      </c>
      <c r="D369" t="s">
        <v>1259</v>
      </c>
      <c r="E369" t="s">
        <v>1079</v>
      </c>
      <c r="F369" s="1">
        <v>46073.305625000001</v>
      </c>
      <c r="G369" t="s">
        <v>173</v>
      </c>
      <c r="H369" t="s">
        <v>776</v>
      </c>
      <c r="I369" t="s">
        <v>3666</v>
      </c>
      <c r="J369" t="s">
        <v>44</v>
      </c>
      <c r="K369" t="s">
        <v>300</v>
      </c>
      <c r="L369" t="s">
        <v>46</v>
      </c>
      <c r="M369" t="s">
        <v>379</v>
      </c>
      <c r="N369" t="s">
        <v>379</v>
      </c>
      <c r="O369" t="s">
        <v>30</v>
      </c>
      <c r="P369" s="1">
        <v>46077.086238425924</v>
      </c>
      <c r="Q369" s="1">
        <v>46073.305914351855</v>
      </c>
      <c r="R369" t="s">
        <v>1775</v>
      </c>
      <c r="S369" t="s">
        <v>3187</v>
      </c>
      <c r="T369" t="s">
        <v>31</v>
      </c>
      <c r="U369" t="s">
        <v>399</v>
      </c>
      <c r="V369" t="s">
        <v>46</v>
      </c>
      <c r="W369" t="s">
        <v>379</v>
      </c>
      <c r="X369" t="s">
        <v>379</v>
      </c>
      <c r="Y369" t="s">
        <v>3602</v>
      </c>
      <c r="Z369" t="s">
        <v>3530</v>
      </c>
      <c r="AA369" t="s">
        <v>3528</v>
      </c>
      <c r="AB369" t="s">
        <v>32</v>
      </c>
      <c r="AC369" t="s">
        <v>1260</v>
      </c>
      <c r="AD369" t="s">
        <v>1261</v>
      </c>
      <c r="AE369" t="s">
        <v>33</v>
      </c>
    </row>
    <row r="370" spans="1:31">
      <c r="A370" t="s">
        <v>2081</v>
      </c>
      <c r="B370" t="s">
        <v>34</v>
      </c>
      <c r="C370" t="s">
        <v>2082</v>
      </c>
      <c r="D370" t="s">
        <v>2083</v>
      </c>
      <c r="E370" t="s">
        <v>2084</v>
      </c>
      <c r="F370" s="1">
        <v>46073.29965277778</v>
      </c>
      <c r="G370" t="s">
        <v>153</v>
      </c>
      <c r="H370" t="s">
        <v>776</v>
      </c>
      <c r="I370" t="s">
        <v>3669</v>
      </c>
      <c r="J370" t="s">
        <v>44</v>
      </c>
      <c r="K370" t="s">
        <v>300</v>
      </c>
      <c r="L370" t="s">
        <v>46</v>
      </c>
      <c r="M370" t="s">
        <v>379</v>
      </c>
      <c r="N370" t="s">
        <v>379</v>
      </c>
      <c r="O370" t="s">
        <v>30</v>
      </c>
      <c r="P370" s="1">
        <v>46077.086238425924</v>
      </c>
      <c r="Q370" s="1">
        <v>46073.299791666665</v>
      </c>
      <c r="R370" t="s">
        <v>1775</v>
      </c>
      <c r="S370" t="s">
        <v>2084</v>
      </c>
      <c r="T370" t="s">
        <v>31</v>
      </c>
      <c r="U370" t="s">
        <v>399</v>
      </c>
      <c r="V370" t="s">
        <v>46</v>
      </c>
      <c r="W370" t="s">
        <v>379</v>
      </c>
      <c r="X370" t="s">
        <v>379</v>
      </c>
      <c r="Y370">
        <v>3610</v>
      </c>
      <c r="Z370" t="s">
        <v>3530</v>
      </c>
      <c r="AA370" t="s">
        <v>3528</v>
      </c>
      <c r="AB370" t="s">
        <v>32</v>
      </c>
      <c r="AC370" t="s">
        <v>2085</v>
      </c>
      <c r="AD370" t="s">
        <v>2086</v>
      </c>
      <c r="AE370" t="s">
        <v>33</v>
      </c>
    </row>
    <row r="371" spans="1:31">
      <c r="A371" t="s">
        <v>2087</v>
      </c>
      <c r="B371" t="s">
        <v>34</v>
      </c>
      <c r="C371" t="s">
        <v>2088</v>
      </c>
      <c r="D371" t="s">
        <v>2089</v>
      </c>
      <c r="E371" t="s">
        <v>2090</v>
      </c>
      <c r="F371" s="1">
        <v>46073.298460648148</v>
      </c>
      <c r="G371" t="s">
        <v>161</v>
      </c>
      <c r="H371" t="s">
        <v>776</v>
      </c>
      <c r="I371" t="s">
        <v>3667</v>
      </c>
      <c r="J371" t="s">
        <v>44</v>
      </c>
      <c r="K371" t="s">
        <v>300</v>
      </c>
      <c r="L371" t="s">
        <v>46</v>
      </c>
      <c r="M371" t="s">
        <v>188</v>
      </c>
      <c r="N371" t="s">
        <v>431</v>
      </c>
      <c r="O371" t="s">
        <v>30</v>
      </c>
      <c r="P371" s="1">
        <v>46077.086226851854</v>
      </c>
      <c r="Q371" s="1">
        <v>46073.298807870371</v>
      </c>
      <c r="R371" t="s">
        <v>1775</v>
      </c>
      <c r="S371" t="s">
        <v>3307</v>
      </c>
      <c r="T371" t="s">
        <v>31</v>
      </c>
      <c r="U371" t="s">
        <v>399</v>
      </c>
      <c r="V371" t="s">
        <v>46</v>
      </c>
      <c r="W371" t="s">
        <v>188</v>
      </c>
      <c r="X371" t="s">
        <v>431</v>
      </c>
      <c r="Y371">
        <v>15780</v>
      </c>
      <c r="Z371" t="s">
        <v>3530</v>
      </c>
      <c r="AA371" t="s">
        <v>3528</v>
      </c>
      <c r="AB371" t="s">
        <v>32</v>
      </c>
      <c r="AC371" t="s">
        <v>2091</v>
      </c>
      <c r="AD371" t="s">
        <v>2092</v>
      </c>
      <c r="AE371" t="s">
        <v>33</v>
      </c>
    </row>
    <row r="372" spans="1:31">
      <c r="A372" t="s">
        <v>2093</v>
      </c>
      <c r="B372" t="s">
        <v>34</v>
      </c>
      <c r="C372" t="s">
        <v>425</v>
      </c>
      <c r="D372" t="s">
        <v>1259</v>
      </c>
      <c r="E372" t="s">
        <v>1079</v>
      </c>
      <c r="F372" s="1">
        <v>46073.277939814812</v>
      </c>
      <c r="G372" t="s">
        <v>173</v>
      </c>
      <c r="H372" t="s">
        <v>776</v>
      </c>
      <c r="I372" t="s">
        <v>3666</v>
      </c>
      <c r="J372" t="s">
        <v>44</v>
      </c>
      <c r="K372" t="s">
        <v>300</v>
      </c>
      <c r="L372" t="s">
        <v>46</v>
      </c>
      <c r="M372" t="s">
        <v>379</v>
      </c>
      <c r="N372" t="s">
        <v>379</v>
      </c>
      <c r="O372" t="s">
        <v>30</v>
      </c>
      <c r="P372" s="1">
        <v>46077.086180555554</v>
      </c>
      <c r="Q372" s="1">
        <v>46073.278090277781</v>
      </c>
      <c r="R372" t="s">
        <v>1775</v>
      </c>
      <c r="S372" t="s">
        <v>3187</v>
      </c>
      <c r="T372" t="s">
        <v>31</v>
      </c>
      <c r="U372" t="s">
        <v>399</v>
      </c>
      <c r="V372" t="s">
        <v>46</v>
      </c>
      <c r="W372" t="s">
        <v>379</v>
      </c>
      <c r="X372" t="s">
        <v>379</v>
      </c>
      <c r="Y372" t="s">
        <v>3602</v>
      </c>
      <c r="Z372" t="s">
        <v>3530</v>
      </c>
      <c r="AA372" t="s">
        <v>3528</v>
      </c>
      <c r="AB372" t="s">
        <v>32</v>
      </c>
      <c r="AC372" t="s">
        <v>1260</v>
      </c>
      <c r="AD372" t="s">
        <v>1261</v>
      </c>
      <c r="AE372" t="s">
        <v>33</v>
      </c>
    </row>
    <row r="373" spans="1:31" hidden="1">
      <c r="A373" t="s">
        <v>2096</v>
      </c>
      <c r="B373" t="s">
        <v>34</v>
      </c>
      <c r="C373" t="s">
        <v>769</v>
      </c>
      <c r="D373" t="s">
        <v>770</v>
      </c>
      <c r="E373" t="s">
        <v>2097</v>
      </c>
      <c r="F373" s="1">
        <v>46073.180636574078</v>
      </c>
      <c r="G373" t="s">
        <v>62</v>
      </c>
      <c r="H373" t="s">
        <v>776</v>
      </c>
      <c r="I373" t="s">
        <v>3668</v>
      </c>
      <c r="J373" t="s">
        <v>651</v>
      </c>
      <c r="K373" t="s">
        <v>772</v>
      </c>
      <c r="L373" t="s">
        <v>46</v>
      </c>
      <c r="M373" t="s">
        <v>751</v>
      </c>
      <c r="N373" t="s">
        <v>752</v>
      </c>
      <c r="O373" t="s">
        <v>30</v>
      </c>
      <c r="P373" s="1">
        <v>46077.086006944446</v>
      </c>
      <c r="Q373" s="1">
        <v>46073.396990740737</v>
      </c>
      <c r="R373" t="s">
        <v>1775</v>
      </c>
      <c r="S373" t="s">
        <v>3308</v>
      </c>
      <c r="T373" t="s">
        <v>31</v>
      </c>
      <c r="U373" t="s">
        <v>399</v>
      </c>
      <c r="V373" t="s">
        <v>46</v>
      </c>
      <c r="W373" t="s">
        <v>751</v>
      </c>
      <c r="X373" t="s">
        <v>752</v>
      </c>
      <c r="Y373" t="s">
        <v>3580</v>
      </c>
      <c r="Z373" t="s">
        <v>3525</v>
      </c>
      <c r="AA373" t="s">
        <v>3528</v>
      </c>
      <c r="AB373" t="s">
        <v>32</v>
      </c>
      <c r="AC373" t="s">
        <v>773</v>
      </c>
      <c r="AD373" t="s">
        <v>774</v>
      </c>
      <c r="AE373" t="s">
        <v>33</v>
      </c>
    </row>
    <row r="374" spans="1:31" hidden="1">
      <c r="A374" t="s">
        <v>2098</v>
      </c>
      <c r="B374" t="s">
        <v>34</v>
      </c>
      <c r="C374" t="s">
        <v>691</v>
      </c>
      <c r="D374" t="s">
        <v>2099</v>
      </c>
      <c r="E374" t="s">
        <v>535</v>
      </c>
      <c r="F374" s="1">
        <v>46073.162905092591</v>
      </c>
      <c r="G374" t="s">
        <v>161</v>
      </c>
      <c r="H374" t="s">
        <v>776</v>
      </c>
      <c r="I374" t="s">
        <v>3667</v>
      </c>
      <c r="J374" t="s">
        <v>44</v>
      </c>
      <c r="K374" t="s">
        <v>205</v>
      </c>
      <c r="L374" t="s">
        <v>46</v>
      </c>
      <c r="M374" t="s">
        <v>188</v>
      </c>
      <c r="N374" t="s">
        <v>431</v>
      </c>
      <c r="O374" t="s">
        <v>30</v>
      </c>
      <c r="P374" s="1">
        <v>46079.358749999999</v>
      </c>
      <c r="R374" t="s">
        <v>90</v>
      </c>
      <c r="T374" t="s">
        <v>31</v>
      </c>
      <c r="U374" t="s">
        <v>399</v>
      </c>
      <c r="V374" t="s">
        <v>46</v>
      </c>
      <c r="W374" t="s">
        <v>188</v>
      </c>
      <c r="X374" t="s">
        <v>431</v>
      </c>
      <c r="Y374">
        <v>15960</v>
      </c>
      <c r="Z374" t="s">
        <v>3525</v>
      </c>
      <c r="AA374" t="s">
        <v>3541</v>
      </c>
      <c r="AB374" t="s">
        <v>32</v>
      </c>
      <c r="AC374" t="s">
        <v>2100</v>
      </c>
      <c r="AD374" t="s">
        <v>2101</v>
      </c>
      <c r="AE374" t="s">
        <v>33</v>
      </c>
    </row>
    <row r="375" spans="1:31">
      <c r="A375" t="s">
        <v>2102</v>
      </c>
      <c r="B375" t="s">
        <v>34</v>
      </c>
      <c r="C375" t="s">
        <v>1401</v>
      </c>
      <c r="D375" t="s">
        <v>99</v>
      </c>
      <c r="E375" t="s">
        <v>813</v>
      </c>
      <c r="F375" s="1">
        <v>46073.146689814814</v>
      </c>
      <c r="G375" t="s">
        <v>161</v>
      </c>
      <c r="H375" t="s">
        <v>776</v>
      </c>
      <c r="I375" t="s">
        <v>3667</v>
      </c>
      <c r="J375" t="s">
        <v>44</v>
      </c>
      <c r="K375" t="s">
        <v>300</v>
      </c>
      <c r="L375" t="s">
        <v>46</v>
      </c>
      <c r="M375" t="s">
        <v>188</v>
      </c>
      <c r="N375" t="s">
        <v>431</v>
      </c>
      <c r="O375" t="s">
        <v>30</v>
      </c>
      <c r="P375" s="1">
        <v>46077.085960648146</v>
      </c>
      <c r="Q375" s="1">
        <v>46073.147037037037</v>
      </c>
      <c r="R375" t="s">
        <v>1775</v>
      </c>
      <c r="S375" t="s">
        <v>3309</v>
      </c>
      <c r="T375" t="s">
        <v>31</v>
      </c>
      <c r="U375" t="s">
        <v>399</v>
      </c>
      <c r="V375" t="s">
        <v>46</v>
      </c>
      <c r="W375" t="s">
        <v>188</v>
      </c>
      <c r="X375" t="s">
        <v>431</v>
      </c>
      <c r="Y375">
        <v>13678</v>
      </c>
      <c r="Z375" t="s">
        <v>3530</v>
      </c>
      <c r="AA375" t="s">
        <v>3528</v>
      </c>
      <c r="AB375" t="s">
        <v>32</v>
      </c>
      <c r="AC375" t="s">
        <v>1402</v>
      </c>
      <c r="AD375" t="s">
        <v>1403</v>
      </c>
      <c r="AE375" t="s">
        <v>33</v>
      </c>
    </row>
    <row r="376" spans="1:31">
      <c r="A376" t="s">
        <v>2103</v>
      </c>
      <c r="B376" t="s">
        <v>34</v>
      </c>
      <c r="C376" t="s">
        <v>142</v>
      </c>
      <c r="D376" t="s">
        <v>2104</v>
      </c>
      <c r="E376" t="s">
        <v>692</v>
      </c>
      <c r="F376" s="1">
        <v>46073.136458333334</v>
      </c>
      <c r="G376" t="s">
        <v>168</v>
      </c>
      <c r="H376" t="s">
        <v>776</v>
      </c>
      <c r="I376" t="s">
        <v>3669</v>
      </c>
      <c r="J376" t="s">
        <v>44</v>
      </c>
      <c r="K376" t="s">
        <v>300</v>
      </c>
      <c r="L376" t="s">
        <v>46</v>
      </c>
      <c r="M376" t="s">
        <v>379</v>
      </c>
      <c r="N376" t="s">
        <v>379</v>
      </c>
      <c r="O376" t="s">
        <v>30</v>
      </c>
      <c r="P376" s="1">
        <v>46077.085949074077</v>
      </c>
      <c r="Q376" s="1">
        <v>46073.136701388888</v>
      </c>
      <c r="R376" t="s">
        <v>1775</v>
      </c>
      <c r="S376" t="s">
        <v>3140</v>
      </c>
      <c r="T376" t="s">
        <v>31</v>
      </c>
      <c r="U376" t="s">
        <v>399</v>
      </c>
      <c r="V376" t="s">
        <v>46</v>
      </c>
      <c r="W376" t="s">
        <v>379</v>
      </c>
      <c r="X376" t="s">
        <v>379</v>
      </c>
      <c r="Y376">
        <v>15368</v>
      </c>
      <c r="Z376" t="s">
        <v>3530</v>
      </c>
      <c r="AA376" t="s">
        <v>3528</v>
      </c>
      <c r="AB376" t="s">
        <v>32</v>
      </c>
      <c r="AC376" t="s">
        <v>2105</v>
      </c>
      <c r="AD376" t="s">
        <v>2106</v>
      </c>
      <c r="AE376" t="s">
        <v>33</v>
      </c>
    </row>
    <row r="377" spans="1:31">
      <c r="A377" t="s">
        <v>2107</v>
      </c>
      <c r="B377" t="s">
        <v>34</v>
      </c>
      <c r="C377" t="s">
        <v>1747</v>
      </c>
      <c r="D377" t="s">
        <v>1748</v>
      </c>
      <c r="E377" t="s">
        <v>212</v>
      </c>
      <c r="F377" s="1">
        <v>46073.10292824074</v>
      </c>
      <c r="G377" t="s">
        <v>424</v>
      </c>
      <c r="H377" t="s">
        <v>776</v>
      </c>
      <c r="I377" t="s">
        <v>3668</v>
      </c>
      <c r="J377" t="s">
        <v>44</v>
      </c>
      <c r="K377" t="s">
        <v>300</v>
      </c>
      <c r="L377" t="s">
        <v>162</v>
      </c>
      <c r="M377" t="s">
        <v>163</v>
      </c>
      <c r="N377" t="s">
        <v>164</v>
      </c>
      <c r="O377" t="s">
        <v>30</v>
      </c>
      <c r="P377" s="1">
        <v>46077.085798611108</v>
      </c>
      <c r="Q377" s="1">
        <v>46073.475115740737</v>
      </c>
      <c r="R377" t="s">
        <v>1775</v>
      </c>
      <c r="S377" t="s">
        <v>3310</v>
      </c>
      <c r="T377" t="s">
        <v>31</v>
      </c>
      <c r="U377" t="s">
        <v>104</v>
      </c>
      <c r="V377" t="s">
        <v>46</v>
      </c>
      <c r="W377" t="s">
        <v>110</v>
      </c>
      <c r="X377" t="s">
        <v>3110</v>
      </c>
      <c r="Y377">
        <v>3128</v>
      </c>
      <c r="Z377" t="s">
        <v>3536</v>
      </c>
      <c r="AA377" t="s">
        <v>3528</v>
      </c>
      <c r="AB377" t="s">
        <v>181</v>
      </c>
      <c r="AC377" t="s">
        <v>1749</v>
      </c>
      <c r="AD377" t="s">
        <v>1750</v>
      </c>
      <c r="AE377" t="s">
        <v>33</v>
      </c>
    </row>
    <row r="378" spans="1:31">
      <c r="A378" t="s">
        <v>2108</v>
      </c>
      <c r="B378" t="s">
        <v>34</v>
      </c>
      <c r="C378" t="s">
        <v>2109</v>
      </c>
      <c r="D378" t="s">
        <v>2110</v>
      </c>
      <c r="E378" t="s">
        <v>692</v>
      </c>
      <c r="F378" s="1">
        <v>46073.100821759261</v>
      </c>
      <c r="G378" t="s">
        <v>755</v>
      </c>
      <c r="H378" t="s">
        <v>776</v>
      </c>
      <c r="I378" t="s">
        <v>3669</v>
      </c>
      <c r="J378" t="s">
        <v>44</v>
      </c>
      <c r="K378" t="s">
        <v>300</v>
      </c>
      <c r="L378" t="s">
        <v>46</v>
      </c>
      <c r="M378" t="s">
        <v>379</v>
      </c>
      <c r="N378" t="s">
        <v>379</v>
      </c>
      <c r="O378" t="s">
        <v>30</v>
      </c>
      <c r="P378" s="1">
        <v>46077.085787037038</v>
      </c>
      <c r="Q378" s="1">
        <v>46073.100983796299</v>
      </c>
      <c r="R378" t="s">
        <v>1775</v>
      </c>
      <c r="S378" t="s">
        <v>3140</v>
      </c>
      <c r="T378" t="s">
        <v>31</v>
      </c>
      <c r="U378" t="s">
        <v>399</v>
      </c>
      <c r="V378" t="s">
        <v>46</v>
      </c>
      <c r="W378" t="s">
        <v>379</v>
      </c>
      <c r="X378" t="s">
        <v>379</v>
      </c>
      <c r="Y378">
        <v>5257</v>
      </c>
      <c r="Z378" t="s">
        <v>3530</v>
      </c>
      <c r="AA378" t="s">
        <v>3528</v>
      </c>
      <c r="AB378" t="s">
        <v>32</v>
      </c>
      <c r="AC378" t="s">
        <v>2111</v>
      </c>
      <c r="AD378" t="s">
        <v>2112</v>
      </c>
      <c r="AE378" t="s">
        <v>33</v>
      </c>
    </row>
    <row r="379" spans="1:31">
      <c r="A379" t="s">
        <v>2113</v>
      </c>
      <c r="B379" t="s">
        <v>34</v>
      </c>
      <c r="C379" t="s">
        <v>1282</v>
      </c>
      <c r="D379" t="s">
        <v>1083</v>
      </c>
      <c r="E379" t="s">
        <v>2114</v>
      </c>
      <c r="F379" s="1">
        <v>46073.014178240737</v>
      </c>
      <c r="G379" t="s">
        <v>226</v>
      </c>
      <c r="H379" t="s">
        <v>776</v>
      </c>
      <c r="I379" t="s">
        <v>3665</v>
      </c>
      <c r="J379" t="s">
        <v>44</v>
      </c>
      <c r="K379" t="s">
        <v>300</v>
      </c>
      <c r="L379" t="s">
        <v>46</v>
      </c>
      <c r="M379" t="s">
        <v>784</v>
      </c>
      <c r="N379" t="s">
        <v>785</v>
      </c>
      <c r="O379" t="s">
        <v>30</v>
      </c>
      <c r="P379" s="1">
        <v>46076.088599537034</v>
      </c>
      <c r="Q379" s="1">
        <v>46073.014560185184</v>
      </c>
      <c r="R379" t="s">
        <v>1775</v>
      </c>
      <c r="S379" t="s">
        <v>3311</v>
      </c>
      <c r="T379" t="s">
        <v>31</v>
      </c>
      <c r="U379" t="s">
        <v>399</v>
      </c>
      <c r="V379" t="s">
        <v>46</v>
      </c>
      <c r="W379" t="s">
        <v>784</v>
      </c>
      <c r="X379" t="s">
        <v>785</v>
      </c>
      <c r="Y379">
        <v>13877</v>
      </c>
      <c r="Z379" t="s">
        <v>3530</v>
      </c>
      <c r="AA379" t="s">
        <v>3528</v>
      </c>
      <c r="AB379" t="s">
        <v>32</v>
      </c>
      <c r="AC379" t="s">
        <v>2094</v>
      </c>
      <c r="AD379" t="s">
        <v>2095</v>
      </c>
      <c r="AE379" t="s">
        <v>33</v>
      </c>
    </row>
    <row r="380" spans="1:31">
      <c r="A380" t="s">
        <v>2115</v>
      </c>
      <c r="B380" t="s">
        <v>34</v>
      </c>
      <c r="C380" t="s">
        <v>53</v>
      </c>
      <c r="D380" t="s">
        <v>960</v>
      </c>
      <c r="E380" t="s">
        <v>1915</v>
      </c>
      <c r="F380" s="1">
        <v>46072.942777777775</v>
      </c>
      <c r="G380" t="s">
        <v>108</v>
      </c>
      <c r="H380" t="s">
        <v>776</v>
      </c>
      <c r="I380" t="s">
        <v>3666</v>
      </c>
      <c r="J380" t="s">
        <v>44</v>
      </c>
      <c r="K380" t="s">
        <v>514</v>
      </c>
      <c r="L380" t="s">
        <v>46</v>
      </c>
      <c r="M380" t="s">
        <v>188</v>
      </c>
      <c r="N380" t="s">
        <v>431</v>
      </c>
      <c r="O380" t="s">
        <v>30</v>
      </c>
      <c r="P380" s="1">
        <v>46076.088541666664</v>
      </c>
      <c r="Q380" s="1">
        <v>46072.944456018522</v>
      </c>
      <c r="R380" t="s">
        <v>1775</v>
      </c>
      <c r="S380" t="s">
        <v>3130</v>
      </c>
      <c r="T380" t="s">
        <v>31</v>
      </c>
      <c r="U380" t="s">
        <v>266</v>
      </c>
      <c r="V380" t="s">
        <v>46</v>
      </c>
      <c r="W380" t="s">
        <v>188</v>
      </c>
      <c r="X380" t="s">
        <v>431</v>
      </c>
      <c r="Y380">
        <v>15977</v>
      </c>
      <c r="Z380" t="s">
        <v>3530</v>
      </c>
      <c r="AA380" t="s">
        <v>3528</v>
      </c>
      <c r="AB380" t="s">
        <v>32</v>
      </c>
      <c r="AC380" t="s">
        <v>961</v>
      </c>
      <c r="AD380" t="s">
        <v>962</v>
      </c>
      <c r="AE380" t="s">
        <v>33</v>
      </c>
    </row>
    <row r="381" spans="1:31" hidden="1">
      <c r="A381" t="s">
        <v>2116</v>
      </c>
      <c r="B381" t="s">
        <v>34</v>
      </c>
      <c r="C381" t="s">
        <v>2117</v>
      </c>
      <c r="D381" t="s">
        <v>2118</v>
      </c>
      <c r="E381" t="s">
        <v>2119</v>
      </c>
      <c r="F381" s="1">
        <v>46072.90556712963</v>
      </c>
      <c r="G381" t="s">
        <v>62</v>
      </c>
      <c r="H381" t="s">
        <v>776</v>
      </c>
      <c r="I381" t="s">
        <v>3668</v>
      </c>
      <c r="J381" t="s">
        <v>134</v>
      </c>
      <c r="K381" t="s">
        <v>642</v>
      </c>
      <c r="L381" t="s">
        <v>46</v>
      </c>
      <c r="M381" t="s">
        <v>1353</v>
      </c>
      <c r="N381" t="s">
        <v>1354</v>
      </c>
      <c r="O381" t="s">
        <v>30</v>
      </c>
      <c r="P381" s="1">
        <v>46079.287268518521</v>
      </c>
      <c r="R381" t="s">
        <v>90</v>
      </c>
      <c r="T381" t="s">
        <v>31</v>
      </c>
      <c r="U381" t="s">
        <v>266</v>
      </c>
      <c r="Y381">
        <v>15463</v>
      </c>
      <c r="Z381" t="s">
        <v>3525</v>
      </c>
      <c r="AA381" t="s">
        <v>3555</v>
      </c>
      <c r="AB381" t="s">
        <v>32</v>
      </c>
      <c r="AC381" t="s">
        <v>2120</v>
      </c>
      <c r="AD381" t="s">
        <v>2121</v>
      </c>
      <c r="AE381" t="s">
        <v>33</v>
      </c>
    </row>
    <row r="382" spans="1:31" hidden="1">
      <c r="A382" t="s">
        <v>2122</v>
      </c>
      <c r="B382" t="s">
        <v>24</v>
      </c>
      <c r="C382" t="s">
        <v>2123</v>
      </c>
      <c r="D382" t="s">
        <v>2124</v>
      </c>
      <c r="E382" t="s">
        <v>2125</v>
      </c>
      <c r="F382" s="1">
        <v>46072.893229166664</v>
      </c>
      <c r="G382" t="s">
        <v>222</v>
      </c>
      <c r="H382" t="s">
        <v>776</v>
      </c>
      <c r="I382" t="s">
        <v>3666</v>
      </c>
      <c r="J382" t="s">
        <v>44</v>
      </c>
      <c r="K382" t="s">
        <v>514</v>
      </c>
      <c r="L382" t="s">
        <v>46</v>
      </c>
      <c r="M382" t="s">
        <v>197</v>
      </c>
      <c r="N382" t="s">
        <v>2126</v>
      </c>
      <c r="O382" t="s">
        <v>86</v>
      </c>
      <c r="P382" s="1">
        <v>46079.347233796296</v>
      </c>
      <c r="R382" t="s">
        <v>90</v>
      </c>
      <c r="T382" t="s">
        <v>31</v>
      </c>
      <c r="U382" t="s">
        <v>266</v>
      </c>
      <c r="Y382" t="s">
        <v>3648</v>
      </c>
      <c r="Z382" t="s">
        <v>3525</v>
      </c>
      <c r="AA382" t="s">
        <v>3539</v>
      </c>
      <c r="AB382" t="s">
        <v>32</v>
      </c>
      <c r="AC382" t="s">
        <v>2127</v>
      </c>
      <c r="AD382" t="s">
        <v>2128</v>
      </c>
      <c r="AE382" t="s">
        <v>33</v>
      </c>
    </row>
    <row r="383" spans="1:31" hidden="1">
      <c r="A383" t="s">
        <v>2129</v>
      </c>
      <c r="B383" t="s">
        <v>24</v>
      </c>
      <c r="C383" t="s">
        <v>53</v>
      </c>
      <c r="D383" t="s">
        <v>116</v>
      </c>
      <c r="E383" t="s">
        <v>2130</v>
      </c>
      <c r="F383" s="1">
        <v>46072.885648148149</v>
      </c>
      <c r="G383" t="s">
        <v>26</v>
      </c>
      <c r="H383" t="s">
        <v>776</v>
      </c>
      <c r="I383" t="s">
        <v>3665</v>
      </c>
      <c r="J383" t="s">
        <v>134</v>
      </c>
      <c r="K383" t="s">
        <v>320</v>
      </c>
      <c r="L383" t="s">
        <v>46</v>
      </c>
      <c r="M383" t="s">
        <v>338</v>
      </c>
      <c r="N383" t="s">
        <v>890</v>
      </c>
      <c r="O383" t="s">
        <v>284</v>
      </c>
      <c r="P383" s="1">
        <v>46076.365277777775</v>
      </c>
      <c r="Q383" s="1">
        <v>46076.365162037036</v>
      </c>
      <c r="R383" t="s">
        <v>38</v>
      </c>
      <c r="S383" t="e">
        <f>- Ensured that SEP virus definitions are updated. - Cleaned / deleted Quarantined items. - deleted temporary files, temporary internet files and cookies. - Ran AV full scan. - No Risks were found.</f>
        <v>#NAME?</v>
      </c>
      <c r="T383" t="s">
        <v>31</v>
      </c>
      <c r="U383" t="s">
        <v>266</v>
      </c>
      <c r="V383" t="s">
        <v>46</v>
      </c>
      <c r="W383" t="s">
        <v>338</v>
      </c>
      <c r="X383" t="s">
        <v>890</v>
      </c>
      <c r="Y383">
        <v>15695</v>
      </c>
      <c r="Z383" t="s">
        <v>3525</v>
      </c>
      <c r="AA383" t="s">
        <v>3526</v>
      </c>
      <c r="AB383" t="s">
        <v>32</v>
      </c>
      <c r="AC383" t="s">
        <v>2131</v>
      </c>
      <c r="AD383" t="s">
        <v>2132</v>
      </c>
      <c r="AE383" t="s">
        <v>33</v>
      </c>
    </row>
    <row r="384" spans="1:31">
      <c r="A384" t="s">
        <v>2133</v>
      </c>
      <c r="B384" t="s">
        <v>34</v>
      </c>
      <c r="C384" t="s">
        <v>2134</v>
      </c>
      <c r="D384" t="s">
        <v>2135</v>
      </c>
      <c r="E384" t="s">
        <v>2136</v>
      </c>
      <c r="F384" s="1">
        <v>46072.838043981479</v>
      </c>
      <c r="G384" t="s">
        <v>39</v>
      </c>
      <c r="H384" t="s">
        <v>776</v>
      </c>
      <c r="I384" t="s">
        <v>3667</v>
      </c>
      <c r="J384" t="s">
        <v>44</v>
      </c>
      <c r="K384" t="s">
        <v>514</v>
      </c>
      <c r="L384" t="s">
        <v>46</v>
      </c>
      <c r="M384" t="s">
        <v>751</v>
      </c>
      <c r="N384" t="s">
        <v>752</v>
      </c>
      <c r="O384" t="s">
        <v>30</v>
      </c>
      <c r="P384" s="1">
        <v>46076.088437500002</v>
      </c>
      <c r="Q384" s="1">
        <v>46072.839687500003</v>
      </c>
      <c r="R384" t="s">
        <v>1775</v>
      </c>
      <c r="S384" t="s">
        <v>3312</v>
      </c>
      <c r="T384" t="s">
        <v>31</v>
      </c>
      <c r="U384" t="s">
        <v>266</v>
      </c>
      <c r="V384" t="s">
        <v>46</v>
      </c>
      <c r="W384" t="s">
        <v>751</v>
      </c>
      <c r="X384" t="s">
        <v>752</v>
      </c>
      <c r="Y384">
        <v>15828</v>
      </c>
      <c r="Z384" t="s">
        <v>3525</v>
      </c>
      <c r="AA384" t="s">
        <v>3528</v>
      </c>
      <c r="AB384" t="s">
        <v>32</v>
      </c>
      <c r="AC384" t="s">
        <v>2137</v>
      </c>
      <c r="AD384" t="s">
        <v>2138</v>
      </c>
      <c r="AE384" t="s">
        <v>33</v>
      </c>
    </row>
    <row r="385" spans="1:31">
      <c r="A385" t="s">
        <v>2139</v>
      </c>
      <c r="B385" t="s">
        <v>34</v>
      </c>
      <c r="C385" t="s">
        <v>83</v>
      </c>
      <c r="D385" t="s">
        <v>84</v>
      </c>
      <c r="E385" t="s">
        <v>2140</v>
      </c>
      <c r="F385" s="1">
        <v>46072.834861111114</v>
      </c>
      <c r="G385" t="s">
        <v>85</v>
      </c>
      <c r="H385" t="s">
        <v>776</v>
      </c>
      <c r="I385" t="s">
        <v>3668</v>
      </c>
      <c r="J385" t="s">
        <v>44</v>
      </c>
      <c r="K385" t="s">
        <v>514</v>
      </c>
      <c r="L385" t="s">
        <v>46</v>
      </c>
      <c r="M385" t="s">
        <v>751</v>
      </c>
      <c r="N385" t="s">
        <v>752</v>
      </c>
      <c r="O385" t="s">
        <v>30</v>
      </c>
      <c r="P385" s="1">
        <v>46077.085578703707</v>
      </c>
      <c r="Q385" s="1">
        <v>46073.902418981481</v>
      </c>
      <c r="R385" t="s">
        <v>1775</v>
      </c>
      <c r="S385" t="s">
        <v>3313</v>
      </c>
      <c r="T385" t="s">
        <v>31</v>
      </c>
      <c r="U385" t="s">
        <v>266</v>
      </c>
      <c r="V385" t="s">
        <v>46</v>
      </c>
      <c r="W385" t="s">
        <v>751</v>
      </c>
      <c r="X385" t="s">
        <v>752</v>
      </c>
      <c r="Y385" t="s">
        <v>3533</v>
      </c>
      <c r="Z385" t="s">
        <v>3525</v>
      </c>
      <c r="AA385" t="s">
        <v>3528</v>
      </c>
      <c r="AB385" t="s">
        <v>32</v>
      </c>
      <c r="AC385" t="s">
        <v>87</v>
      </c>
      <c r="AD385" t="s">
        <v>88</v>
      </c>
      <c r="AE385" t="s">
        <v>33</v>
      </c>
    </row>
    <row r="386" spans="1:31">
      <c r="A386" t="s">
        <v>2141</v>
      </c>
      <c r="B386" t="s">
        <v>34</v>
      </c>
      <c r="C386" t="s">
        <v>65</v>
      </c>
      <c r="D386" t="s">
        <v>1935</v>
      </c>
      <c r="E386" t="s">
        <v>2142</v>
      </c>
      <c r="F386" s="1">
        <v>46072.816863425927</v>
      </c>
      <c r="G386" t="s">
        <v>96</v>
      </c>
      <c r="H386" t="s">
        <v>776</v>
      </c>
      <c r="I386" t="s">
        <v>96</v>
      </c>
      <c r="J386" t="s">
        <v>44</v>
      </c>
      <c r="K386" t="s">
        <v>514</v>
      </c>
      <c r="L386" t="s">
        <v>46</v>
      </c>
      <c r="M386" t="s">
        <v>751</v>
      </c>
      <c r="N386" t="s">
        <v>752</v>
      </c>
      <c r="O386" t="s">
        <v>30</v>
      </c>
      <c r="P386" s="1">
        <v>46078.394201388888</v>
      </c>
      <c r="Q386" s="1">
        <v>46078.394166666665</v>
      </c>
      <c r="R386" t="s">
        <v>38</v>
      </c>
      <c r="S386" t="s">
        <v>3314</v>
      </c>
      <c r="T386" t="s">
        <v>31</v>
      </c>
      <c r="U386" t="s">
        <v>266</v>
      </c>
      <c r="V386" t="s">
        <v>46</v>
      </c>
      <c r="W386" t="s">
        <v>751</v>
      </c>
      <c r="X386" t="s">
        <v>752</v>
      </c>
      <c r="Y386">
        <v>11812</v>
      </c>
      <c r="Z386" t="s">
        <v>3525</v>
      </c>
      <c r="AA386" t="s">
        <v>3526</v>
      </c>
      <c r="AB386" t="s">
        <v>32</v>
      </c>
      <c r="AC386" t="s">
        <v>1936</v>
      </c>
      <c r="AD386" t="s">
        <v>1937</v>
      </c>
      <c r="AE386" t="s">
        <v>33</v>
      </c>
    </row>
    <row r="387" spans="1:31">
      <c r="A387" t="s">
        <v>2143</v>
      </c>
      <c r="B387" t="s">
        <v>34</v>
      </c>
      <c r="C387" t="s">
        <v>801</v>
      </c>
      <c r="D387" t="s">
        <v>2144</v>
      </c>
      <c r="E387" t="s">
        <v>80</v>
      </c>
      <c r="F387" s="1">
        <v>46072.807256944441</v>
      </c>
      <c r="G387" t="s">
        <v>26</v>
      </c>
      <c r="H387" t="s">
        <v>776</v>
      </c>
      <c r="I387" t="s">
        <v>3665</v>
      </c>
      <c r="J387" t="s">
        <v>44</v>
      </c>
      <c r="K387" t="s">
        <v>514</v>
      </c>
      <c r="L387" t="s">
        <v>46</v>
      </c>
      <c r="M387" t="s">
        <v>110</v>
      </c>
      <c r="N387" t="s">
        <v>301</v>
      </c>
      <c r="O387" t="s">
        <v>30</v>
      </c>
      <c r="P387" s="1">
        <v>46076.088402777779</v>
      </c>
      <c r="Q387" s="1">
        <v>46072.808252314811</v>
      </c>
      <c r="R387" t="s">
        <v>1775</v>
      </c>
      <c r="S387" t="e">
        <f>- the password has been reset successfully.  - it has been shared with the Users privately SMS</f>
        <v>#NAME?</v>
      </c>
      <c r="T387" t="s">
        <v>31</v>
      </c>
      <c r="U387" t="s">
        <v>266</v>
      </c>
      <c r="V387" t="s">
        <v>46</v>
      </c>
      <c r="W387" t="s">
        <v>110</v>
      </c>
      <c r="X387" t="s">
        <v>3252</v>
      </c>
      <c r="Y387" t="s">
        <v>3649</v>
      </c>
      <c r="Z387" t="s">
        <v>3530</v>
      </c>
      <c r="AA387" t="s">
        <v>3528</v>
      </c>
      <c r="AB387" t="s">
        <v>32</v>
      </c>
      <c r="AC387" t="s">
        <v>2145</v>
      </c>
      <c r="AD387" t="s">
        <v>2146</v>
      </c>
      <c r="AE387" t="s">
        <v>33</v>
      </c>
    </row>
    <row r="388" spans="1:31">
      <c r="A388" t="s">
        <v>2147</v>
      </c>
      <c r="B388" t="s">
        <v>24</v>
      </c>
      <c r="C388" t="s">
        <v>1862</v>
      </c>
      <c r="D388" t="s">
        <v>1863</v>
      </c>
      <c r="E388" t="s">
        <v>2148</v>
      </c>
      <c r="F388" s="1">
        <v>46072.803437499999</v>
      </c>
      <c r="G388" t="s">
        <v>153</v>
      </c>
      <c r="H388" t="s">
        <v>776</v>
      </c>
      <c r="I388" t="s">
        <v>3669</v>
      </c>
      <c r="J388" t="s">
        <v>44</v>
      </c>
      <c r="K388" t="s">
        <v>514</v>
      </c>
      <c r="L388" t="s">
        <v>46</v>
      </c>
      <c r="M388" t="s">
        <v>374</v>
      </c>
      <c r="N388" t="s">
        <v>2149</v>
      </c>
      <c r="O388" t="s">
        <v>86</v>
      </c>
      <c r="P388" s="1">
        <v>46076.088391203702</v>
      </c>
      <c r="Q388" s="1">
        <v>46072.806898148148</v>
      </c>
      <c r="R388" t="s">
        <v>1775</v>
      </c>
      <c r="S388" t="s">
        <v>3315</v>
      </c>
      <c r="T388" t="s">
        <v>31</v>
      </c>
      <c r="U388" t="s">
        <v>266</v>
      </c>
      <c r="V388" t="s">
        <v>46</v>
      </c>
      <c r="W388" t="s">
        <v>374</v>
      </c>
      <c r="X388" t="s">
        <v>3120</v>
      </c>
      <c r="Y388">
        <v>4868</v>
      </c>
      <c r="Z388" t="s">
        <v>3530</v>
      </c>
      <c r="AA388" t="s">
        <v>3528</v>
      </c>
      <c r="AB388" t="s">
        <v>32</v>
      </c>
      <c r="AC388" t="s">
        <v>1864</v>
      </c>
      <c r="AD388" t="s">
        <v>1865</v>
      </c>
      <c r="AE388" t="s">
        <v>33</v>
      </c>
    </row>
    <row r="389" spans="1:31">
      <c r="A389" t="s">
        <v>2150</v>
      </c>
      <c r="B389" t="s">
        <v>34</v>
      </c>
      <c r="C389" t="s">
        <v>575</v>
      </c>
      <c r="D389" t="s">
        <v>2151</v>
      </c>
      <c r="E389" t="s">
        <v>543</v>
      </c>
      <c r="F389" s="1">
        <v>46072.741724537038</v>
      </c>
      <c r="G389" t="s">
        <v>150</v>
      </c>
      <c r="H389" t="s">
        <v>776</v>
      </c>
      <c r="I389" t="s">
        <v>3671</v>
      </c>
      <c r="J389" t="s">
        <v>44</v>
      </c>
      <c r="K389" t="s">
        <v>514</v>
      </c>
      <c r="L389" t="s">
        <v>46</v>
      </c>
      <c r="M389" t="s">
        <v>379</v>
      </c>
      <c r="N389" t="s">
        <v>379</v>
      </c>
      <c r="O389" t="s">
        <v>30</v>
      </c>
      <c r="P389" s="1">
        <v>46076.088333333333</v>
      </c>
      <c r="Q389" s="1">
        <v>46072.742824074077</v>
      </c>
      <c r="R389" t="s">
        <v>1775</v>
      </c>
      <c r="S389" t="s">
        <v>3316</v>
      </c>
      <c r="T389" t="s">
        <v>31</v>
      </c>
      <c r="U389" t="s">
        <v>266</v>
      </c>
      <c r="V389" t="s">
        <v>46</v>
      </c>
      <c r="W389" t="s">
        <v>379</v>
      </c>
      <c r="X389" t="s">
        <v>379</v>
      </c>
      <c r="Y389">
        <v>3686</v>
      </c>
      <c r="Z389" t="s">
        <v>3530</v>
      </c>
      <c r="AA389" t="s">
        <v>3528</v>
      </c>
      <c r="AB389" t="s">
        <v>32</v>
      </c>
      <c r="AC389" t="s">
        <v>2152</v>
      </c>
      <c r="AD389" t="s">
        <v>2153</v>
      </c>
      <c r="AE389" t="s">
        <v>33</v>
      </c>
    </row>
    <row r="390" spans="1:31" hidden="1">
      <c r="A390" t="s">
        <v>2154</v>
      </c>
      <c r="B390" t="s">
        <v>34</v>
      </c>
      <c r="C390" t="s">
        <v>169</v>
      </c>
      <c r="D390" t="s">
        <v>2155</v>
      </c>
      <c r="E390" t="s">
        <v>2156</v>
      </c>
      <c r="F390" s="1">
        <v>46072.722696759258</v>
      </c>
      <c r="G390" t="s">
        <v>242</v>
      </c>
      <c r="H390" t="s">
        <v>776</v>
      </c>
      <c r="I390" t="s">
        <v>3671</v>
      </c>
      <c r="J390" t="s">
        <v>134</v>
      </c>
      <c r="K390" t="s">
        <v>2157</v>
      </c>
      <c r="L390" t="s">
        <v>46</v>
      </c>
      <c r="M390" t="s">
        <v>751</v>
      </c>
      <c r="N390" t="s">
        <v>752</v>
      </c>
      <c r="O390" t="s">
        <v>30</v>
      </c>
      <c r="P390" s="1">
        <v>46076.379467592589</v>
      </c>
      <c r="Q390" s="1">
        <v>46076.37945601852</v>
      </c>
      <c r="R390" t="s">
        <v>38</v>
      </c>
      <c r="S390" t="s">
        <v>3317</v>
      </c>
      <c r="T390" t="s">
        <v>31</v>
      </c>
      <c r="U390" t="s">
        <v>266</v>
      </c>
      <c r="V390" t="s">
        <v>46</v>
      </c>
      <c r="W390" t="s">
        <v>751</v>
      </c>
      <c r="X390" t="s">
        <v>752</v>
      </c>
      <c r="Y390">
        <v>12642</v>
      </c>
      <c r="Z390" t="s">
        <v>3525</v>
      </c>
      <c r="AA390" t="s">
        <v>3526</v>
      </c>
      <c r="AB390" t="s">
        <v>32</v>
      </c>
      <c r="AC390" t="s">
        <v>2158</v>
      </c>
      <c r="AD390" t="s">
        <v>2159</v>
      </c>
      <c r="AE390" t="s">
        <v>33</v>
      </c>
    </row>
    <row r="391" spans="1:31">
      <c r="A391" t="s">
        <v>2160</v>
      </c>
      <c r="B391" t="s">
        <v>34</v>
      </c>
      <c r="C391" t="s">
        <v>2161</v>
      </c>
      <c r="D391" t="s">
        <v>79</v>
      </c>
      <c r="E391" t="s">
        <v>2162</v>
      </c>
      <c r="F391" s="1">
        <v>46072.716192129628</v>
      </c>
      <c r="G391" t="s">
        <v>242</v>
      </c>
      <c r="H391" t="s">
        <v>776</v>
      </c>
      <c r="I391" t="s">
        <v>3671</v>
      </c>
      <c r="J391" t="s">
        <v>44</v>
      </c>
      <c r="K391" t="s">
        <v>514</v>
      </c>
      <c r="L391" t="s">
        <v>46</v>
      </c>
      <c r="M391" t="s">
        <v>751</v>
      </c>
      <c r="N391" t="s">
        <v>752</v>
      </c>
      <c r="O391" t="s">
        <v>30</v>
      </c>
      <c r="P391" s="1">
        <v>46078.560416666667</v>
      </c>
      <c r="Q391" s="1">
        <v>46078.560370370367</v>
      </c>
      <c r="R391" t="s">
        <v>38</v>
      </c>
      <c r="S391" t="s">
        <v>3318</v>
      </c>
      <c r="T391" t="s">
        <v>31</v>
      </c>
      <c r="U391" t="s">
        <v>266</v>
      </c>
      <c r="V391" t="s">
        <v>46</v>
      </c>
      <c r="W391" t="s">
        <v>751</v>
      </c>
      <c r="X391" t="s">
        <v>752</v>
      </c>
      <c r="Y391" t="s">
        <v>3650</v>
      </c>
      <c r="Z391" t="s">
        <v>3525</v>
      </c>
      <c r="AA391" t="s">
        <v>3526</v>
      </c>
      <c r="AB391" t="s">
        <v>32</v>
      </c>
      <c r="AC391" t="s">
        <v>2163</v>
      </c>
      <c r="AD391" t="s">
        <v>2164</v>
      </c>
      <c r="AE391" t="s">
        <v>33</v>
      </c>
    </row>
    <row r="392" spans="1:31" hidden="1">
      <c r="A392" t="s">
        <v>2165</v>
      </c>
      <c r="B392" t="s">
        <v>24</v>
      </c>
      <c r="C392" t="s">
        <v>287</v>
      </c>
      <c r="D392" t="s">
        <v>1439</v>
      </c>
      <c r="E392" t="s">
        <v>2166</v>
      </c>
      <c r="F392" s="1">
        <v>46072.715243055558</v>
      </c>
      <c r="G392" t="s">
        <v>74</v>
      </c>
      <c r="H392" t="s">
        <v>776</v>
      </c>
      <c r="I392" t="s">
        <v>3665</v>
      </c>
      <c r="J392" t="s">
        <v>134</v>
      </c>
      <c r="K392" t="s">
        <v>494</v>
      </c>
      <c r="L392" t="s">
        <v>46</v>
      </c>
      <c r="M392" t="s">
        <v>338</v>
      </c>
      <c r="N392" t="s">
        <v>890</v>
      </c>
      <c r="O392" t="s">
        <v>284</v>
      </c>
      <c r="P392" s="1">
        <v>46076.522997685184</v>
      </c>
      <c r="Q392" s="1">
        <v>46076.522893518515</v>
      </c>
      <c r="R392" t="s">
        <v>38</v>
      </c>
      <c r="S392" t="s">
        <v>3319</v>
      </c>
      <c r="T392" t="s">
        <v>31</v>
      </c>
      <c r="U392" t="s">
        <v>266</v>
      </c>
      <c r="V392" t="s">
        <v>46</v>
      </c>
      <c r="W392" t="s">
        <v>338</v>
      </c>
      <c r="X392" t="s">
        <v>890</v>
      </c>
      <c r="Y392">
        <v>14560</v>
      </c>
      <c r="Z392" t="s">
        <v>3525</v>
      </c>
      <c r="AA392" t="s">
        <v>3526</v>
      </c>
      <c r="AB392" t="s">
        <v>32</v>
      </c>
      <c r="AC392" t="s">
        <v>1441</v>
      </c>
      <c r="AD392" t="s">
        <v>1442</v>
      </c>
      <c r="AE392" t="s">
        <v>33</v>
      </c>
    </row>
    <row r="393" spans="1:31" hidden="1">
      <c r="A393" t="s">
        <v>2167</v>
      </c>
      <c r="B393" t="s">
        <v>34</v>
      </c>
      <c r="C393" t="s">
        <v>1124</v>
      </c>
      <c r="D393" t="s">
        <v>1125</v>
      </c>
      <c r="E393" t="s">
        <v>2168</v>
      </c>
      <c r="F393" s="1">
        <v>46072.669050925928</v>
      </c>
      <c r="G393" t="s">
        <v>62</v>
      </c>
      <c r="H393" t="s">
        <v>776</v>
      </c>
      <c r="I393" t="s">
        <v>3668</v>
      </c>
      <c r="J393" t="s">
        <v>134</v>
      </c>
      <c r="K393" t="s">
        <v>1501</v>
      </c>
      <c r="L393" t="s">
        <v>491</v>
      </c>
      <c r="M393" t="s">
        <v>1126</v>
      </c>
      <c r="N393" t="s">
        <v>1127</v>
      </c>
      <c r="O393" t="s">
        <v>30</v>
      </c>
      <c r="P393" s="1">
        <v>46079.287256944444</v>
      </c>
      <c r="R393" t="s">
        <v>90</v>
      </c>
      <c r="T393" t="s">
        <v>31</v>
      </c>
      <c r="U393" t="s">
        <v>1128</v>
      </c>
      <c r="Z393" t="s">
        <v>3525</v>
      </c>
      <c r="AA393" t="s">
        <v>3535</v>
      </c>
      <c r="AB393" t="s">
        <v>32</v>
      </c>
      <c r="AC393" t="s">
        <v>1128</v>
      </c>
      <c r="AD393" t="s">
        <v>1129</v>
      </c>
      <c r="AE393" t="s">
        <v>33</v>
      </c>
    </row>
    <row r="394" spans="1:31" hidden="1">
      <c r="A394" t="s">
        <v>2169</v>
      </c>
      <c r="B394" t="s">
        <v>34</v>
      </c>
      <c r="C394" t="s">
        <v>1124</v>
      </c>
      <c r="D394" t="s">
        <v>1125</v>
      </c>
      <c r="E394" t="s">
        <v>2170</v>
      </c>
      <c r="F394" s="1">
        <v>46072.667013888888</v>
      </c>
      <c r="G394" t="s">
        <v>62</v>
      </c>
      <c r="H394" t="s">
        <v>776</v>
      </c>
      <c r="I394" t="s">
        <v>3668</v>
      </c>
      <c r="J394" t="s">
        <v>134</v>
      </c>
      <c r="K394" t="s">
        <v>273</v>
      </c>
      <c r="L394" t="s">
        <v>491</v>
      </c>
      <c r="M394" t="s">
        <v>1126</v>
      </c>
      <c r="N394" t="s">
        <v>1127</v>
      </c>
      <c r="O394" t="s">
        <v>30</v>
      </c>
      <c r="P394" s="1">
        <v>46078.473761574074</v>
      </c>
      <c r="Q394" s="1">
        <v>46078.473668981482</v>
      </c>
      <c r="R394" t="s">
        <v>38</v>
      </c>
      <c r="S394" t="s">
        <v>3320</v>
      </c>
      <c r="T394" t="s">
        <v>31</v>
      </c>
      <c r="U394" t="s">
        <v>1128</v>
      </c>
      <c r="V394" t="s">
        <v>491</v>
      </c>
      <c r="W394" t="s">
        <v>1126</v>
      </c>
      <c r="X394" t="s">
        <v>1127</v>
      </c>
      <c r="Z394" t="s">
        <v>3525</v>
      </c>
      <c r="AA394" t="s">
        <v>3526</v>
      </c>
      <c r="AB394" t="s">
        <v>32</v>
      </c>
      <c r="AC394" t="s">
        <v>1128</v>
      </c>
      <c r="AD394" t="s">
        <v>1129</v>
      </c>
      <c r="AE394" t="s">
        <v>33</v>
      </c>
    </row>
    <row r="395" spans="1:31" hidden="1">
      <c r="A395" t="s">
        <v>2171</v>
      </c>
      <c r="B395" t="s">
        <v>34</v>
      </c>
      <c r="C395" t="s">
        <v>1124</v>
      </c>
      <c r="D395" t="s">
        <v>1125</v>
      </c>
      <c r="E395" t="s">
        <v>2172</v>
      </c>
      <c r="F395" s="1">
        <v>46072.667013888888</v>
      </c>
      <c r="G395" t="s">
        <v>62</v>
      </c>
      <c r="H395" t="s">
        <v>776</v>
      </c>
      <c r="I395" t="s">
        <v>3668</v>
      </c>
      <c r="J395" t="s">
        <v>134</v>
      </c>
      <c r="K395" t="s">
        <v>1501</v>
      </c>
      <c r="L395" t="s">
        <v>491</v>
      </c>
      <c r="M395" t="s">
        <v>1126</v>
      </c>
      <c r="N395" t="s">
        <v>1127</v>
      </c>
      <c r="O395" t="s">
        <v>30</v>
      </c>
      <c r="P395" s="1">
        <v>46076.362916666665</v>
      </c>
      <c r="Q395" s="1">
        <v>46076.362881944442</v>
      </c>
      <c r="R395" t="s">
        <v>38</v>
      </c>
      <c r="S395" t="s">
        <v>3321</v>
      </c>
      <c r="T395" t="s">
        <v>31</v>
      </c>
      <c r="U395" t="s">
        <v>1128</v>
      </c>
      <c r="V395" t="s">
        <v>491</v>
      </c>
      <c r="W395" t="s">
        <v>1126</v>
      </c>
      <c r="X395" t="s">
        <v>1127</v>
      </c>
      <c r="Z395" t="s">
        <v>3525</v>
      </c>
      <c r="AA395" t="s">
        <v>3534</v>
      </c>
      <c r="AB395" t="s">
        <v>32</v>
      </c>
      <c r="AC395" t="s">
        <v>1128</v>
      </c>
      <c r="AD395" t="s">
        <v>1129</v>
      </c>
      <c r="AE395" t="s">
        <v>33</v>
      </c>
    </row>
    <row r="396" spans="1:31" hidden="1">
      <c r="A396" t="s">
        <v>2173</v>
      </c>
      <c r="B396" t="s">
        <v>34</v>
      </c>
      <c r="C396" t="s">
        <v>1161</v>
      </c>
      <c r="D396" t="s">
        <v>1162</v>
      </c>
      <c r="E396" t="s">
        <v>252</v>
      </c>
      <c r="F396" s="1">
        <v>46072.626550925925</v>
      </c>
      <c r="G396" t="s">
        <v>93</v>
      </c>
      <c r="H396" t="s">
        <v>776</v>
      </c>
      <c r="I396" t="s">
        <v>3666</v>
      </c>
      <c r="J396" t="s">
        <v>134</v>
      </c>
      <c r="K396" t="s">
        <v>1301</v>
      </c>
      <c r="L396" t="s">
        <v>162</v>
      </c>
      <c r="M396" t="s">
        <v>163</v>
      </c>
      <c r="N396" t="s">
        <v>164</v>
      </c>
      <c r="O396" t="s">
        <v>30</v>
      </c>
      <c r="P396" s="1">
        <v>46079.315995370373</v>
      </c>
      <c r="Q396" s="1">
        <v>46079.315949074073</v>
      </c>
      <c r="R396" t="s">
        <v>38</v>
      </c>
      <c r="S396" t="s">
        <v>3651</v>
      </c>
      <c r="T396" t="s">
        <v>31</v>
      </c>
      <c r="U396" t="s">
        <v>104</v>
      </c>
      <c r="V396" t="s">
        <v>46</v>
      </c>
      <c r="W396" t="s">
        <v>515</v>
      </c>
      <c r="X396" t="s">
        <v>2177</v>
      </c>
      <c r="Y396">
        <v>10127</v>
      </c>
      <c r="Z396" t="s">
        <v>3536</v>
      </c>
      <c r="AA396" t="s">
        <v>3526</v>
      </c>
      <c r="AB396" t="s">
        <v>32</v>
      </c>
      <c r="AC396" t="s">
        <v>1163</v>
      </c>
      <c r="AD396" t="s">
        <v>1164</v>
      </c>
      <c r="AE396" t="s">
        <v>33</v>
      </c>
    </row>
    <row r="397" spans="1:31">
      <c r="A397" t="s">
        <v>2174</v>
      </c>
      <c r="B397" t="s">
        <v>34</v>
      </c>
      <c r="C397" t="s">
        <v>220</v>
      </c>
      <c r="D397" t="s">
        <v>91</v>
      </c>
      <c r="E397" t="s">
        <v>379</v>
      </c>
      <c r="F397" s="1">
        <v>46072.624710648146</v>
      </c>
      <c r="G397" t="s">
        <v>118</v>
      </c>
      <c r="H397" t="s">
        <v>776</v>
      </c>
      <c r="I397" t="s">
        <v>3666</v>
      </c>
      <c r="J397" t="s">
        <v>44</v>
      </c>
      <c r="K397" t="s">
        <v>253</v>
      </c>
      <c r="L397" t="s">
        <v>46</v>
      </c>
      <c r="M397" t="s">
        <v>379</v>
      </c>
      <c r="N397" t="s">
        <v>379</v>
      </c>
      <c r="O397" t="s">
        <v>30</v>
      </c>
      <c r="P397" s="1">
        <v>46076.088182870371</v>
      </c>
      <c r="Q397" s="1">
        <v>46072.625462962962</v>
      </c>
      <c r="R397" t="s">
        <v>1775</v>
      </c>
      <c r="S397" t="s">
        <v>3322</v>
      </c>
      <c r="T397" t="s">
        <v>31</v>
      </c>
      <c r="U397" t="s">
        <v>367</v>
      </c>
      <c r="V397" t="s">
        <v>46</v>
      </c>
      <c r="W397" t="s">
        <v>379</v>
      </c>
      <c r="X397" t="s">
        <v>379</v>
      </c>
      <c r="Y397">
        <v>2850</v>
      </c>
      <c r="Z397" t="s">
        <v>3530</v>
      </c>
      <c r="AA397" t="s">
        <v>3528</v>
      </c>
      <c r="AB397" t="s">
        <v>32</v>
      </c>
      <c r="AC397" t="s">
        <v>380</v>
      </c>
      <c r="AD397" t="s">
        <v>381</v>
      </c>
      <c r="AE397" t="s">
        <v>33</v>
      </c>
    </row>
    <row r="398" spans="1:31">
      <c r="A398" t="s">
        <v>2175</v>
      </c>
      <c r="B398" t="s">
        <v>34</v>
      </c>
      <c r="C398" t="s">
        <v>575</v>
      </c>
      <c r="D398" t="s">
        <v>99</v>
      </c>
      <c r="E398" t="s">
        <v>2176</v>
      </c>
      <c r="F398" s="1">
        <v>46072.62327546296</v>
      </c>
      <c r="G398" t="s">
        <v>62</v>
      </c>
      <c r="H398" t="s">
        <v>776</v>
      </c>
      <c r="I398" t="s">
        <v>3668</v>
      </c>
      <c r="J398" t="s">
        <v>44</v>
      </c>
      <c r="K398" t="s">
        <v>253</v>
      </c>
      <c r="L398" t="s">
        <v>46</v>
      </c>
      <c r="M398" t="s">
        <v>515</v>
      </c>
      <c r="N398" t="s">
        <v>2177</v>
      </c>
      <c r="O398" t="s">
        <v>30</v>
      </c>
      <c r="P398" s="1">
        <v>46076.088171296295</v>
      </c>
      <c r="Q398" s="1">
        <v>46072.625879629632</v>
      </c>
      <c r="R398" t="s">
        <v>1775</v>
      </c>
      <c r="S398" t="s">
        <v>3323</v>
      </c>
      <c r="T398" t="s">
        <v>31</v>
      </c>
      <c r="U398" t="s">
        <v>367</v>
      </c>
      <c r="V398" t="s">
        <v>46</v>
      </c>
      <c r="W398" t="s">
        <v>515</v>
      </c>
      <c r="X398" t="s">
        <v>2177</v>
      </c>
      <c r="Y398">
        <v>10670</v>
      </c>
      <c r="Z398" t="s">
        <v>3530</v>
      </c>
      <c r="AA398" t="s">
        <v>3528</v>
      </c>
      <c r="AB398" t="s">
        <v>32</v>
      </c>
      <c r="AC398" t="s">
        <v>2178</v>
      </c>
      <c r="AD398" t="s">
        <v>2179</v>
      </c>
      <c r="AE398" t="s">
        <v>33</v>
      </c>
    </row>
    <row r="399" spans="1:31" hidden="1">
      <c r="A399" t="s">
        <v>2180</v>
      </c>
      <c r="B399" t="s">
        <v>34</v>
      </c>
      <c r="C399" t="s">
        <v>169</v>
      </c>
      <c r="D399" t="s">
        <v>195</v>
      </c>
      <c r="E399" t="s">
        <v>2181</v>
      </c>
      <c r="F399" s="1">
        <v>46072.621932870374</v>
      </c>
      <c r="G399" t="s">
        <v>26</v>
      </c>
      <c r="H399" t="s">
        <v>776</v>
      </c>
      <c r="I399" t="s">
        <v>3665</v>
      </c>
      <c r="J399" t="s">
        <v>134</v>
      </c>
      <c r="K399" t="s">
        <v>494</v>
      </c>
      <c r="L399" t="s">
        <v>162</v>
      </c>
      <c r="M399" t="s">
        <v>163</v>
      </c>
      <c r="N399" t="s">
        <v>164</v>
      </c>
      <c r="O399" t="s">
        <v>30</v>
      </c>
      <c r="P399" s="1">
        <v>46079.287256944444</v>
      </c>
      <c r="R399" t="s">
        <v>90</v>
      </c>
      <c r="T399" t="s">
        <v>31</v>
      </c>
      <c r="U399" t="s">
        <v>104</v>
      </c>
      <c r="Y399">
        <v>15978</v>
      </c>
      <c r="Z399" t="s">
        <v>3536</v>
      </c>
      <c r="AA399" t="s">
        <v>3535</v>
      </c>
      <c r="AB399" t="s">
        <v>32</v>
      </c>
      <c r="AC399" t="s">
        <v>308</v>
      </c>
      <c r="AD399" t="s">
        <v>309</v>
      </c>
      <c r="AE399" t="s">
        <v>33</v>
      </c>
    </row>
    <row r="400" spans="1:31">
      <c r="A400" t="s">
        <v>2182</v>
      </c>
      <c r="B400" t="s">
        <v>34</v>
      </c>
      <c r="C400" t="s">
        <v>194</v>
      </c>
      <c r="D400" t="s">
        <v>448</v>
      </c>
      <c r="E400" t="s">
        <v>1037</v>
      </c>
      <c r="F400" s="1">
        <v>46072.617847222224</v>
      </c>
      <c r="G400" t="s">
        <v>226</v>
      </c>
      <c r="H400" t="s">
        <v>776</v>
      </c>
      <c r="I400" t="s">
        <v>3665</v>
      </c>
      <c r="J400" t="s">
        <v>44</v>
      </c>
      <c r="K400" t="s">
        <v>290</v>
      </c>
      <c r="L400" t="s">
        <v>46</v>
      </c>
      <c r="M400" t="s">
        <v>188</v>
      </c>
      <c r="N400" t="s">
        <v>431</v>
      </c>
      <c r="O400" t="s">
        <v>30</v>
      </c>
      <c r="P400" s="1">
        <v>46076.088159722225</v>
      </c>
      <c r="Q400" s="1">
        <v>46072.619421296295</v>
      </c>
      <c r="R400" t="s">
        <v>1775</v>
      </c>
      <c r="S400" t="s">
        <v>3179</v>
      </c>
      <c r="T400" t="s">
        <v>31</v>
      </c>
      <c r="U400" t="s">
        <v>190</v>
      </c>
      <c r="V400" t="s">
        <v>46</v>
      </c>
      <c r="W400" t="s">
        <v>188</v>
      </c>
      <c r="X400" t="s">
        <v>431</v>
      </c>
      <c r="Y400">
        <v>15951</v>
      </c>
      <c r="Z400" t="s">
        <v>3530</v>
      </c>
      <c r="AA400" t="s">
        <v>3528</v>
      </c>
      <c r="AB400" t="s">
        <v>32</v>
      </c>
      <c r="AC400" t="s">
        <v>2183</v>
      </c>
      <c r="AD400" t="s">
        <v>2184</v>
      </c>
      <c r="AE400" t="s">
        <v>33</v>
      </c>
    </row>
    <row r="401" spans="1:31" hidden="1">
      <c r="A401" t="s">
        <v>2185</v>
      </c>
      <c r="B401" t="s">
        <v>24</v>
      </c>
      <c r="C401" t="s">
        <v>485</v>
      </c>
      <c r="D401" t="s">
        <v>125</v>
      </c>
      <c r="E401" t="s">
        <v>2186</v>
      </c>
      <c r="F401" s="1">
        <v>46072.616249999999</v>
      </c>
      <c r="G401" t="s">
        <v>242</v>
      </c>
      <c r="H401" t="s">
        <v>776</v>
      </c>
      <c r="I401" t="s">
        <v>3671</v>
      </c>
      <c r="J401" t="s">
        <v>651</v>
      </c>
      <c r="K401" t="s">
        <v>772</v>
      </c>
      <c r="L401" t="s">
        <v>46</v>
      </c>
      <c r="M401" t="s">
        <v>197</v>
      </c>
      <c r="N401" t="s">
        <v>2187</v>
      </c>
      <c r="O401" t="s">
        <v>86</v>
      </c>
      <c r="P401" s="1">
        <v>46079.287256944444</v>
      </c>
      <c r="R401" t="s">
        <v>90</v>
      </c>
      <c r="T401" t="s">
        <v>31</v>
      </c>
      <c r="U401" t="s">
        <v>367</v>
      </c>
      <c r="Y401">
        <v>14634</v>
      </c>
      <c r="Z401" t="s">
        <v>3530</v>
      </c>
      <c r="AA401" t="s">
        <v>3551</v>
      </c>
      <c r="AB401" t="s">
        <v>32</v>
      </c>
      <c r="AC401" t="s">
        <v>2188</v>
      </c>
      <c r="AD401" t="s">
        <v>2189</v>
      </c>
      <c r="AE401" t="s">
        <v>33</v>
      </c>
    </row>
    <row r="402" spans="1:31">
      <c r="A402" t="s">
        <v>2190</v>
      </c>
      <c r="B402" t="s">
        <v>34</v>
      </c>
      <c r="C402" t="s">
        <v>2191</v>
      </c>
      <c r="D402" t="s">
        <v>2192</v>
      </c>
      <c r="E402" t="s">
        <v>252</v>
      </c>
      <c r="F402" s="1">
        <v>46072.59302083333</v>
      </c>
      <c r="G402" t="s">
        <v>283</v>
      </c>
      <c r="H402" t="s">
        <v>776</v>
      </c>
      <c r="I402" t="s">
        <v>3670</v>
      </c>
      <c r="J402" t="s">
        <v>44</v>
      </c>
      <c r="K402" t="s">
        <v>253</v>
      </c>
      <c r="L402" t="s">
        <v>162</v>
      </c>
      <c r="M402" t="s">
        <v>163</v>
      </c>
      <c r="N402" t="s">
        <v>164</v>
      </c>
      <c r="O402" t="s">
        <v>30</v>
      </c>
      <c r="P402" s="1">
        <v>46076.476284722223</v>
      </c>
      <c r="Q402" s="1">
        <v>46076.476168981484</v>
      </c>
      <c r="R402" t="s">
        <v>38</v>
      </c>
      <c r="S402" t="s">
        <v>3324</v>
      </c>
      <c r="T402" t="s">
        <v>31</v>
      </c>
      <c r="U402" t="s">
        <v>104</v>
      </c>
      <c r="V402" t="s">
        <v>46</v>
      </c>
      <c r="W402" t="s">
        <v>515</v>
      </c>
      <c r="X402" t="s">
        <v>2177</v>
      </c>
      <c r="Y402">
        <v>15947</v>
      </c>
      <c r="Z402" t="s">
        <v>3536</v>
      </c>
      <c r="AA402" t="s">
        <v>3526</v>
      </c>
      <c r="AB402" t="s">
        <v>32</v>
      </c>
      <c r="AC402" t="s">
        <v>2193</v>
      </c>
      <c r="AD402" t="s">
        <v>2194</v>
      </c>
      <c r="AE402" t="s">
        <v>33</v>
      </c>
    </row>
    <row r="403" spans="1:31" hidden="1">
      <c r="A403" t="s">
        <v>2195</v>
      </c>
      <c r="B403" t="s">
        <v>34</v>
      </c>
      <c r="C403" t="s">
        <v>2196</v>
      </c>
      <c r="D403" t="s">
        <v>2197</v>
      </c>
      <c r="E403" t="s">
        <v>252</v>
      </c>
      <c r="F403" s="1">
        <v>46072.591863425929</v>
      </c>
      <c r="G403" t="s">
        <v>35</v>
      </c>
      <c r="H403" t="s">
        <v>776</v>
      </c>
      <c r="I403" t="s">
        <v>3772</v>
      </c>
      <c r="J403" t="s">
        <v>44</v>
      </c>
      <c r="K403" t="s">
        <v>205</v>
      </c>
      <c r="L403" t="s">
        <v>162</v>
      </c>
      <c r="M403" t="s">
        <v>163</v>
      </c>
      <c r="N403" t="s">
        <v>164</v>
      </c>
      <c r="O403" t="s">
        <v>30</v>
      </c>
      <c r="P403" s="1">
        <v>46079.287256944444</v>
      </c>
      <c r="R403" t="s">
        <v>90</v>
      </c>
      <c r="T403" t="s">
        <v>31</v>
      </c>
      <c r="U403" t="s">
        <v>104</v>
      </c>
      <c r="Y403" t="s">
        <v>3652</v>
      </c>
      <c r="Z403" t="s">
        <v>3536</v>
      </c>
      <c r="AA403" t="s">
        <v>3541</v>
      </c>
      <c r="AB403" t="s">
        <v>32</v>
      </c>
      <c r="AC403" t="s">
        <v>2198</v>
      </c>
      <c r="AD403" t="s">
        <v>2199</v>
      </c>
      <c r="AE403" t="s">
        <v>33</v>
      </c>
    </row>
    <row r="404" spans="1:31">
      <c r="A404" t="s">
        <v>2200</v>
      </c>
      <c r="B404" t="s">
        <v>34</v>
      </c>
      <c r="C404" t="s">
        <v>99</v>
      </c>
      <c r="D404" t="s">
        <v>2201</v>
      </c>
      <c r="E404" t="s">
        <v>379</v>
      </c>
      <c r="F404" s="1">
        <v>46072.583506944444</v>
      </c>
      <c r="G404" t="s">
        <v>333</v>
      </c>
      <c r="H404" t="s">
        <v>776</v>
      </c>
      <c r="I404" t="s">
        <v>3671</v>
      </c>
      <c r="J404" t="s">
        <v>44</v>
      </c>
      <c r="K404" t="s">
        <v>253</v>
      </c>
      <c r="L404" t="s">
        <v>46</v>
      </c>
      <c r="M404" t="s">
        <v>379</v>
      </c>
      <c r="N404" t="s">
        <v>379</v>
      </c>
      <c r="O404" t="s">
        <v>30</v>
      </c>
      <c r="P404" s="1">
        <v>46076.088067129633</v>
      </c>
      <c r="Q404" s="1">
        <v>46072.6252662037</v>
      </c>
      <c r="R404" t="s">
        <v>1775</v>
      </c>
      <c r="S404" t="s">
        <v>3322</v>
      </c>
      <c r="T404" t="s">
        <v>31</v>
      </c>
      <c r="U404" t="s">
        <v>367</v>
      </c>
      <c r="V404" t="s">
        <v>46</v>
      </c>
      <c r="W404" t="s">
        <v>379</v>
      </c>
      <c r="X404" t="s">
        <v>379</v>
      </c>
      <c r="Y404">
        <v>6353</v>
      </c>
      <c r="Z404" t="s">
        <v>3530</v>
      </c>
      <c r="AA404" t="s">
        <v>3528</v>
      </c>
      <c r="AB404" t="s">
        <v>32</v>
      </c>
      <c r="AC404" t="s">
        <v>2202</v>
      </c>
      <c r="AD404" t="s">
        <v>2203</v>
      </c>
      <c r="AE404" t="s">
        <v>33</v>
      </c>
    </row>
    <row r="405" spans="1:31" hidden="1">
      <c r="A405" t="s">
        <v>2204</v>
      </c>
      <c r="B405" t="s">
        <v>34</v>
      </c>
      <c r="C405" t="s">
        <v>2205</v>
      </c>
      <c r="D405" t="s">
        <v>2206</v>
      </c>
      <c r="E405" t="s">
        <v>2207</v>
      </c>
      <c r="F405" s="1">
        <v>46072.573229166665</v>
      </c>
      <c r="G405" t="s">
        <v>226</v>
      </c>
      <c r="H405" t="s">
        <v>776</v>
      </c>
      <c r="I405" t="s">
        <v>3665</v>
      </c>
      <c r="J405" t="s">
        <v>44</v>
      </c>
      <c r="K405" t="s">
        <v>438</v>
      </c>
      <c r="L405" t="s">
        <v>46</v>
      </c>
      <c r="M405" t="s">
        <v>110</v>
      </c>
      <c r="N405" t="s">
        <v>645</v>
      </c>
      <c r="O405" t="s">
        <v>30</v>
      </c>
      <c r="P405" s="1">
        <v>46079.365555555552</v>
      </c>
      <c r="R405" t="s">
        <v>90</v>
      </c>
      <c r="T405" t="s">
        <v>31</v>
      </c>
      <c r="U405" t="s">
        <v>227</v>
      </c>
      <c r="Y405">
        <v>14122</v>
      </c>
      <c r="Z405" t="s">
        <v>3525</v>
      </c>
      <c r="AA405" t="s">
        <v>3541</v>
      </c>
      <c r="AB405" t="s">
        <v>32</v>
      </c>
      <c r="AC405" t="s">
        <v>2208</v>
      </c>
      <c r="AD405" t="s">
        <v>2209</v>
      </c>
      <c r="AE405" t="s">
        <v>33</v>
      </c>
    </row>
    <row r="406" spans="1:31">
      <c r="A406" t="s">
        <v>2210</v>
      </c>
      <c r="B406" t="s">
        <v>24</v>
      </c>
      <c r="C406" t="s">
        <v>1383</v>
      </c>
      <c r="D406" t="s">
        <v>1384</v>
      </c>
      <c r="E406" t="s">
        <v>2211</v>
      </c>
      <c r="F406" s="1">
        <v>46072.563564814816</v>
      </c>
      <c r="G406" t="s">
        <v>702</v>
      </c>
      <c r="H406" t="s">
        <v>776</v>
      </c>
      <c r="I406" t="s">
        <v>3670</v>
      </c>
      <c r="J406" t="s">
        <v>44</v>
      </c>
      <c r="K406" t="s">
        <v>253</v>
      </c>
      <c r="L406" t="s">
        <v>46</v>
      </c>
      <c r="M406" t="s">
        <v>110</v>
      </c>
      <c r="N406" t="s">
        <v>111</v>
      </c>
      <c r="O406" t="s">
        <v>86</v>
      </c>
      <c r="P406" s="1">
        <v>46076.087997685187</v>
      </c>
      <c r="Q406" s="1">
        <v>46072.565208333333</v>
      </c>
      <c r="R406" t="s">
        <v>1775</v>
      </c>
      <c r="S406" t="s">
        <v>3325</v>
      </c>
      <c r="T406" t="s">
        <v>31</v>
      </c>
      <c r="U406" t="s">
        <v>367</v>
      </c>
      <c r="V406" t="s">
        <v>46</v>
      </c>
      <c r="W406" t="s">
        <v>110</v>
      </c>
      <c r="X406" t="s">
        <v>111</v>
      </c>
      <c r="Y406">
        <v>15831</v>
      </c>
      <c r="Z406" t="s">
        <v>3530</v>
      </c>
      <c r="AA406" t="s">
        <v>3528</v>
      </c>
      <c r="AB406" t="s">
        <v>32</v>
      </c>
      <c r="AC406" t="s">
        <v>1386</v>
      </c>
      <c r="AD406" t="s">
        <v>1387</v>
      </c>
      <c r="AE406" t="s">
        <v>33</v>
      </c>
    </row>
    <row r="407" spans="1:31" hidden="1">
      <c r="A407" t="s">
        <v>2212</v>
      </c>
      <c r="B407" t="s">
        <v>24</v>
      </c>
      <c r="C407" t="s">
        <v>2213</v>
      </c>
      <c r="D407" t="s">
        <v>2214</v>
      </c>
      <c r="E407" t="s">
        <v>2215</v>
      </c>
      <c r="F407" s="1">
        <v>46072.554675925923</v>
      </c>
      <c r="G407" t="s">
        <v>114</v>
      </c>
      <c r="H407" t="s">
        <v>776</v>
      </c>
      <c r="I407" t="s">
        <v>3669</v>
      </c>
      <c r="J407" t="s">
        <v>134</v>
      </c>
      <c r="K407" t="s">
        <v>2157</v>
      </c>
      <c r="L407" t="s">
        <v>162</v>
      </c>
      <c r="M407" t="s">
        <v>163</v>
      </c>
      <c r="N407" t="s">
        <v>164</v>
      </c>
      <c r="O407" t="s">
        <v>86</v>
      </c>
      <c r="P407" s="1">
        <v>46079.333113425928</v>
      </c>
      <c r="R407" t="s">
        <v>90</v>
      </c>
      <c r="T407" t="s">
        <v>31</v>
      </c>
      <c r="U407" t="s">
        <v>104</v>
      </c>
      <c r="V407" t="s">
        <v>46</v>
      </c>
      <c r="W407" t="s">
        <v>374</v>
      </c>
      <c r="X407" t="s">
        <v>3653</v>
      </c>
      <c r="Y407">
        <v>4709</v>
      </c>
      <c r="Z407" t="s">
        <v>3536</v>
      </c>
      <c r="AA407" t="s">
        <v>3591</v>
      </c>
      <c r="AB407" t="s">
        <v>32</v>
      </c>
      <c r="AC407" t="s">
        <v>2216</v>
      </c>
      <c r="AD407" t="s">
        <v>2217</v>
      </c>
      <c r="AE407" t="s">
        <v>33</v>
      </c>
    </row>
    <row r="408" spans="1:31">
      <c r="A408" t="s">
        <v>2222</v>
      </c>
      <c r="B408" t="s">
        <v>34</v>
      </c>
      <c r="C408" t="s">
        <v>449</v>
      </c>
      <c r="D408" t="s">
        <v>125</v>
      </c>
      <c r="E408" t="s">
        <v>535</v>
      </c>
      <c r="F408" s="1">
        <v>46072.549710648149</v>
      </c>
      <c r="G408" t="s">
        <v>128</v>
      </c>
      <c r="H408" t="s">
        <v>776</v>
      </c>
      <c r="I408" t="s">
        <v>3668</v>
      </c>
      <c r="J408" t="s">
        <v>44</v>
      </c>
      <c r="K408" t="s">
        <v>411</v>
      </c>
      <c r="L408" t="s">
        <v>46</v>
      </c>
      <c r="M408" t="s">
        <v>188</v>
      </c>
      <c r="N408" t="s">
        <v>431</v>
      </c>
      <c r="O408" t="s">
        <v>30</v>
      </c>
      <c r="P408" s="1">
        <v>46076.087916666664</v>
      </c>
      <c r="Q408" s="1">
        <v>46072.550312500003</v>
      </c>
      <c r="R408" t="s">
        <v>1775</v>
      </c>
      <c r="S408" t="s">
        <v>3326</v>
      </c>
      <c r="T408" t="s">
        <v>31</v>
      </c>
      <c r="U408" t="s">
        <v>413</v>
      </c>
      <c r="V408" t="s">
        <v>46</v>
      </c>
      <c r="W408" t="s">
        <v>188</v>
      </c>
      <c r="X408" t="s">
        <v>431</v>
      </c>
      <c r="Y408">
        <v>15254</v>
      </c>
      <c r="Z408" t="s">
        <v>3530</v>
      </c>
      <c r="AA408" t="s">
        <v>3528</v>
      </c>
      <c r="AB408" t="s">
        <v>32</v>
      </c>
      <c r="AC408" t="s">
        <v>2223</v>
      </c>
      <c r="AD408" t="s">
        <v>2224</v>
      </c>
      <c r="AE408" t="s">
        <v>33</v>
      </c>
    </row>
    <row r="409" spans="1:31" hidden="1">
      <c r="A409" t="s">
        <v>2228</v>
      </c>
      <c r="B409" t="s">
        <v>34</v>
      </c>
      <c r="C409" t="s">
        <v>1913</v>
      </c>
      <c r="D409" t="s">
        <v>1914</v>
      </c>
      <c r="E409" t="s">
        <v>119</v>
      </c>
      <c r="F409" s="1">
        <v>46072.544340277775</v>
      </c>
      <c r="G409" t="s">
        <v>128</v>
      </c>
      <c r="H409" t="s">
        <v>776</v>
      </c>
      <c r="I409" t="s">
        <v>3668</v>
      </c>
      <c r="J409" t="s">
        <v>44</v>
      </c>
      <c r="K409" t="s">
        <v>253</v>
      </c>
      <c r="L409" t="s">
        <v>162</v>
      </c>
      <c r="M409" t="s">
        <v>163</v>
      </c>
      <c r="N409" t="s">
        <v>164</v>
      </c>
      <c r="O409" t="s">
        <v>30</v>
      </c>
      <c r="P409" s="1">
        <v>46079.287245370368</v>
      </c>
      <c r="R409" t="s">
        <v>90</v>
      </c>
      <c r="T409" t="s">
        <v>31</v>
      </c>
      <c r="U409" t="s">
        <v>104</v>
      </c>
      <c r="V409" t="s">
        <v>46</v>
      </c>
      <c r="W409" t="s">
        <v>188</v>
      </c>
      <c r="X409" t="s">
        <v>431</v>
      </c>
      <c r="Y409" t="s">
        <v>3638</v>
      </c>
      <c r="Z409" t="s">
        <v>3536</v>
      </c>
      <c r="AA409" t="s">
        <v>3541</v>
      </c>
      <c r="AB409" t="s">
        <v>32</v>
      </c>
      <c r="AC409" t="s">
        <v>1916</v>
      </c>
      <c r="AD409" t="s">
        <v>1917</v>
      </c>
      <c r="AE409" t="s">
        <v>33</v>
      </c>
    </row>
    <row r="410" spans="1:31" hidden="1">
      <c r="A410" t="s">
        <v>2229</v>
      </c>
      <c r="B410" t="s">
        <v>34</v>
      </c>
      <c r="C410" t="s">
        <v>1964</v>
      </c>
      <c r="D410" t="s">
        <v>1965</v>
      </c>
      <c r="E410" t="s">
        <v>421</v>
      </c>
      <c r="F410" s="1">
        <v>46072.536030092589</v>
      </c>
      <c r="G410" t="s">
        <v>26</v>
      </c>
      <c r="H410" t="s">
        <v>776</v>
      </c>
      <c r="I410" t="s">
        <v>3665</v>
      </c>
      <c r="J410" t="s">
        <v>134</v>
      </c>
      <c r="K410" t="s">
        <v>135</v>
      </c>
      <c r="L410" t="s">
        <v>162</v>
      </c>
      <c r="M410" t="s">
        <v>163</v>
      </c>
      <c r="N410" t="s">
        <v>164</v>
      </c>
      <c r="O410" t="s">
        <v>30</v>
      </c>
      <c r="P410" s="1">
        <v>46078.482037037036</v>
      </c>
      <c r="Q410" s="1">
        <v>46078.48201388889</v>
      </c>
      <c r="R410" t="s">
        <v>38</v>
      </c>
      <c r="S410" t="s">
        <v>3327</v>
      </c>
      <c r="T410" t="s">
        <v>31</v>
      </c>
      <c r="U410" t="s">
        <v>104</v>
      </c>
      <c r="V410" t="s">
        <v>46</v>
      </c>
      <c r="W410" t="s">
        <v>197</v>
      </c>
      <c r="X410" t="s">
        <v>875</v>
      </c>
      <c r="Y410" t="s">
        <v>3642</v>
      </c>
      <c r="Z410" t="s">
        <v>3536</v>
      </c>
      <c r="AA410" t="s">
        <v>3526</v>
      </c>
      <c r="AB410" t="s">
        <v>32</v>
      </c>
      <c r="AC410" t="s">
        <v>1966</v>
      </c>
      <c r="AD410" t="s">
        <v>1967</v>
      </c>
      <c r="AE410" t="s">
        <v>33</v>
      </c>
    </row>
    <row r="411" spans="1:31">
      <c r="A411" t="s">
        <v>2232</v>
      </c>
      <c r="B411" t="s">
        <v>34</v>
      </c>
      <c r="C411" t="s">
        <v>234</v>
      </c>
      <c r="D411" t="s">
        <v>990</v>
      </c>
      <c r="E411" t="s">
        <v>1158</v>
      </c>
      <c r="F411" s="1">
        <v>46072.532511574071</v>
      </c>
      <c r="G411" t="s">
        <v>67</v>
      </c>
      <c r="H411" t="s">
        <v>776</v>
      </c>
      <c r="I411" t="s">
        <v>3671</v>
      </c>
      <c r="J411" t="s">
        <v>44</v>
      </c>
      <c r="K411" t="s">
        <v>1149</v>
      </c>
      <c r="L411" t="s">
        <v>46</v>
      </c>
      <c r="M411" t="s">
        <v>379</v>
      </c>
      <c r="N411" t="s">
        <v>379</v>
      </c>
      <c r="O411" t="s">
        <v>30</v>
      </c>
      <c r="P411" s="1">
        <v>46076.087546296294</v>
      </c>
      <c r="Q411" s="1">
        <v>46072.547754629632</v>
      </c>
      <c r="R411" t="s">
        <v>1775</v>
      </c>
      <c r="S411" t="s">
        <v>1158</v>
      </c>
      <c r="T411" t="s">
        <v>31</v>
      </c>
      <c r="U411" t="s">
        <v>1150</v>
      </c>
      <c r="V411" t="s">
        <v>46</v>
      </c>
      <c r="W411" t="s">
        <v>379</v>
      </c>
      <c r="X411" t="s">
        <v>379</v>
      </c>
      <c r="Y411">
        <v>6054</v>
      </c>
      <c r="Z411" t="s">
        <v>3525</v>
      </c>
      <c r="AA411" t="s">
        <v>3528</v>
      </c>
      <c r="AB411" t="s">
        <v>32</v>
      </c>
      <c r="AC411" t="s">
        <v>2233</v>
      </c>
      <c r="AD411" t="s">
        <v>2234</v>
      </c>
      <c r="AE411" t="s">
        <v>33</v>
      </c>
    </row>
    <row r="412" spans="1:31">
      <c r="A412" t="s">
        <v>2235</v>
      </c>
      <c r="B412" t="s">
        <v>34</v>
      </c>
      <c r="C412" t="s">
        <v>2236</v>
      </c>
      <c r="D412" t="s">
        <v>2237</v>
      </c>
      <c r="E412" t="s">
        <v>2238</v>
      </c>
      <c r="F412" s="1">
        <v>46072.524398148147</v>
      </c>
      <c r="G412" t="s">
        <v>93</v>
      </c>
      <c r="H412" t="s">
        <v>776</v>
      </c>
      <c r="I412" t="s">
        <v>3666</v>
      </c>
      <c r="J412" t="s">
        <v>44</v>
      </c>
      <c r="K412" t="s">
        <v>1149</v>
      </c>
      <c r="L412" t="s">
        <v>46</v>
      </c>
      <c r="M412" t="s">
        <v>110</v>
      </c>
      <c r="N412" t="s">
        <v>111</v>
      </c>
      <c r="O412" t="s">
        <v>30</v>
      </c>
      <c r="P412" s="1">
        <v>46076.087476851855</v>
      </c>
      <c r="Q412" s="1">
        <v>46072.547314814816</v>
      </c>
      <c r="R412" t="s">
        <v>1775</v>
      </c>
      <c r="S412" t="s">
        <v>3193</v>
      </c>
      <c r="T412" t="s">
        <v>31</v>
      </c>
      <c r="U412" t="s">
        <v>1150</v>
      </c>
      <c r="V412" t="s">
        <v>46</v>
      </c>
      <c r="W412" t="s">
        <v>110</v>
      </c>
      <c r="X412" t="s">
        <v>111</v>
      </c>
      <c r="Y412" t="s">
        <v>3655</v>
      </c>
      <c r="Z412" t="s">
        <v>3530</v>
      </c>
      <c r="AA412" t="s">
        <v>3528</v>
      </c>
      <c r="AB412" t="s">
        <v>32</v>
      </c>
      <c r="AC412" t="s">
        <v>2239</v>
      </c>
      <c r="AD412" t="s">
        <v>2240</v>
      </c>
      <c r="AE412" t="s">
        <v>33</v>
      </c>
    </row>
    <row r="413" spans="1:31">
      <c r="A413" t="s">
        <v>2242</v>
      </c>
      <c r="B413" t="s">
        <v>34</v>
      </c>
      <c r="C413" t="s">
        <v>142</v>
      </c>
      <c r="D413" t="s">
        <v>2243</v>
      </c>
      <c r="E413" t="s">
        <v>2244</v>
      </c>
      <c r="F413" s="1">
        <v>46072.517361111109</v>
      </c>
      <c r="G413" t="s">
        <v>210</v>
      </c>
      <c r="H413" t="s">
        <v>776</v>
      </c>
      <c r="I413" t="s">
        <v>3667</v>
      </c>
      <c r="J413" t="s">
        <v>44</v>
      </c>
      <c r="K413" t="s">
        <v>205</v>
      </c>
      <c r="L413" t="s">
        <v>46</v>
      </c>
      <c r="M413" t="s">
        <v>188</v>
      </c>
      <c r="N413" t="s">
        <v>521</v>
      </c>
      <c r="O413" t="s">
        <v>30</v>
      </c>
      <c r="P413" s="1">
        <v>46076.087418981479</v>
      </c>
      <c r="Q413" s="1">
        <v>46072.525810185187</v>
      </c>
      <c r="R413" t="s">
        <v>1775</v>
      </c>
      <c r="S413" t="s">
        <v>3328</v>
      </c>
      <c r="T413" t="s">
        <v>31</v>
      </c>
      <c r="U413" t="s">
        <v>206</v>
      </c>
      <c r="V413" t="s">
        <v>46</v>
      </c>
      <c r="W413" t="s">
        <v>188</v>
      </c>
      <c r="X413" t="s">
        <v>521</v>
      </c>
      <c r="Y413" t="s">
        <v>3656</v>
      </c>
      <c r="Z413" t="s">
        <v>3530</v>
      </c>
      <c r="AA413" t="s">
        <v>3528</v>
      </c>
      <c r="AB413" t="s">
        <v>32</v>
      </c>
      <c r="AC413" t="s">
        <v>2245</v>
      </c>
      <c r="AD413" t="s">
        <v>2246</v>
      </c>
      <c r="AE413" t="s">
        <v>33</v>
      </c>
    </row>
    <row r="414" spans="1:31">
      <c r="A414" t="s">
        <v>2247</v>
      </c>
      <c r="B414" t="s">
        <v>34</v>
      </c>
      <c r="C414" t="s">
        <v>169</v>
      </c>
      <c r="D414" t="s">
        <v>195</v>
      </c>
      <c r="E414" t="s">
        <v>2248</v>
      </c>
      <c r="F414" s="1">
        <v>46072.53802083333</v>
      </c>
      <c r="G414" t="s">
        <v>26</v>
      </c>
      <c r="H414" t="s">
        <v>776</v>
      </c>
      <c r="I414" t="s">
        <v>3665</v>
      </c>
      <c r="J414" t="s">
        <v>44</v>
      </c>
      <c r="K414" t="s">
        <v>733</v>
      </c>
      <c r="L414" t="s">
        <v>46</v>
      </c>
      <c r="M414" t="s">
        <v>110</v>
      </c>
      <c r="N414" t="s">
        <v>301</v>
      </c>
      <c r="O414" t="s">
        <v>30</v>
      </c>
      <c r="P414" s="1">
        <v>46076.087719907409</v>
      </c>
      <c r="Q414" s="1">
        <v>46072.572395833333</v>
      </c>
      <c r="R414" t="s">
        <v>1775</v>
      </c>
      <c r="S414" t="s">
        <v>3329</v>
      </c>
      <c r="T414" t="s">
        <v>31</v>
      </c>
      <c r="U414" t="s">
        <v>726</v>
      </c>
      <c r="V414" t="s">
        <v>46</v>
      </c>
      <c r="W414" t="s">
        <v>110</v>
      </c>
      <c r="X414" t="s">
        <v>3252</v>
      </c>
      <c r="Y414">
        <v>15978</v>
      </c>
      <c r="Z414" t="s">
        <v>3530</v>
      </c>
      <c r="AA414" t="s">
        <v>3528</v>
      </c>
      <c r="AB414" t="s">
        <v>32</v>
      </c>
      <c r="AC414" t="s">
        <v>308</v>
      </c>
      <c r="AD414" t="s">
        <v>309</v>
      </c>
      <c r="AE414" t="s">
        <v>33</v>
      </c>
    </row>
    <row r="415" spans="1:31">
      <c r="A415" t="s">
        <v>2249</v>
      </c>
      <c r="B415" t="s">
        <v>24</v>
      </c>
      <c r="C415" t="s">
        <v>158</v>
      </c>
      <c r="D415" t="s">
        <v>2250</v>
      </c>
      <c r="E415" t="s">
        <v>2251</v>
      </c>
      <c r="F415" s="1">
        <v>46072.499201388891</v>
      </c>
      <c r="G415" t="s">
        <v>226</v>
      </c>
      <c r="H415" t="s">
        <v>776</v>
      </c>
      <c r="I415" t="s">
        <v>3665</v>
      </c>
      <c r="J415" t="s">
        <v>44</v>
      </c>
      <c r="K415" t="s">
        <v>411</v>
      </c>
      <c r="L415" t="s">
        <v>46</v>
      </c>
      <c r="M415" t="s">
        <v>559</v>
      </c>
      <c r="N415" t="s">
        <v>48</v>
      </c>
      <c r="O415" t="s">
        <v>86</v>
      </c>
      <c r="P415" s="1">
        <v>46076.087314814817</v>
      </c>
      <c r="Q415" s="1">
        <v>46072.500289351854</v>
      </c>
      <c r="R415" t="s">
        <v>1775</v>
      </c>
      <c r="S415" t="e">
        <f>- Temp files had been deleted. - gpupdate /force had been done.</f>
        <v>#NAME?</v>
      </c>
      <c r="T415" t="s">
        <v>31</v>
      </c>
      <c r="U415" t="s">
        <v>413</v>
      </c>
      <c r="V415" t="s">
        <v>46</v>
      </c>
      <c r="W415" t="s">
        <v>559</v>
      </c>
      <c r="X415" t="s">
        <v>48</v>
      </c>
      <c r="Y415">
        <v>12713</v>
      </c>
      <c r="Z415" t="s">
        <v>3530</v>
      </c>
      <c r="AA415" t="s">
        <v>3528</v>
      </c>
      <c r="AB415" t="s">
        <v>32</v>
      </c>
      <c r="AC415" t="s">
        <v>2252</v>
      </c>
      <c r="AD415" t="s">
        <v>2253</v>
      </c>
      <c r="AE415" t="s">
        <v>33</v>
      </c>
    </row>
    <row r="416" spans="1:31">
      <c r="A416" t="s">
        <v>2258</v>
      </c>
      <c r="B416" t="s">
        <v>34</v>
      </c>
      <c r="C416" t="s">
        <v>2259</v>
      </c>
      <c r="D416" t="s">
        <v>2260</v>
      </c>
      <c r="E416" t="s">
        <v>119</v>
      </c>
      <c r="F416" s="1">
        <v>46072.495069444441</v>
      </c>
      <c r="G416" t="s">
        <v>77</v>
      </c>
      <c r="H416" t="s">
        <v>776</v>
      </c>
      <c r="I416" t="s">
        <v>3669</v>
      </c>
      <c r="J416" t="s">
        <v>44</v>
      </c>
      <c r="K416" t="s">
        <v>253</v>
      </c>
      <c r="L416" t="s">
        <v>162</v>
      </c>
      <c r="M416" t="s">
        <v>163</v>
      </c>
      <c r="N416" t="s">
        <v>164</v>
      </c>
      <c r="O416" t="s">
        <v>30</v>
      </c>
      <c r="P416" s="1">
        <v>46076.087256944447</v>
      </c>
      <c r="Q416" s="1">
        <v>46072.571828703702</v>
      </c>
      <c r="R416" t="s">
        <v>1775</v>
      </c>
      <c r="S416" t="s">
        <v>3294</v>
      </c>
      <c r="T416" t="s">
        <v>31</v>
      </c>
      <c r="U416" t="s">
        <v>104</v>
      </c>
      <c r="V416" t="s">
        <v>337</v>
      </c>
      <c r="W416" t="s">
        <v>481</v>
      </c>
      <c r="X416" t="s">
        <v>3154</v>
      </c>
      <c r="Y416" t="s">
        <v>3657</v>
      </c>
      <c r="Z416" t="s">
        <v>3536</v>
      </c>
      <c r="AA416" t="s">
        <v>3528</v>
      </c>
      <c r="AB416" t="s">
        <v>32</v>
      </c>
      <c r="AC416" t="s">
        <v>2261</v>
      </c>
      <c r="AD416" t="s">
        <v>2262</v>
      </c>
      <c r="AE416" t="s">
        <v>33</v>
      </c>
    </row>
    <row r="417" spans="1:31">
      <c r="A417" t="s">
        <v>2263</v>
      </c>
      <c r="B417" t="s">
        <v>24</v>
      </c>
      <c r="C417" t="s">
        <v>2264</v>
      </c>
      <c r="D417" t="s">
        <v>2265</v>
      </c>
      <c r="E417" t="s">
        <v>939</v>
      </c>
      <c r="F417" s="1">
        <v>46072.496446759258</v>
      </c>
      <c r="G417" t="s">
        <v>74</v>
      </c>
      <c r="H417" t="s">
        <v>776</v>
      </c>
      <c r="I417" t="s">
        <v>3665</v>
      </c>
      <c r="J417" t="s">
        <v>44</v>
      </c>
      <c r="K417" t="s">
        <v>411</v>
      </c>
      <c r="L417" t="s">
        <v>46</v>
      </c>
      <c r="M417" t="s">
        <v>374</v>
      </c>
      <c r="N417" t="s">
        <v>618</v>
      </c>
      <c r="O417" t="s">
        <v>86</v>
      </c>
      <c r="P417" s="1">
        <v>46076.087280092594</v>
      </c>
      <c r="Q417" s="1">
        <v>46072.497766203705</v>
      </c>
      <c r="R417" t="s">
        <v>1775</v>
      </c>
      <c r="S417" t="s">
        <v>3330</v>
      </c>
      <c r="T417" t="s">
        <v>31</v>
      </c>
      <c r="U417" t="s">
        <v>413</v>
      </c>
      <c r="V417" t="s">
        <v>46</v>
      </c>
      <c r="W417" t="s">
        <v>374</v>
      </c>
      <c r="X417" t="s">
        <v>618</v>
      </c>
      <c r="Y417">
        <v>12733</v>
      </c>
      <c r="Z417" t="s">
        <v>3530</v>
      </c>
      <c r="AA417" t="s">
        <v>3528</v>
      </c>
      <c r="AB417" t="s">
        <v>32</v>
      </c>
      <c r="AC417" t="s">
        <v>2266</v>
      </c>
      <c r="AD417" t="s">
        <v>2267</v>
      </c>
      <c r="AE417" t="s">
        <v>33</v>
      </c>
    </row>
    <row r="418" spans="1:31">
      <c r="A418" t="s">
        <v>2268</v>
      </c>
      <c r="B418" t="s">
        <v>24</v>
      </c>
      <c r="C418" t="s">
        <v>53</v>
      </c>
      <c r="D418" t="s">
        <v>66</v>
      </c>
      <c r="E418" t="s">
        <v>2269</v>
      </c>
      <c r="F418" s="1">
        <v>46072.489293981482</v>
      </c>
      <c r="G418" t="s">
        <v>265</v>
      </c>
      <c r="H418" t="s">
        <v>776</v>
      </c>
      <c r="I418" t="s">
        <v>3671</v>
      </c>
      <c r="J418" t="s">
        <v>44</v>
      </c>
      <c r="K418" t="s">
        <v>411</v>
      </c>
      <c r="L418" t="s">
        <v>46</v>
      </c>
      <c r="M418" t="s">
        <v>314</v>
      </c>
      <c r="N418" t="s">
        <v>2270</v>
      </c>
      <c r="O418" t="s">
        <v>86</v>
      </c>
      <c r="P418" s="1">
        <v>46076.087256944447</v>
      </c>
      <c r="Q418" s="1">
        <v>46072.49423611111</v>
      </c>
      <c r="R418" t="s">
        <v>1775</v>
      </c>
      <c r="S418" t="e">
        <f>- cleared Temp files. - gpupdate /force - Lenovo Drivers update.. - Restart the device</f>
        <v>#NAME?</v>
      </c>
      <c r="T418" t="s">
        <v>31</v>
      </c>
      <c r="U418" t="s">
        <v>413</v>
      </c>
      <c r="V418" t="s">
        <v>46</v>
      </c>
      <c r="W418" t="s">
        <v>314</v>
      </c>
      <c r="X418" t="s">
        <v>2270</v>
      </c>
      <c r="Y418">
        <v>11148</v>
      </c>
      <c r="Z418" t="s">
        <v>3530</v>
      </c>
      <c r="AA418" t="s">
        <v>3528</v>
      </c>
      <c r="AB418" t="s">
        <v>32</v>
      </c>
      <c r="AC418" t="s">
        <v>1316</v>
      </c>
      <c r="AD418" t="s">
        <v>1317</v>
      </c>
      <c r="AE418" t="s">
        <v>33</v>
      </c>
    </row>
    <row r="419" spans="1:31" hidden="1">
      <c r="A419" t="s">
        <v>2271</v>
      </c>
      <c r="B419" t="s">
        <v>34</v>
      </c>
      <c r="C419" t="s">
        <v>565</v>
      </c>
      <c r="D419" t="s">
        <v>2272</v>
      </c>
      <c r="E419" t="s">
        <v>2273</v>
      </c>
      <c r="F419" s="1">
        <v>46072.487141203703</v>
      </c>
      <c r="G419" t="s">
        <v>108</v>
      </c>
      <c r="H419" t="s">
        <v>776</v>
      </c>
      <c r="I419" t="s">
        <v>3666</v>
      </c>
      <c r="J419" t="s">
        <v>134</v>
      </c>
      <c r="K419" t="s">
        <v>320</v>
      </c>
      <c r="L419" t="s">
        <v>162</v>
      </c>
      <c r="M419" t="s">
        <v>163</v>
      </c>
      <c r="N419" t="s">
        <v>164</v>
      </c>
      <c r="O419" t="s">
        <v>30</v>
      </c>
      <c r="P419" s="1">
        <v>46079.393067129633</v>
      </c>
      <c r="R419" t="s">
        <v>90</v>
      </c>
      <c r="T419" t="s">
        <v>31</v>
      </c>
      <c r="U419" t="s">
        <v>104</v>
      </c>
      <c r="Y419">
        <v>14536</v>
      </c>
      <c r="Z419" t="s">
        <v>3536</v>
      </c>
      <c r="AA419" t="s">
        <v>3539</v>
      </c>
      <c r="AB419" t="s">
        <v>32</v>
      </c>
      <c r="AC419" t="s">
        <v>2274</v>
      </c>
      <c r="AD419" t="s">
        <v>2275</v>
      </c>
      <c r="AE419" t="s">
        <v>33</v>
      </c>
    </row>
    <row r="420" spans="1:31">
      <c r="A420" t="s">
        <v>2276</v>
      </c>
      <c r="B420" t="s">
        <v>34</v>
      </c>
      <c r="C420" t="s">
        <v>2277</v>
      </c>
      <c r="D420" t="s">
        <v>2278</v>
      </c>
      <c r="E420" t="s">
        <v>2279</v>
      </c>
      <c r="F420" s="1">
        <v>46072.486932870372</v>
      </c>
      <c r="G420" t="s">
        <v>132</v>
      </c>
      <c r="H420" t="s">
        <v>776</v>
      </c>
      <c r="I420" t="s">
        <v>3665</v>
      </c>
      <c r="J420" t="s">
        <v>44</v>
      </c>
      <c r="K420" t="s">
        <v>253</v>
      </c>
      <c r="L420" t="s">
        <v>27</v>
      </c>
      <c r="M420" t="s">
        <v>28</v>
      </c>
      <c r="N420" t="s">
        <v>839</v>
      </c>
      <c r="O420" t="s">
        <v>30</v>
      </c>
      <c r="P420" s="1">
        <v>46076.087222222224</v>
      </c>
      <c r="Q420" s="1">
        <v>46072.594050925924</v>
      </c>
      <c r="R420" t="s">
        <v>1775</v>
      </c>
      <c r="S420" t="s">
        <v>3331</v>
      </c>
      <c r="T420" t="s">
        <v>31</v>
      </c>
      <c r="U420" t="s">
        <v>367</v>
      </c>
      <c r="V420" t="s">
        <v>27</v>
      </c>
      <c r="W420" t="s">
        <v>28</v>
      </c>
      <c r="X420" t="s">
        <v>839</v>
      </c>
      <c r="Y420">
        <v>12460</v>
      </c>
      <c r="Z420" t="s">
        <v>3530</v>
      </c>
      <c r="AA420" t="s">
        <v>3528</v>
      </c>
      <c r="AB420" t="s">
        <v>32</v>
      </c>
      <c r="AC420" t="s">
        <v>2280</v>
      </c>
      <c r="AD420" t="s">
        <v>2281</v>
      </c>
      <c r="AE420" t="s">
        <v>33</v>
      </c>
    </row>
    <row r="421" spans="1:31">
      <c r="A421" t="s">
        <v>2283</v>
      </c>
      <c r="B421" t="s">
        <v>34</v>
      </c>
      <c r="C421" t="s">
        <v>2284</v>
      </c>
      <c r="D421" t="s">
        <v>2285</v>
      </c>
      <c r="E421" t="s">
        <v>109</v>
      </c>
      <c r="F421" s="1">
        <v>46072.480925925927</v>
      </c>
      <c r="G421" t="s">
        <v>353</v>
      </c>
      <c r="H421" t="s">
        <v>776</v>
      </c>
      <c r="I421" t="s">
        <v>3671</v>
      </c>
      <c r="J421" t="s">
        <v>44</v>
      </c>
      <c r="K421" t="s">
        <v>1149</v>
      </c>
      <c r="L421" t="s">
        <v>46</v>
      </c>
      <c r="M421" t="s">
        <v>110</v>
      </c>
      <c r="N421" t="s">
        <v>111</v>
      </c>
      <c r="O421" t="s">
        <v>30</v>
      </c>
      <c r="P421" s="1">
        <v>46076.087175925924</v>
      </c>
      <c r="Q421" s="1">
        <v>46072.48128472222</v>
      </c>
      <c r="R421" t="s">
        <v>1775</v>
      </c>
      <c r="S421" t="s">
        <v>3193</v>
      </c>
      <c r="T421" t="s">
        <v>31</v>
      </c>
      <c r="U421" t="s">
        <v>1150</v>
      </c>
      <c r="V421" t="s">
        <v>46</v>
      </c>
      <c r="W421" t="s">
        <v>110</v>
      </c>
      <c r="X421" t="s">
        <v>111</v>
      </c>
      <c r="Y421">
        <v>487</v>
      </c>
      <c r="Z421" t="s">
        <v>3530</v>
      </c>
      <c r="AA421" t="s">
        <v>3528</v>
      </c>
      <c r="AB421" t="s">
        <v>32</v>
      </c>
      <c r="AC421" t="s">
        <v>2286</v>
      </c>
      <c r="AD421" t="s">
        <v>2287</v>
      </c>
      <c r="AE421" t="s">
        <v>33</v>
      </c>
    </row>
    <row r="422" spans="1:31">
      <c r="A422" t="s">
        <v>2288</v>
      </c>
      <c r="B422" t="s">
        <v>34</v>
      </c>
      <c r="C422" t="s">
        <v>2289</v>
      </c>
      <c r="D422" t="s">
        <v>2290</v>
      </c>
      <c r="E422" t="s">
        <v>2291</v>
      </c>
      <c r="F422" s="1">
        <v>46072.478738425925</v>
      </c>
      <c r="G422" t="s">
        <v>26</v>
      </c>
      <c r="H422" t="s">
        <v>776</v>
      </c>
      <c r="I422" t="s">
        <v>3665</v>
      </c>
      <c r="J422" t="s">
        <v>44</v>
      </c>
      <c r="K422" t="s">
        <v>290</v>
      </c>
      <c r="L422" t="s">
        <v>46</v>
      </c>
      <c r="M422" t="s">
        <v>515</v>
      </c>
      <c r="N422" t="s">
        <v>516</v>
      </c>
      <c r="O422" t="s">
        <v>30</v>
      </c>
      <c r="P422" s="1">
        <v>46076.087152777778</v>
      </c>
      <c r="Q422" s="1">
        <v>46072.479004629633</v>
      </c>
      <c r="R422" t="s">
        <v>1775</v>
      </c>
      <c r="S422" t="s">
        <v>3332</v>
      </c>
      <c r="T422" t="s">
        <v>31</v>
      </c>
      <c r="U422" t="s">
        <v>190</v>
      </c>
      <c r="V422" t="s">
        <v>46</v>
      </c>
      <c r="W422" t="s">
        <v>515</v>
      </c>
      <c r="X422" t="s">
        <v>3143</v>
      </c>
      <c r="Y422" t="s">
        <v>3658</v>
      </c>
      <c r="Z422" t="s">
        <v>3530</v>
      </c>
      <c r="AA422" t="s">
        <v>3528</v>
      </c>
      <c r="AB422" t="s">
        <v>32</v>
      </c>
      <c r="AC422" t="s">
        <v>2292</v>
      </c>
      <c r="AD422" t="s">
        <v>2293</v>
      </c>
      <c r="AE422" t="s">
        <v>33</v>
      </c>
    </row>
    <row r="423" spans="1:31" hidden="1">
      <c r="A423" t="s">
        <v>2294</v>
      </c>
      <c r="B423" t="s">
        <v>34</v>
      </c>
      <c r="C423" t="s">
        <v>402</v>
      </c>
      <c r="D423" t="s">
        <v>1693</v>
      </c>
      <c r="E423" t="s">
        <v>633</v>
      </c>
      <c r="F423" s="1">
        <v>46072.477372685185</v>
      </c>
      <c r="G423" t="s">
        <v>132</v>
      </c>
      <c r="H423" t="s">
        <v>776</v>
      </c>
      <c r="I423" t="s">
        <v>3665</v>
      </c>
      <c r="J423" t="s">
        <v>134</v>
      </c>
      <c r="K423" t="s">
        <v>817</v>
      </c>
      <c r="L423" t="s">
        <v>162</v>
      </c>
      <c r="M423" t="s">
        <v>163</v>
      </c>
      <c r="N423" t="s">
        <v>164</v>
      </c>
      <c r="O423" t="s">
        <v>30</v>
      </c>
      <c r="P423" s="1">
        <v>46077.43917824074</v>
      </c>
      <c r="Q423" s="1">
        <v>46077.439131944448</v>
      </c>
      <c r="R423" t="s">
        <v>38</v>
      </c>
      <c r="S423" t="s">
        <v>3333</v>
      </c>
      <c r="T423" t="s">
        <v>31</v>
      </c>
      <c r="U423" t="s">
        <v>104</v>
      </c>
      <c r="V423" t="s">
        <v>46</v>
      </c>
      <c r="W423" t="s">
        <v>659</v>
      </c>
      <c r="X423" t="s">
        <v>3243</v>
      </c>
      <c r="Y423">
        <v>14581</v>
      </c>
      <c r="Z423" t="s">
        <v>3536</v>
      </c>
      <c r="AA423" t="s">
        <v>3526</v>
      </c>
      <c r="AB423" t="s">
        <v>32</v>
      </c>
      <c r="AC423" t="s">
        <v>2295</v>
      </c>
      <c r="AD423" t="s">
        <v>2296</v>
      </c>
      <c r="AE423" t="s">
        <v>33</v>
      </c>
    </row>
    <row r="424" spans="1:31" hidden="1">
      <c r="A424" t="s">
        <v>2299</v>
      </c>
      <c r="B424" t="s">
        <v>24</v>
      </c>
      <c r="C424" t="s">
        <v>2300</v>
      </c>
      <c r="D424" t="s">
        <v>2301</v>
      </c>
      <c r="E424" t="s">
        <v>2302</v>
      </c>
      <c r="F424" s="1">
        <v>46072.469895833332</v>
      </c>
      <c r="G424" t="s">
        <v>755</v>
      </c>
      <c r="H424" t="s">
        <v>776</v>
      </c>
      <c r="I424" t="s">
        <v>3669</v>
      </c>
      <c r="J424" t="s">
        <v>134</v>
      </c>
      <c r="K424" t="s">
        <v>2157</v>
      </c>
      <c r="L424" t="s">
        <v>162</v>
      </c>
      <c r="M424" t="s">
        <v>163</v>
      </c>
      <c r="N424" t="s">
        <v>164</v>
      </c>
      <c r="O424" t="s">
        <v>86</v>
      </c>
      <c r="P424" s="1">
        <v>46076.087083333332</v>
      </c>
      <c r="Q424" s="1">
        <v>46072.502199074072</v>
      </c>
      <c r="R424" t="s">
        <v>1775</v>
      </c>
      <c r="S424" t="s">
        <v>3334</v>
      </c>
      <c r="T424" t="s">
        <v>31</v>
      </c>
      <c r="U424" t="s">
        <v>104</v>
      </c>
      <c r="V424" t="s">
        <v>3336</v>
      </c>
      <c r="W424" t="s">
        <v>188</v>
      </c>
      <c r="X424" t="s">
        <v>3335</v>
      </c>
      <c r="Y424">
        <v>11298</v>
      </c>
      <c r="Z424" t="s">
        <v>3536</v>
      </c>
      <c r="AA424" t="s">
        <v>3528</v>
      </c>
      <c r="AB424" t="s">
        <v>32</v>
      </c>
      <c r="AC424" t="s">
        <v>2303</v>
      </c>
      <c r="AD424" t="s">
        <v>2304</v>
      </c>
      <c r="AE424" t="s">
        <v>33</v>
      </c>
    </row>
    <row r="425" spans="1:31">
      <c r="A425" t="s">
        <v>2305</v>
      </c>
      <c r="B425" t="s">
        <v>24</v>
      </c>
      <c r="C425" t="s">
        <v>2264</v>
      </c>
      <c r="D425" t="s">
        <v>2265</v>
      </c>
      <c r="E425" t="s">
        <v>453</v>
      </c>
      <c r="F425" s="1">
        <v>46072.464803240742</v>
      </c>
      <c r="G425" t="s">
        <v>74</v>
      </c>
      <c r="H425" t="s">
        <v>776</v>
      </c>
      <c r="I425" t="s">
        <v>3665</v>
      </c>
      <c r="J425" t="s">
        <v>44</v>
      </c>
      <c r="K425" t="s">
        <v>411</v>
      </c>
      <c r="L425" t="s">
        <v>46</v>
      </c>
      <c r="M425" t="s">
        <v>313</v>
      </c>
      <c r="N425" t="s">
        <v>314</v>
      </c>
      <c r="O425" t="s">
        <v>86</v>
      </c>
      <c r="P425" s="1">
        <v>46076.087071759262</v>
      </c>
      <c r="Q425" s="1">
        <v>46072.466319444444</v>
      </c>
      <c r="R425" t="s">
        <v>1775</v>
      </c>
      <c r="S425" t="e">
        <f>- Clear saved credeintials. - Creat new profile. - Clear Temp files.</f>
        <v>#NAME?</v>
      </c>
      <c r="T425" t="s">
        <v>31</v>
      </c>
      <c r="U425" t="s">
        <v>413</v>
      </c>
      <c r="V425" t="s">
        <v>46</v>
      </c>
      <c r="W425" t="s">
        <v>313</v>
      </c>
      <c r="X425" t="s">
        <v>314</v>
      </c>
      <c r="Y425">
        <v>12733</v>
      </c>
      <c r="Z425" t="s">
        <v>3530</v>
      </c>
      <c r="AA425" t="s">
        <v>3528</v>
      </c>
      <c r="AB425" t="s">
        <v>32</v>
      </c>
      <c r="AC425" t="s">
        <v>2266</v>
      </c>
      <c r="AD425" t="s">
        <v>2267</v>
      </c>
      <c r="AE425" t="s">
        <v>33</v>
      </c>
    </row>
    <row r="426" spans="1:31">
      <c r="A426" t="s">
        <v>2306</v>
      </c>
      <c r="B426" t="s">
        <v>34</v>
      </c>
      <c r="C426" t="s">
        <v>1781</v>
      </c>
      <c r="D426" t="s">
        <v>116</v>
      </c>
      <c r="E426" t="s">
        <v>2307</v>
      </c>
      <c r="F426" s="1">
        <v>46072.472071759257</v>
      </c>
      <c r="G426" t="s">
        <v>470</v>
      </c>
      <c r="H426" t="s">
        <v>776</v>
      </c>
      <c r="I426" t="s">
        <v>3671</v>
      </c>
      <c r="J426" t="s">
        <v>44</v>
      </c>
      <c r="K426" t="s">
        <v>205</v>
      </c>
      <c r="L426" t="s">
        <v>46</v>
      </c>
      <c r="M426" t="s">
        <v>188</v>
      </c>
      <c r="N426" t="s">
        <v>521</v>
      </c>
      <c r="O426" t="s">
        <v>30</v>
      </c>
      <c r="P426" s="1">
        <v>46076.087094907409</v>
      </c>
      <c r="Q426" s="1">
        <v>46072.489560185182</v>
      </c>
      <c r="R426" t="s">
        <v>1775</v>
      </c>
      <c r="S426" t="s">
        <v>3337</v>
      </c>
      <c r="T426" t="s">
        <v>31</v>
      </c>
      <c r="U426" t="s">
        <v>206</v>
      </c>
      <c r="V426" t="s">
        <v>46</v>
      </c>
      <c r="W426" t="s">
        <v>188</v>
      </c>
      <c r="X426" t="s">
        <v>521</v>
      </c>
      <c r="Y426" t="s">
        <v>3659</v>
      </c>
      <c r="Z426" t="s">
        <v>3530</v>
      </c>
      <c r="AA426" t="s">
        <v>3528</v>
      </c>
      <c r="AB426" t="s">
        <v>32</v>
      </c>
      <c r="AC426" t="s">
        <v>2308</v>
      </c>
      <c r="AD426" t="s">
        <v>2309</v>
      </c>
      <c r="AE426" t="s">
        <v>33</v>
      </c>
    </row>
    <row r="427" spans="1:31">
      <c r="A427" t="s">
        <v>2310</v>
      </c>
      <c r="B427" t="s">
        <v>34</v>
      </c>
      <c r="C427" t="s">
        <v>457</v>
      </c>
      <c r="D427" t="s">
        <v>458</v>
      </c>
      <c r="E427" t="s">
        <v>109</v>
      </c>
      <c r="F427" s="1">
        <v>46072.460162037038</v>
      </c>
      <c r="G427" t="s">
        <v>62</v>
      </c>
      <c r="H427" t="s">
        <v>776</v>
      </c>
      <c r="I427" t="s">
        <v>3668</v>
      </c>
      <c r="J427" t="s">
        <v>44</v>
      </c>
      <c r="K427" t="s">
        <v>1149</v>
      </c>
      <c r="L427" t="s">
        <v>46</v>
      </c>
      <c r="M427" t="s">
        <v>110</v>
      </c>
      <c r="N427" t="s">
        <v>111</v>
      </c>
      <c r="O427" t="s">
        <v>30</v>
      </c>
      <c r="P427" s="1">
        <v>46076.087037037039</v>
      </c>
      <c r="Q427" s="1">
        <v>46072.464479166665</v>
      </c>
      <c r="R427" t="s">
        <v>1775</v>
      </c>
      <c r="S427" t="s">
        <v>3193</v>
      </c>
      <c r="T427" t="s">
        <v>31</v>
      </c>
      <c r="U427" t="s">
        <v>1150</v>
      </c>
      <c r="V427" t="s">
        <v>46</v>
      </c>
      <c r="W427" t="s">
        <v>110</v>
      </c>
      <c r="X427" t="s">
        <v>111</v>
      </c>
      <c r="Y427">
        <v>15898</v>
      </c>
      <c r="Z427" t="s">
        <v>3530</v>
      </c>
      <c r="AA427" t="s">
        <v>3528</v>
      </c>
      <c r="AB427" t="s">
        <v>32</v>
      </c>
      <c r="AC427" t="s">
        <v>461</v>
      </c>
      <c r="AD427" t="s">
        <v>462</v>
      </c>
      <c r="AE427" t="s">
        <v>33</v>
      </c>
    </row>
    <row r="428" spans="1:31">
      <c r="A428" t="s">
        <v>2311</v>
      </c>
      <c r="B428" t="s">
        <v>34</v>
      </c>
      <c r="C428" t="s">
        <v>2312</v>
      </c>
      <c r="D428" t="s">
        <v>2313</v>
      </c>
      <c r="E428" t="s">
        <v>230</v>
      </c>
      <c r="F428" s="1">
        <v>46072.461469907408</v>
      </c>
      <c r="G428" t="s">
        <v>210</v>
      </c>
      <c r="H428" t="s">
        <v>776</v>
      </c>
      <c r="I428" t="s">
        <v>3667</v>
      </c>
      <c r="J428" t="s">
        <v>44</v>
      </c>
      <c r="K428" t="s">
        <v>179</v>
      </c>
      <c r="L428" t="s">
        <v>46</v>
      </c>
      <c r="M428" t="s">
        <v>136</v>
      </c>
      <c r="N428" t="s">
        <v>136</v>
      </c>
      <c r="O428" t="s">
        <v>30</v>
      </c>
      <c r="P428" s="1">
        <v>46076.087060185186</v>
      </c>
      <c r="Q428" s="1">
        <v>46072.465671296297</v>
      </c>
      <c r="R428" t="s">
        <v>1775</v>
      </c>
      <c r="S428" t="s">
        <v>3338</v>
      </c>
      <c r="T428" t="s">
        <v>31</v>
      </c>
      <c r="U428" t="s">
        <v>350</v>
      </c>
      <c r="V428" t="s">
        <v>46</v>
      </c>
      <c r="W428" t="s">
        <v>3339</v>
      </c>
      <c r="X428" t="s">
        <v>3339</v>
      </c>
      <c r="Y428">
        <v>10855</v>
      </c>
      <c r="Z428" t="s">
        <v>3525</v>
      </c>
      <c r="AA428" t="s">
        <v>3528</v>
      </c>
      <c r="AB428" t="s">
        <v>181</v>
      </c>
      <c r="AC428" t="s">
        <v>2314</v>
      </c>
      <c r="AD428" t="s">
        <v>2315</v>
      </c>
      <c r="AE428" t="s">
        <v>33</v>
      </c>
    </row>
    <row r="429" spans="1:31">
      <c r="A429" t="s">
        <v>2316</v>
      </c>
      <c r="B429" t="s">
        <v>34</v>
      </c>
      <c r="C429" t="s">
        <v>346</v>
      </c>
      <c r="D429" t="s">
        <v>2317</v>
      </c>
      <c r="E429" t="s">
        <v>2318</v>
      </c>
      <c r="F429" s="1">
        <v>46072.45722222222</v>
      </c>
      <c r="G429" t="s">
        <v>26</v>
      </c>
      <c r="H429" t="s">
        <v>776</v>
      </c>
      <c r="I429" t="s">
        <v>3665</v>
      </c>
      <c r="J429" t="s">
        <v>44</v>
      </c>
      <c r="K429" t="s">
        <v>411</v>
      </c>
      <c r="L429" t="s">
        <v>46</v>
      </c>
      <c r="M429" t="s">
        <v>379</v>
      </c>
      <c r="N429" t="s">
        <v>379</v>
      </c>
      <c r="O429" t="s">
        <v>30</v>
      </c>
      <c r="P429" s="1">
        <v>46076.087002314816</v>
      </c>
      <c r="Q429" s="1">
        <v>46072.457800925928</v>
      </c>
      <c r="R429" t="s">
        <v>1775</v>
      </c>
      <c r="S429" t="s">
        <v>3340</v>
      </c>
      <c r="T429" t="s">
        <v>31</v>
      </c>
      <c r="U429" t="s">
        <v>413</v>
      </c>
      <c r="V429" t="s">
        <v>46</v>
      </c>
      <c r="W429" t="s">
        <v>379</v>
      </c>
      <c r="X429" t="s">
        <v>379</v>
      </c>
      <c r="Y429">
        <v>12169</v>
      </c>
      <c r="Z429" t="s">
        <v>3530</v>
      </c>
      <c r="AA429" t="s">
        <v>3528</v>
      </c>
      <c r="AB429" t="s">
        <v>32</v>
      </c>
      <c r="AC429" t="s">
        <v>2319</v>
      </c>
      <c r="AD429" t="s">
        <v>2320</v>
      </c>
      <c r="AE429" t="s">
        <v>33</v>
      </c>
    </row>
    <row r="430" spans="1:31" hidden="1">
      <c r="A430" t="s">
        <v>2321</v>
      </c>
      <c r="B430" t="s">
        <v>24</v>
      </c>
      <c r="C430" t="s">
        <v>2322</v>
      </c>
      <c r="D430" t="s">
        <v>607</v>
      </c>
      <c r="E430" t="s">
        <v>187</v>
      </c>
      <c r="F430" s="1">
        <v>46072.454479166663</v>
      </c>
      <c r="G430" t="s">
        <v>210</v>
      </c>
      <c r="H430" t="s">
        <v>776</v>
      </c>
      <c r="I430" t="s">
        <v>3667</v>
      </c>
      <c r="J430" t="s">
        <v>134</v>
      </c>
      <c r="K430" t="s">
        <v>273</v>
      </c>
      <c r="L430" t="s">
        <v>46</v>
      </c>
      <c r="M430" t="s">
        <v>188</v>
      </c>
      <c r="N430" t="s">
        <v>189</v>
      </c>
      <c r="O430" t="s">
        <v>86</v>
      </c>
      <c r="P430" s="1">
        <v>46076.514664351853</v>
      </c>
      <c r="Q430" s="1">
        <v>46076.514618055553</v>
      </c>
      <c r="R430" t="s">
        <v>38</v>
      </c>
      <c r="S430" t="s">
        <v>3341</v>
      </c>
      <c r="T430" t="s">
        <v>31</v>
      </c>
      <c r="U430" t="s">
        <v>243</v>
      </c>
      <c r="V430" t="s">
        <v>46</v>
      </c>
      <c r="W430" t="s">
        <v>188</v>
      </c>
      <c r="X430" t="s">
        <v>189</v>
      </c>
      <c r="Y430">
        <v>15206</v>
      </c>
      <c r="Z430" t="s">
        <v>3525</v>
      </c>
      <c r="AA430" t="s">
        <v>3526</v>
      </c>
      <c r="AB430" t="s">
        <v>32</v>
      </c>
      <c r="AC430" t="s">
        <v>2323</v>
      </c>
      <c r="AD430" t="s">
        <v>2324</v>
      </c>
      <c r="AE430" t="s">
        <v>33</v>
      </c>
    </row>
    <row r="431" spans="1:31">
      <c r="A431" t="s">
        <v>2325</v>
      </c>
      <c r="B431" t="s">
        <v>34</v>
      </c>
      <c r="C431" t="s">
        <v>1781</v>
      </c>
      <c r="D431" t="s">
        <v>116</v>
      </c>
      <c r="E431" t="s">
        <v>2326</v>
      </c>
      <c r="F431" s="1">
        <v>46072.452222222222</v>
      </c>
      <c r="G431" t="s">
        <v>470</v>
      </c>
      <c r="H431" t="s">
        <v>776</v>
      </c>
      <c r="I431" t="s">
        <v>3671</v>
      </c>
      <c r="J431" t="s">
        <v>44</v>
      </c>
      <c r="K431" t="s">
        <v>205</v>
      </c>
      <c r="L431" t="s">
        <v>46</v>
      </c>
      <c r="M431" t="s">
        <v>188</v>
      </c>
      <c r="N431" t="s">
        <v>521</v>
      </c>
      <c r="O431" t="s">
        <v>30</v>
      </c>
      <c r="P431" s="1">
        <v>46076.08693287037</v>
      </c>
      <c r="Q431" s="1">
        <v>46072.453229166669</v>
      </c>
      <c r="R431" t="s">
        <v>1775</v>
      </c>
      <c r="S431" t="s">
        <v>3342</v>
      </c>
      <c r="T431" t="s">
        <v>31</v>
      </c>
      <c r="U431" t="s">
        <v>206</v>
      </c>
      <c r="V431" t="s">
        <v>46</v>
      </c>
      <c r="W431" t="s">
        <v>188</v>
      </c>
      <c r="X431" t="s">
        <v>521</v>
      </c>
      <c r="Y431" t="s">
        <v>3659</v>
      </c>
      <c r="Z431" t="s">
        <v>3530</v>
      </c>
      <c r="AA431" t="s">
        <v>3528</v>
      </c>
      <c r="AB431" t="s">
        <v>32</v>
      </c>
      <c r="AC431" t="s">
        <v>2308</v>
      </c>
      <c r="AD431" t="s">
        <v>2309</v>
      </c>
      <c r="AE431" t="s">
        <v>33</v>
      </c>
    </row>
    <row r="432" spans="1:31" hidden="1">
      <c r="A432" t="s">
        <v>2327</v>
      </c>
      <c r="B432" t="s">
        <v>34</v>
      </c>
      <c r="C432" t="s">
        <v>2328</v>
      </c>
      <c r="D432" t="s">
        <v>2329</v>
      </c>
      <c r="E432" t="s">
        <v>2330</v>
      </c>
      <c r="F432" s="1">
        <v>46072.451678240737</v>
      </c>
      <c r="G432" t="s">
        <v>153</v>
      </c>
      <c r="H432" t="s">
        <v>776</v>
      </c>
      <c r="I432" t="s">
        <v>3669</v>
      </c>
      <c r="J432" t="s">
        <v>134</v>
      </c>
      <c r="K432" t="s">
        <v>2157</v>
      </c>
      <c r="L432" t="s">
        <v>46</v>
      </c>
      <c r="M432" t="s">
        <v>365</v>
      </c>
      <c r="N432" t="s">
        <v>1287</v>
      </c>
      <c r="O432" t="s">
        <v>30</v>
      </c>
      <c r="P432" s="1">
        <v>46076.086921296293</v>
      </c>
      <c r="Q432" s="1">
        <v>46072.465405092589</v>
      </c>
      <c r="R432" t="s">
        <v>1775</v>
      </c>
      <c r="S432" t="s">
        <v>3343</v>
      </c>
      <c r="T432" t="s">
        <v>31</v>
      </c>
      <c r="U432" t="s">
        <v>243</v>
      </c>
      <c r="V432" t="s">
        <v>46</v>
      </c>
      <c r="W432" t="s">
        <v>365</v>
      </c>
      <c r="X432" t="s">
        <v>1287</v>
      </c>
      <c r="Y432">
        <v>6584</v>
      </c>
      <c r="Z432" t="s">
        <v>3525</v>
      </c>
      <c r="AA432" t="s">
        <v>3528</v>
      </c>
      <c r="AB432" t="s">
        <v>32</v>
      </c>
      <c r="AC432" t="s">
        <v>2331</v>
      </c>
      <c r="AD432" t="s">
        <v>2332</v>
      </c>
      <c r="AE432" t="s">
        <v>33</v>
      </c>
    </row>
    <row r="433" spans="1:31">
      <c r="A433" t="s">
        <v>2333</v>
      </c>
      <c r="B433" t="s">
        <v>24</v>
      </c>
      <c r="C433" t="s">
        <v>525</v>
      </c>
      <c r="D433" t="s">
        <v>526</v>
      </c>
      <c r="E433" t="s">
        <v>2334</v>
      </c>
      <c r="F433" s="1">
        <v>46072.454247685186</v>
      </c>
      <c r="G433" t="s">
        <v>62</v>
      </c>
      <c r="H433" t="s">
        <v>776</v>
      </c>
      <c r="I433" t="s">
        <v>3668</v>
      </c>
      <c r="J433" t="s">
        <v>44</v>
      </c>
      <c r="K433" t="s">
        <v>179</v>
      </c>
      <c r="L433" t="s">
        <v>46</v>
      </c>
      <c r="M433" t="s">
        <v>443</v>
      </c>
      <c r="N433" t="s">
        <v>444</v>
      </c>
      <c r="O433" t="s">
        <v>86</v>
      </c>
      <c r="P433" s="1">
        <v>46077.461273148147</v>
      </c>
      <c r="Q433" s="1">
        <v>46077.46125</v>
      </c>
      <c r="R433" t="s">
        <v>38</v>
      </c>
      <c r="S433" t="s">
        <v>3344</v>
      </c>
      <c r="T433" t="s">
        <v>31</v>
      </c>
      <c r="U433" t="s">
        <v>350</v>
      </c>
      <c r="V433" t="s">
        <v>46</v>
      </c>
      <c r="W433" t="s">
        <v>3113</v>
      </c>
      <c r="X433" t="s">
        <v>3112</v>
      </c>
      <c r="Y433" t="s">
        <v>3561</v>
      </c>
      <c r="Z433" t="s">
        <v>3530</v>
      </c>
      <c r="AA433" t="s">
        <v>3526</v>
      </c>
      <c r="AB433" t="s">
        <v>32</v>
      </c>
      <c r="AC433" t="s">
        <v>527</v>
      </c>
      <c r="AD433" t="s">
        <v>528</v>
      </c>
      <c r="AE433" t="s">
        <v>33</v>
      </c>
    </row>
    <row r="434" spans="1:31">
      <c r="A434" t="s">
        <v>2335</v>
      </c>
      <c r="B434" t="s">
        <v>34</v>
      </c>
      <c r="C434" t="s">
        <v>402</v>
      </c>
      <c r="D434" t="s">
        <v>403</v>
      </c>
      <c r="E434" t="s">
        <v>2336</v>
      </c>
      <c r="F434" s="1">
        <v>46072.449791666666</v>
      </c>
      <c r="G434" t="s">
        <v>298</v>
      </c>
      <c r="H434" t="s">
        <v>776</v>
      </c>
      <c r="I434" t="s">
        <v>3669</v>
      </c>
      <c r="J434" t="s">
        <v>44</v>
      </c>
      <c r="K434" t="s">
        <v>1149</v>
      </c>
      <c r="L434" t="s">
        <v>46</v>
      </c>
      <c r="M434" t="s">
        <v>47</v>
      </c>
      <c r="N434" t="s">
        <v>48</v>
      </c>
      <c r="O434" t="s">
        <v>30</v>
      </c>
      <c r="P434" s="1">
        <v>46076.086886574078</v>
      </c>
      <c r="Q434" s="1">
        <v>46072.457175925927</v>
      </c>
      <c r="R434" t="s">
        <v>1775</v>
      </c>
      <c r="S434" t="s">
        <v>3196</v>
      </c>
      <c r="T434" t="s">
        <v>31</v>
      </c>
      <c r="U434" t="s">
        <v>1150</v>
      </c>
      <c r="V434" t="s">
        <v>46</v>
      </c>
      <c r="W434" t="s">
        <v>47</v>
      </c>
      <c r="X434" t="s">
        <v>48</v>
      </c>
      <c r="Y434">
        <v>12597</v>
      </c>
      <c r="Z434" t="s">
        <v>3530</v>
      </c>
      <c r="AA434" t="s">
        <v>3528</v>
      </c>
      <c r="AB434" t="s">
        <v>32</v>
      </c>
      <c r="AC434" t="s">
        <v>404</v>
      </c>
      <c r="AD434" t="s">
        <v>405</v>
      </c>
      <c r="AE434" t="s">
        <v>33</v>
      </c>
    </row>
    <row r="435" spans="1:31">
      <c r="A435" t="s">
        <v>2337</v>
      </c>
      <c r="B435" t="s">
        <v>34</v>
      </c>
      <c r="C435" t="s">
        <v>142</v>
      </c>
      <c r="D435" t="s">
        <v>2243</v>
      </c>
      <c r="E435" t="s">
        <v>679</v>
      </c>
      <c r="F435" s="1">
        <v>46072.447835648149</v>
      </c>
      <c r="G435" t="s">
        <v>210</v>
      </c>
      <c r="H435" t="s">
        <v>776</v>
      </c>
      <c r="I435" t="s">
        <v>3667</v>
      </c>
      <c r="J435" t="s">
        <v>44</v>
      </c>
      <c r="K435" t="s">
        <v>473</v>
      </c>
      <c r="L435" t="s">
        <v>162</v>
      </c>
      <c r="M435" t="s">
        <v>163</v>
      </c>
      <c r="N435" t="s">
        <v>164</v>
      </c>
      <c r="O435" t="s">
        <v>30</v>
      </c>
      <c r="P435" s="1">
        <v>46079.407847222225</v>
      </c>
      <c r="Q435" s="1">
        <v>46079.407824074071</v>
      </c>
      <c r="R435" t="s">
        <v>38</v>
      </c>
      <c r="S435" t="s">
        <v>3460</v>
      </c>
      <c r="T435" t="s">
        <v>31</v>
      </c>
      <c r="U435" t="s">
        <v>104</v>
      </c>
      <c r="V435" t="s">
        <v>46</v>
      </c>
      <c r="W435" t="s">
        <v>110</v>
      </c>
      <c r="X435" t="s">
        <v>3660</v>
      </c>
      <c r="Y435" t="s">
        <v>3656</v>
      </c>
      <c r="Z435" t="s">
        <v>3536</v>
      </c>
      <c r="AA435" t="s">
        <v>3526</v>
      </c>
      <c r="AB435" t="s">
        <v>32</v>
      </c>
      <c r="AC435" t="s">
        <v>2245</v>
      </c>
      <c r="AD435" t="s">
        <v>2246</v>
      </c>
      <c r="AE435" t="s">
        <v>33</v>
      </c>
    </row>
    <row r="436" spans="1:31" hidden="1">
      <c r="A436" t="s">
        <v>2338</v>
      </c>
      <c r="B436" t="s">
        <v>34</v>
      </c>
      <c r="C436" t="s">
        <v>79</v>
      </c>
      <c r="D436" t="s">
        <v>2339</v>
      </c>
      <c r="E436" t="s">
        <v>2340</v>
      </c>
      <c r="F436" s="1">
        <v>46072.449062500003</v>
      </c>
      <c r="G436" t="s">
        <v>470</v>
      </c>
      <c r="H436" t="s">
        <v>776</v>
      </c>
      <c r="I436" t="s">
        <v>3671</v>
      </c>
      <c r="J436" t="s">
        <v>44</v>
      </c>
      <c r="K436" t="s">
        <v>205</v>
      </c>
      <c r="L436" t="s">
        <v>46</v>
      </c>
      <c r="M436" t="s">
        <v>443</v>
      </c>
      <c r="N436" t="s">
        <v>792</v>
      </c>
      <c r="O436" t="s">
        <v>86</v>
      </c>
      <c r="P436" s="1">
        <v>46079.287222222221</v>
      </c>
      <c r="R436" t="s">
        <v>90</v>
      </c>
      <c r="T436" t="s">
        <v>31</v>
      </c>
      <c r="U436" t="s">
        <v>726</v>
      </c>
      <c r="Y436">
        <v>14532</v>
      </c>
      <c r="Z436" t="s">
        <v>3530</v>
      </c>
      <c r="AA436" t="s">
        <v>3541</v>
      </c>
      <c r="AB436" t="s">
        <v>32</v>
      </c>
      <c r="AC436" t="s">
        <v>2341</v>
      </c>
      <c r="AD436" t="s">
        <v>2342</v>
      </c>
      <c r="AE436" t="s">
        <v>33</v>
      </c>
    </row>
    <row r="437" spans="1:31">
      <c r="A437" t="s">
        <v>2343</v>
      </c>
      <c r="B437" t="s">
        <v>34</v>
      </c>
      <c r="C437" t="s">
        <v>1781</v>
      </c>
      <c r="D437" t="s">
        <v>116</v>
      </c>
      <c r="E437" t="s">
        <v>590</v>
      </c>
      <c r="F437" s="1">
        <v>46072.441631944443</v>
      </c>
      <c r="G437" t="s">
        <v>470</v>
      </c>
      <c r="H437" t="s">
        <v>776</v>
      </c>
      <c r="I437" t="s">
        <v>3671</v>
      </c>
      <c r="J437" t="s">
        <v>44</v>
      </c>
      <c r="K437" t="s">
        <v>205</v>
      </c>
      <c r="L437" t="s">
        <v>46</v>
      </c>
      <c r="M437" t="s">
        <v>379</v>
      </c>
      <c r="N437" t="s">
        <v>379</v>
      </c>
      <c r="O437" t="s">
        <v>30</v>
      </c>
      <c r="P437" s="1">
        <v>46076.086840277778</v>
      </c>
      <c r="Q437" s="1">
        <v>46072.442187499997</v>
      </c>
      <c r="R437" t="s">
        <v>1775</v>
      </c>
      <c r="S437" t="s">
        <v>3132</v>
      </c>
      <c r="T437" t="s">
        <v>31</v>
      </c>
      <c r="U437" t="s">
        <v>206</v>
      </c>
      <c r="V437" t="s">
        <v>46</v>
      </c>
      <c r="W437" t="s">
        <v>379</v>
      </c>
      <c r="X437" t="s">
        <v>379</v>
      </c>
      <c r="Y437" t="s">
        <v>3659</v>
      </c>
      <c r="Z437" t="s">
        <v>3530</v>
      </c>
      <c r="AA437" t="s">
        <v>3528</v>
      </c>
      <c r="AB437" t="s">
        <v>32</v>
      </c>
      <c r="AC437" t="s">
        <v>2308</v>
      </c>
      <c r="AD437" t="s">
        <v>2309</v>
      </c>
      <c r="AE437" t="s">
        <v>33</v>
      </c>
    </row>
    <row r="438" spans="1:31">
      <c r="A438" t="s">
        <v>2344</v>
      </c>
      <c r="B438" t="s">
        <v>34</v>
      </c>
      <c r="C438" t="s">
        <v>447</v>
      </c>
      <c r="D438" t="s">
        <v>2345</v>
      </c>
      <c r="E438" t="s">
        <v>2346</v>
      </c>
      <c r="F438" s="1">
        <v>46072.453217592592</v>
      </c>
      <c r="G438" t="s">
        <v>226</v>
      </c>
      <c r="H438" t="s">
        <v>776</v>
      </c>
      <c r="I438" t="s">
        <v>3665</v>
      </c>
      <c r="J438" t="s">
        <v>44</v>
      </c>
      <c r="K438" t="s">
        <v>733</v>
      </c>
      <c r="L438" t="s">
        <v>46</v>
      </c>
      <c r="M438" t="s">
        <v>47</v>
      </c>
      <c r="N438" t="s">
        <v>48</v>
      </c>
      <c r="O438" t="s">
        <v>30</v>
      </c>
      <c r="P438" s="1">
        <v>46076.086956018517</v>
      </c>
      <c r="Q438" s="1">
        <v>46072.573587962965</v>
      </c>
      <c r="R438" t="s">
        <v>1775</v>
      </c>
      <c r="S438" t="s">
        <v>3345</v>
      </c>
      <c r="T438" t="s">
        <v>31</v>
      </c>
      <c r="U438" t="s">
        <v>726</v>
      </c>
      <c r="V438" t="s">
        <v>46</v>
      </c>
      <c r="W438" t="s">
        <v>47</v>
      </c>
      <c r="X438" t="s">
        <v>48</v>
      </c>
      <c r="Y438">
        <v>11949</v>
      </c>
      <c r="Z438" t="s">
        <v>3530</v>
      </c>
      <c r="AA438" t="s">
        <v>3528</v>
      </c>
      <c r="AB438" t="s">
        <v>32</v>
      </c>
      <c r="AC438" t="s">
        <v>2347</v>
      </c>
      <c r="AD438" t="s">
        <v>2348</v>
      </c>
      <c r="AE438" t="s">
        <v>33</v>
      </c>
    </row>
    <row r="439" spans="1:31">
      <c r="A439" t="s">
        <v>2349</v>
      </c>
      <c r="B439" t="s">
        <v>24</v>
      </c>
      <c r="C439" t="s">
        <v>1673</v>
      </c>
      <c r="D439" t="s">
        <v>1028</v>
      </c>
      <c r="E439" t="s">
        <v>2350</v>
      </c>
      <c r="F439" s="1">
        <v>46072.437789351854</v>
      </c>
      <c r="G439" t="s">
        <v>118</v>
      </c>
      <c r="H439" t="s">
        <v>776</v>
      </c>
      <c r="I439" t="s">
        <v>3666</v>
      </c>
      <c r="J439" t="s">
        <v>44</v>
      </c>
      <c r="K439" t="s">
        <v>290</v>
      </c>
      <c r="L439" t="s">
        <v>46</v>
      </c>
      <c r="M439" t="s">
        <v>374</v>
      </c>
      <c r="N439" t="s">
        <v>618</v>
      </c>
      <c r="O439" t="s">
        <v>86</v>
      </c>
      <c r="P439" s="1">
        <v>46076.086840277778</v>
      </c>
      <c r="Q439" s="1">
        <v>46072.466990740744</v>
      </c>
      <c r="R439" t="s">
        <v>1775</v>
      </c>
      <c r="S439" t="s">
        <v>3346</v>
      </c>
      <c r="T439" t="s">
        <v>31</v>
      </c>
      <c r="U439" t="s">
        <v>190</v>
      </c>
      <c r="V439" t="s">
        <v>46</v>
      </c>
      <c r="W439" t="s">
        <v>374</v>
      </c>
      <c r="X439" t="s">
        <v>618</v>
      </c>
      <c r="Y439">
        <v>15272</v>
      </c>
      <c r="Z439" t="s">
        <v>3530</v>
      </c>
      <c r="AA439" t="s">
        <v>3528</v>
      </c>
      <c r="AB439" t="s">
        <v>181</v>
      </c>
      <c r="AC439" t="s">
        <v>2351</v>
      </c>
      <c r="AD439" t="s">
        <v>2352</v>
      </c>
      <c r="AE439" t="s">
        <v>33</v>
      </c>
    </row>
    <row r="440" spans="1:31">
      <c r="A440" t="s">
        <v>2353</v>
      </c>
      <c r="B440" t="s">
        <v>34</v>
      </c>
      <c r="C440" t="s">
        <v>483</v>
      </c>
      <c r="D440" t="s">
        <v>2354</v>
      </c>
      <c r="E440" t="s">
        <v>2355</v>
      </c>
      <c r="F440" s="1">
        <v>46072.435069444444</v>
      </c>
      <c r="G440" t="s">
        <v>424</v>
      </c>
      <c r="H440" t="s">
        <v>776</v>
      </c>
      <c r="I440" t="s">
        <v>3668</v>
      </c>
      <c r="J440" t="s">
        <v>44</v>
      </c>
      <c r="K440" t="s">
        <v>733</v>
      </c>
      <c r="L440" t="s">
        <v>46</v>
      </c>
      <c r="M440" t="s">
        <v>379</v>
      </c>
      <c r="N440" t="s">
        <v>379</v>
      </c>
      <c r="O440" t="s">
        <v>30</v>
      </c>
      <c r="P440" s="1">
        <v>46076.086828703701</v>
      </c>
      <c r="Q440" s="1">
        <v>46072.572951388887</v>
      </c>
      <c r="R440" t="s">
        <v>1775</v>
      </c>
      <c r="S440" t="s">
        <v>2355</v>
      </c>
      <c r="T440" t="s">
        <v>31</v>
      </c>
      <c r="U440" t="s">
        <v>726</v>
      </c>
      <c r="V440" t="s">
        <v>46</v>
      </c>
      <c r="W440" t="s">
        <v>379</v>
      </c>
      <c r="X440" t="s">
        <v>379</v>
      </c>
      <c r="Y440">
        <v>15713</v>
      </c>
      <c r="Z440" t="s">
        <v>3530</v>
      </c>
      <c r="AA440" t="s">
        <v>3528</v>
      </c>
      <c r="AB440" t="s">
        <v>32</v>
      </c>
      <c r="AC440" t="s">
        <v>2356</v>
      </c>
      <c r="AD440" t="s">
        <v>2357</v>
      </c>
      <c r="AE440" t="s">
        <v>33</v>
      </c>
    </row>
    <row r="441" spans="1:31" hidden="1">
      <c r="A441" t="s">
        <v>2358</v>
      </c>
      <c r="B441" t="s">
        <v>34</v>
      </c>
      <c r="C441" t="s">
        <v>2359</v>
      </c>
      <c r="D441" t="s">
        <v>2360</v>
      </c>
      <c r="E441" t="s">
        <v>1513</v>
      </c>
      <c r="F441" s="1">
        <v>46072.43377314815</v>
      </c>
      <c r="G441" t="s">
        <v>238</v>
      </c>
      <c r="H441" t="s">
        <v>776</v>
      </c>
      <c r="I441" t="s">
        <v>3665</v>
      </c>
      <c r="J441" t="s">
        <v>134</v>
      </c>
      <c r="K441" t="s">
        <v>949</v>
      </c>
      <c r="L441" t="s">
        <v>46</v>
      </c>
      <c r="M441" t="s">
        <v>659</v>
      </c>
      <c r="N441" t="s">
        <v>1514</v>
      </c>
      <c r="O441" t="s">
        <v>30</v>
      </c>
      <c r="P441" s="1">
        <v>46079.356770833336</v>
      </c>
      <c r="R441" t="s">
        <v>90</v>
      </c>
      <c r="T441" t="s">
        <v>31</v>
      </c>
      <c r="U441" t="s">
        <v>243</v>
      </c>
      <c r="Y441">
        <v>6361</v>
      </c>
      <c r="Z441" t="s">
        <v>3530</v>
      </c>
      <c r="AA441" t="s">
        <v>3535</v>
      </c>
      <c r="AB441" t="s">
        <v>32</v>
      </c>
      <c r="AC441" t="s">
        <v>2361</v>
      </c>
      <c r="AD441" t="s">
        <v>2362</v>
      </c>
      <c r="AE441" t="s">
        <v>33</v>
      </c>
    </row>
    <row r="442" spans="1:31" hidden="1">
      <c r="A442" t="s">
        <v>2363</v>
      </c>
      <c r="B442" t="s">
        <v>34</v>
      </c>
      <c r="C442" t="s">
        <v>2364</v>
      </c>
      <c r="D442" t="s">
        <v>2365</v>
      </c>
      <c r="E442" t="s">
        <v>95</v>
      </c>
      <c r="F442" s="1">
        <v>46072.426377314812</v>
      </c>
      <c r="G442" t="s">
        <v>93</v>
      </c>
      <c r="H442" t="s">
        <v>776</v>
      </c>
      <c r="I442" t="s">
        <v>3666</v>
      </c>
      <c r="J442" t="s">
        <v>134</v>
      </c>
      <c r="K442" t="s">
        <v>1301</v>
      </c>
      <c r="L442" t="s">
        <v>162</v>
      </c>
      <c r="M442" t="s">
        <v>163</v>
      </c>
      <c r="N442" t="s">
        <v>164</v>
      </c>
      <c r="O442" t="s">
        <v>30</v>
      </c>
      <c r="P442" s="1">
        <v>46076.086793981478</v>
      </c>
      <c r="Q442" s="1">
        <v>46072.518043981479</v>
      </c>
      <c r="R442" t="s">
        <v>1775</v>
      </c>
      <c r="S442" t="s">
        <v>3347</v>
      </c>
      <c r="T442" t="s">
        <v>31</v>
      </c>
      <c r="U442" t="s">
        <v>104</v>
      </c>
      <c r="V442" t="s">
        <v>46</v>
      </c>
      <c r="W442" t="s">
        <v>682</v>
      </c>
      <c r="X442" t="s">
        <v>3231</v>
      </c>
      <c r="Y442">
        <v>15143</v>
      </c>
      <c r="Z442" t="s">
        <v>3536</v>
      </c>
      <c r="AA442" t="s">
        <v>3528</v>
      </c>
      <c r="AB442" t="s">
        <v>32</v>
      </c>
      <c r="AC442" t="s">
        <v>2366</v>
      </c>
      <c r="AD442" t="s">
        <v>2367</v>
      </c>
      <c r="AE442" t="s">
        <v>33</v>
      </c>
    </row>
    <row r="443" spans="1:31">
      <c r="A443" t="s">
        <v>2368</v>
      </c>
      <c r="B443" t="s">
        <v>34</v>
      </c>
      <c r="C443" t="s">
        <v>2369</v>
      </c>
      <c r="D443" t="s">
        <v>2370</v>
      </c>
      <c r="E443" t="s">
        <v>1038</v>
      </c>
      <c r="F443" s="1">
        <v>46072.42596064815</v>
      </c>
      <c r="G443" t="s">
        <v>153</v>
      </c>
      <c r="H443" t="s">
        <v>776</v>
      </c>
      <c r="I443" t="s">
        <v>3669</v>
      </c>
      <c r="J443" t="s">
        <v>44</v>
      </c>
      <c r="K443" t="s">
        <v>473</v>
      </c>
      <c r="L443" t="s">
        <v>162</v>
      </c>
      <c r="M443" t="s">
        <v>163</v>
      </c>
      <c r="N443" t="s">
        <v>164</v>
      </c>
      <c r="O443" t="s">
        <v>30</v>
      </c>
      <c r="P443" s="1">
        <v>46078.438472222224</v>
      </c>
      <c r="Q443" s="1">
        <v>46078.438425925924</v>
      </c>
      <c r="R443" t="s">
        <v>38</v>
      </c>
      <c r="S443" t="s">
        <v>3348</v>
      </c>
      <c r="T443" t="s">
        <v>31</v>
      </c>
      <c r="U443" t="s">
        <v>104</v>
      </c>
      <c r="V443" t="s">
        <v>46</v>
      </c>
      <c r="W443" t="s">
        <v>110</v>
      </c>
      <c r="X443" t="s">
        <v>3349</v>
      </c>
      <c r="Y443">
        <v>6329</v>
      </c>
      <c r="Z443" t="s">
        <v>3536</v>
      </c>
      <c r="AA443" t="s">
        <v>3526</v>
      </c>
      <c r="AB443" t="s">
        <v>32</v>
      </c>
      <c r="AC443" t="s">
        <v>2371</v>
      </c>
      <c r="AD443" t="s">
        <v>2372</v>
      </c>
      <c r="AE443" t="s">
        <v>33</v>
      </c>
    </row>
    <row r="444" spans="1:31">
      <c r="A444" t="s">
        <v>2373</v>
      </c>
      <c r="B444" t="s">
        <v>24</v>
      </c>
      <c r="C444" t="s">
        <v>984</v>
      </c>
      <c r="D444" t="s">
        <v>598</v>
      </c>
      <c r="E444" t="s">
        <v>2374</v>
      </c>
      <c r="F444" s="1">
        <v>46072.424201388887</v>
      </c>
      <c r="G444" t="s">
        <v>333</v>
      </c>
      <c r="H444" t="s">
        <v>776</v>
      </c>
      <c r="I444" t="s">
        <v>3671</v>
      </c>
      <c r="J444" t="s">
        <v>44</v>
      </c>
      <c r="K444" t="s">
        <v>179</v>
      </c>
      <c r="L444" t="s">
        <v>46</v>
      </c>
      <c r="M444" t="s">
        <v>454</v>
      </c>
      <c r="N444" t="s">
        <v>455</v>
      </c>
      <c r="O444" t="s">
        <v>86</v>
      </c>
      <c r="P444" s="1">
        <v>46076.504178240742</v>
      </c>
      <c r="Q444" s="1">
        <v>46076.504131944443</v>
      </c>
      <c r="R444" t="s">
        <v>38</v>
      </c>
      <c r="S444" t="s">
        <v>3236</v>
      </c>
      <c r="T444" t="s">
        <v>31</v>
      </c>
      <c r="U444" t="s">
        <v>350</v>
      </c>
      <c r="V444" t="s">
        <v>46</v>
      </c>
      <c r="W444" t="s">
        <v>454</v>
      </c>
      <c r="X444" t="s">
        <v>3350</v>
      </c>
      <c r="Y444">
        <v>11680</v>
      </c>
      <c r="Z444" t="s">
        <v>3530</v>
      </c>
      <c r="AA444" t="s">
        <v>3526</v>
      </c>
      <c r="AB444" t="s">
        <v>32</v>
      </c>
      <c r="AC444" t="s">
        <v>1045</v>
      </c>
      <c r="AD444" t="s">
        <v>1046</v>
      </c>
      <c r="AE444" t="s">
        <v>33</v>
      </c>
    </row>
    <row r="445" spans="1:31">
      <c r="A445" t="s">
        <v>2375</v>
      </c>
      <c r="B445" t="s">
        <v>34</v>
      </c>
      <c r="C445" t="s">
        <v>1240</v>
      </c>
      <c r="D445" t="s">
        <v>79</v>
      </c>
      <c r="E445" t="s">
        <v>109</v>
      </c>
      <c r="F445" s="1">
        <v>46072.422893518517</v>
      </c>
      <c r="G445" t="s">
        <v>74</v>
      </c>
      <c r="H445" t="s">
        <v>776</v>
      </c>
      <c r="I445" t="s">
        <v>3665</v>
      </c>
      <c r="J445" t="s">
        <v>44</v>
      </c>
      <c r="K445" t="s">
        <v>1149</v>
      </c>
      <c r="L445" t="s">
        <v>46</v>
      </c>
      <c r="M445" t="s">
        <v>110</v>
      </c>
      <c r="N445" t="s">
        <v>111</v>
      </c>
      <c r="O445" t="s">
        <v>30</v>
      </c>
      <c r="P445" s="1">
        <v>46076.086782407408</v>
      </c>
      <c r="Q445" s="1">
        <v>46072.457465277781</v>
      </c>
      <c r="R445" t="s">
        <v>1775</v>
      </c>
      <c r="S445" t="s">
        <v>3193</v>
      </c>
      <c r="T445" t="s">
        <v>31</v>
      </c>
      <c r="U445" t="s">
        <v>1150</v>
      </c>
      <c r="V445" t="s">
        <v>46</v>
      </c>
      <c r="W445" t="s">
        <v>110</v>
      </c>
      <c r="X445" t="s">
        <v>111</v>
      </c>
      <c r="Y445">
        <v>15383</v>
      </c>
      <c r="Z445" t="s">
        <v>3530</v>
      </c>
      <c r="AA445" t="s">
        <v>3528</v>
      </c>
      <c r="AB445" t="s">
        <v>32</v>
      </c>
      <c r="AC445" t="s">
        <v>1242</v>
      </c>
      <c r="AD445" t="s">
        <v>1243</v>
      </c>
      <c r="AE445" t="s">
        <v>33</v>
      </c>
    </row>
    <row r="446" spans="1:31">
      <c r="A446" t="s">
        <v>2376</v>
      </c>
      <c r="B446" t="s">
        <v>34</v>
      </c>
      <c r="C446" t="s">
        <v>2377</v>
      </c>
      <c r="D446" t="s">
        <v>2378</v>
      </c>
      <c r="E446" t="s">
        <v>590</v>
      </c>
      <c r="F446" s="1">
        <v>46072.420706018522</v>
      </c>
      <c r="G446" t="s">
        <v>804</v>
      </c>
      <c r="H446" t="s">
        <v>776</v>
      </c>
      <c r="I446" t="s">
        <v>3669</v>
      </c>
      <c r="J446" t="s">
        <v>44</v>
      </c>
      <c r="K446" t="s">
        <v>205</v>
      </c>
      <c r="L446" t="s">
        <v>46</v>
      </c>
      <c r="M446" t="s">
        <v>379</v>
      </c>
      <c r="N446" t="s">
        <v>379</v>
      </c>
      <c r="O446" t="s">
        <v>30</v>
      </c>
      <c r="P446" s="1">
        <v>46076.086759259262</v>
      </c>
      <c r="Q446" s="1">
        <v>46072.420972222222</v>
      </c>
      <c r="R446" t="s">
        <v>1775</v>
      </c>
      <c r="S446" t="s">
        <v>3132</v>
      </c>
      <c r="T446" t="s">
        <v>31</v>
      </c>
      <c r="U446" t="s">
        <v>206</v>
      </c>
      <c r="V446" t="s">
        <v>46</v>
      </c>
      <c r="W446" t="s">
        <v>379</v>
      </c>
      <c r="X446" t="s">
        <v>379</v>
      </c>
      <c r="Y446">
        <v>1050</v>
      </c>
      <c r="Z446" t="s">
        <v>3530</v>
      </c>
      <c r="AA446" t="s">
        <v>3528</v>
      </c>
      <c r="AB446" t="s">
        <v>32</v>
      </c>
      <c r="AC446" t="s">
        <v>2379</v>
      </c>
      <c r="AD446" t="s">
        <v>2380</v>
      </c>
      <c r="AE446" t="s">
        <v>33</v>
      </c>
    </row>
    <row r="447" spans="1:31" hidden="1">
      <c r="A447" t="s">
        <v>2381</v>
      </c>
      <c r="B447" t="s">
        <v>34</v>
      </c>
      <c r="C447" t="s">
        <v>418</v>
      </c>
      <c r="D447" t="s">
        <v>760</v>
      </c>
      <c r="E447" t="s">
        <v>2382</v>
      </c>
      <c r="F447" s="1">
        <v>46072.41605324074</v>
      </c>
      <c r="G447" t="s">
        <v>128</v>
      </c>
      <c r="H447" t="s">
        <v>776</v>
      </c>
      <c r="I447" t="s">
        <v>3668</v>
      </c>
      <c r="J447" t="s">
        <v>134</v>
      </c>
      <c r="K447" t="s">
        <v>2383</v>
      </c>
      <c r="L447" t="s">
        <v>46</v>
      </c>
      <c r="M447" t="s">
        <v>659</v>
      </c>
      <c r="N447" t="s">
        <v>1514</v>
      </c>
      <c r="O447" t="s">
        <v>30</v>
      </c>
      <c r="P447" s="1">
        <v>46079.287210648145</v>
      </c>
      <c r="R447" t="s">
        <v>90</v>
      </c>
      <c r="T447" t="s">
        <v>31</v>
      </c>
      <c r="U447" t="s">
        <v>243</v>
      </c>
      <c r="Y447">
        <v>14511</v>
      </c>
      <c r="Z447" t="s">
        <v>3530</v>
      </c>
      <c r="AA447" t="s">
        <v>3541</v>
      </c>
      <c r="AB447" t="s">
        <v>32</v>
      </c>
      <c r="AC447" t="s">
        <v>2384</v>
      </c>
      <c r="AD447" t="s">
        <v>2385</v>
      </c>
      <c r="AE447" t="s">
        <v>33</v>
      </c>
    </row>
    <row r="448" spans="1:31">
      <c r="A448" t="s">
        <v>2386</v>
      </c>
      <c r="B448" t="s">
        <v>34</v>
      </c>
      <c r="C448" t="s">
        <v>1240</v>
      </c>
      <c r="D448" t="s">
        <v>79</v>
      </c>
      <c r="E448" t="s">
        <v>80</v>
      </c>
      <c r="F448" s="1">
        <v>46072.411481481482</v>
      </c>
      <c r="G448" t="s">
        <v>74</v>
      </c>
      <c r="H448" t="s">
        <v>776</v>
      </c>
      <c r="I448" t="s">
        <v>3665</v>
      </c>
      <c r="J448" t="s">
        <v>44</v>
      </c>
      <c r="K448" t="s">
        <v>290</v>
      </c>
      <c r="L448" t="s">
        <v>46</v>
      </c>
      <c r="M448" t="s">
        <v>379</v>
      </c>
      <c r="N448" t="s">
        <v>379</v>
      </c>
      <c r="O448" t="s">
        <v>30</v>
      </c>
      <c r="P448" s="1">
        <v>46076.086689814816</v>
      </c>
      <c r="Q448" s="1">
        <v>46072.412395833337</v>
      </c>
      <c r="R448" t="s">
        <v>1775</v>
      </c>
      <c r="S448" t="s">
        <v>3351</v>
      </c>
      <c r="T448" t="s">
        <v>31</v>
      </c>
      <c r="U448" t="s">
        <v>190</v>
      </c>
      <c r="V448" t="s">
        <v>46</v>
      </c>
      <c r="W448" t="s">
        <v>379</v>
      </c>
      <c r="X448" t="s">
        <v>379</v>
      </c>
      <c r="Y448">
        <v>15383</v>
      </c>
      <c r="Z448" t="s">
        <v>3530</v>
      </c>
      <c r="AA448" t="s">
        <v>3528</v>
      </c>
      <c r="AB448" t="s">
        <v>32</v>
      </c>
      <c r="AC448" t="s">
        <v>1242</v>
      </c>
      <c r="AD448" t="s">
        <v>1243</v>
      </c>
      <c r="AE448" t="s">
        <v>33</v>
      </c>
    </row>
    <row r="449" spans="1:31">
      <c r="A449" t="s">
        <v>2387</v>
      </c>
      <c r="B449" t="s">
        <v>34</v>
      </c>
      <c r="C449" t="s">
        <v>142</v>
      </c>
      <c r="D449" t="s">
        <v>2243</v>
      </c>
      <c r="E449" t="s">
        <v>80</v>
      </c>
      <c r="F449" s="1">
        <v>46072.408784722225</v>
      </c>
      <c r="G449" t="s">
        <v>210</v>
      </c>
      <c r="H449" t="s">
        <v>776</v>
      </c>
      <c r="I449" t="s">
        <v>3667</v>
      </c>
      <c r="J449" t="s">
        <v>44</v>
      </c>
      <c r="K449" t="s">
        <v>290</v>
      </c>
      <c r="L449" t="s">
        <v>46</v>
      </c>
      <c r="M449" t="s">
        <v>379</v>
      </c>
      <c r="N449" t="s">
        <v>379</v>
      </c>
      <c r="O449" t="s">
        <v>30</v>
      </c>
      <c r="P449" s="1">
        <v>46076.08666666667</v>
      </c>
      <c r="Q449" s="1">
        <v>46072.409525462965</v>
      </c>
      <c r="R449" t="s">
        <v>1775</v>
      </c>
      <c r="S449" t="s">
        <v>3351</v>
      </c>
      <c r="T449" t="s">
        <v>31</v>
      </c>
      <c r="U449" t="s">
        <v>190</v>
      </c>
      <c r="V449" t="s">
        <v>46</v>
      </c>
      <c r="W449" t="s">
        <v>379</v>
      </c>
      <c r="X449" t="s">
        <v>379</v>
      </c>
      <c r="Y449" t="s">
        <v>3656</v>
      </c>
      <c r="Z449" t="s">
        <v>3530</v>
      </c>
      <c r="AA449" t="s">
        <v>3528</v>
      </c>
      <c r="AB449" t="s">
        <v>32</v>
      </c>
      <c r="AC449" t="s">
        <v>2245</v>
      </c>
      <c r="AD449" t="s">
        <v>2246</v>
      </c>
      <c r="AE449" t="s">
        <v>33</v>
      </c>
    </row>
    <row r="450" spans="1:31">
      <c r="A450" t="s">
        <v>2388</v>
      </c>
      <c r="B450" t="s">
        <v>34</v>
      </c>
      <c r="C450" t="s">
        <v>25</v>
      </c>
      <c r="D450" t="s">
        <v>419</v>
      </c>
      <c r="E450" t="s">
        <v>2389</v>
      </c>
      <c r="F450" s="1">
        <v>46072.410486111112</v>
      </c>
      <c r="G450" t="s">
        <v>755</v>
      </c>
      <c r="H450" t="s">
        <v>776</v>
      </c>
      <c r="I450" t="s">
        <v>3669</v>
      </c>
      <c r="J450" t="s">
        <v>44</v>
      </c>
      <c r="K450" t="s">
        <v>438</v>
      </c>
      <c r="L450" t="s">
        <v>46</v>
      </c>
      <c r="M450" t="s">
        <v>94</v>
      </c>
      <c r="N450" t="s">
        <v>2390</v>
      </c>
      <c r="O450" t="s">
        <v>30</v>
      </c>
      <c r="P450" s="1">
        <v>46078.360555555555</v>
      </c>
      <c r="Q450" s="1">
        <v>46078.360520833332</v>
      </c>
      <c r="R450" t="s">
        <v>38</v>
      </c>
      <c r="S450" t="s">
        <v>3352</v>
      </c>
      <c r="T450" t="s">
        <v>31</v>
      </c>
      <c r="U450" t="s">
        <v>227</v>
      </c>
      <c r="V450" t="s">
        <v>46</v>
      </c>
      <c r="W450" t="s">
        <v>94</v>
      </c>
      <c r="X450" t="s">
        <v>2390</v>
      </c>
      <c r="Y450">
        <v>13511</v>
      </c>
      <c r="Z450" t="s">
        <v>3525</v>
      </c>
      <c r="AA450" t="s">
        <v>3526</v>
      </c>
      <c r="AB450" t="s">
        <v>32</v>
      </c>
      <c r="AC450" t="s">
        <v>2391</v>
      </c>
      <c r="AD450" t="s">
        <v>2392</v>
      </c>
      <c r="AE450" t="s">
        <v>33</v>
      </c>
    </row>
    <row r="451" spans="1:31">
      <c r="A451" t="s">
        <v>2393</v>
      </c>
      <c r="B451" t="s">
        <v>34</v>
      </c>
      <c r="C451" t="s">
        <v>2394</v>
      </c>
      <c r="D451" t="s">
        <v>2395</v>
      </c>
      <c r="E451" t="s">
        <v>109</v>
      </c>
      <c r="F451" s="1">
        <v>46072.407557870371</v>
      </c>
      <c r="G451" t="s">
        <v>101</v>
      </c>
      <c r="H451" t="s">
        <v>776</v>
      </c>
      <c r="I451" t="s">
        <v>3667</v>
      </c>
      <c r="J451" t="s">
        <v>44</v>
      </c>
      <c r="K451" t="s">
        <v>1149</v>
      </c>
      <c r="L451" t="s">
        <v>46</v>
      </c>
      <c r="M451" t="s">
        <v>110</v>
      </c>
      <c r="N451" t="s">
        <v>111</v>
      </c>
      <c r="O451" t="s">
        <v>30</v>
      </c>
      <c r="P451" s="1">
        <v>46076.086655092593</v>
      </c>
      <c r="Q451" s="1">
        <v>46072.457650462966</v>
      </c>
      <c r="R451" t="s">
        <v>1775</v>
      </c>
      <c r="S451" t="s">
        <v>3193</v>
      </c>
      <c r="T451" t="s">
        <v>31</v>
      </c>
      <c r="U451" t="s">
        <v>1150</v>
      </c>
      <c r="V451" t="s">
        <v>46</v>
      </c>
      <c r="W451" t="s">
        <v>110</v>
      </c>
      <c r="X451" t="s">
        <v>111</v>
      </c>
      <c r="Y451">
        <v>11114</v>
      </c>
      <c r="Z451" t="s">
        <v>3530</v>
      </c>
      <c r="AA451" t="s">
        <v>3528</v>
      </c>
      <c r="AB451" t="s">
        <v>32</v>
      </c>
      <c r="AC451" t="s">
        <v>2396</v>
      </c>
      <c r="AD451" t="s">
        <v>2397</v>
      </c>
      <c r="AE451" t="s">
        <v>33</v>
      </c>
    </row>
    <row r="452" spans="1:31" hidden="1">
      <c r="A452" t="s">
        <v>2399</v>
      </c>
      <c r="B452" t="s">
        <v>34</v>
      </c>
      <c r="C452" t="s">
        <v>2400</v>
      </c>
      <c r="D452" t="s">
        <v>2401</v>
      </c>
      <c r="E452" t="s">
        <v>2402</v>
      </c>
      <c r="F452" s="1">
        <v>46072.404710648145</v>
      </c>
      <c r="G452" t="s">
        <v>238</v>
      </c>
      <c r="H452" t="s">
        <v>776</v>
      </c>
      <c r="I452" t="s">
        <v>3665</v>
      </c>
      <c r="J452" t="s">
        <v>134</v>
      </c>
      <c r="K452" t="s">
        <v>817</v>
      </c>
      <c r="L452" t="s">
        <v>46</v>
      </c>
      <c r="M452" t="s">
        <v>495</v>
      </c>
      <c r="N452" t="s">
        <v>2403</v>
      </c>
      <c r="O452" t="s">
        <v>37</v>
      </c>
      <c r="P452" s="1">
        <v>46076.086631944447</v>
      </c>
      <c r="Q452" s="1">
        <v>46072.413703703707</v>
      </c>
      <c r="R452" t="s">
        <v>1775</v>
      </c>
      <c r="S452" t="s">
        <v>3353</v>
      </c>
      <c r="T452" t="s">
        <v>31</v>
      </c>
      <c r="U452" t="s">
        <v>726</v>
      </c>
      <c r="V452" t="s">
        <v>46</v>
      </c>
      <c r="W452" t="s">
        <v>495</v>
      </c>
      <c r="X452" t="s">
        <v>2403</v>
      </c>
      <c r="Y452">
        <v>13584</v>
      </c>
      <c r="Z452" t="s">
        <v>3530</v>
      </c>
      <c r="AA452" t="s">
        <v>3528</v>
      </c>
      <c r="AB452" t="s">
        <v>32</v>
      </c>
      <c r="AC452" t="s">
        <v>2404</v>
      </c>
      <c r="AD452" t="s">
        <v>2405</v>
      </c>
      <c r="AE452" t="s">
        <v>33</v>
      </c>
    </row>
    <row r="453" spans="1:31" hidden="1">
      <c r="A453" t="s">
        <v>2410</v>
      </c>
      <c r="B453" t="s">
        <v>34</v>
      </c>
      <c r="C453" t="s">
        <v>447</v>
      </c>
      <c r="D453" t="s">
        <v>1541</v>
      </c>
      <c r="E453" t="s">
        <v>2411</v>
      </c>
      <c r="F453" s="1">
        <v>46072.401064814818</v>
      </c>
      <c r="G453" t="s">
        <v>39</v>
      </c>
      <c r="H453" t="s">
        <v>776</v>
      </c>
      <c r="I453" t="s">
        <v>3667</v>
      </c>
      <c r="J453" t="s">
        <v>134</v>
      </c>
      <c r="K453" t="s">
        <v>477</v>
      </c>
      <c r="L453" t="s">
        <v>46</v>
      </c>
      <c r="M453" t="s">
        <v>365</v>
      </c>
      <c r="N453" t="s">
        <v>1557</v>
      </c>
      <c r="O453" t="s">
        <v>37</v>
      </c>
      <c r="P453" s="1">
        <v>46076.086631944447</v>
      </c>
      <c r="Q453" s="1">
        <v>46072.46802083333</v>
      </c>
      <c r="R453" t="s">
        <v>1775</v>
      </c>
      <c r="S453" t="s">
        <v>3354</v>
      </c>
      <c r="T453" t="s">
        <v>31</v>
      </c>
      <c r="U453" t="s">
        <v>243</v>
      </c>
      <c r="V453" t="s">
        <v>46</v>
      </c>
      <c r="W453" t="s">
        <v>365</v>
      </c>
      <c r="X453" t="s">
        <v>1557</v>
      </c>
      <c r="Y453">
        <v>13357</v>
      </c>
      <c r="Z453" t="s">
        <v>3530</v>
      </c>
      <c r="AA453" t="s">
        <v>3528</v>
      </c>
      <c r="AB453" t="s">
        <v>32</v>
      </c>
      <c r="AC453" t="s">
        <v>2297</v>
      </c>
      <c r="AD453" t="s">
        <v>2298</v>
      </c>
      <c r="AE453" t="s">
        <v>33</v>
      </c>
    </row>
    <row r="454" spans="1:31">
      <c r="A454" t="s">
        <v>2412</v>
      </c>
      <c r="B454" t="s">
        <v>24</v>
      </c>
      <c r="C454" t="s">
        <v>220</v>
      </c>
      <c r="D454" t="s">
        <v>1871</v>
      </c>
      <c r="E454" t="s">
        <v>2413</v>
      </c>
      <c r="F454" s="1">
        <v>46072.398344907408</v>
      </c>
      <c r="G454" t="s">
        <v>118</v>
      </c>
      <c r="H454" t="s">
        <v>776</v>
      </c>
      <c r="I454" t="s">
        <v>3666</v>
      </c>
      <c r="J454" t="s">
        <v>44</v>
      </c>
      <c r="K454" t="s">
        <v>253</v>
      </c>
      <c r="L454" t="s">
        <v>162</v>
      </c>
      <c r="M454" t="s">
        <v>163</v>
      </c>
      <c r="N454" t="s">
        <v>164</v>
      </c>
      <c r="O454" t="s">
        <v>86</v>
      </c>
      <c r="P454" s="1">
        <v>46077.417141203703</v>
      </c>
      <c r="Q454" s="1">
        <v>46077.417071759257</v>
      </c>
      <c r="R454" t="s">
        <v>38</v>
      </c>
      <c r="S454" t="s">
        <v>3355</v>
      </c>
      <c r="T454" t="s">
        <v>31</v>
      </c>
      <c r="U454" t="s">
        <v>104</v>
      </c>
      <c r="V454" t="s">
        <v>46</v>
      </c>
      <c r="W454" t="s">
        <v>454</v>
      </c>
      <c r="X454" t="s">
        <v>3350</v>
      </c>
      <c r="Y454">
        <v>12182</v>
      </c>
      <c r="Z454" t="s">
        <v>3536</v>
      </c>
      <c r="AA454" t="s">
        <v>3526</v>
      </c>
      <c r="AB454" t="s">
        <v>32</v>
      </c>
      <c r="AC454" t="s">
        <v>1872</v>
      </c>
      <c r="AD454" t="s">
        <v>1873</v>
      </c>
      <c r="AE454" t="s">
        <v>33</v>
      </c>
    </row>
    <row r="455" spans="1:31" hidden="1">
      <c r="A455" t="s">
        <v>2414</v>
      </c>
      <c r="B455" t="s">
        <v>24</v>
      </c>
      <c r="C455" t="s">
        <v>2415</v>
      </c>
      <c r="D455" t="s">
        <v>2416</v>
      </c>
      <c r="E455" t="s">
        <v>2409</v>
      </c>
      <c r="F455" s="1">
        <v>46072.396099537036</v>
      </c>
      <c r="G455" t="s">
        <v>555</v>
      </c>
      <c r="H455" t="s">
        <v>776</v>
      </c>
      <c r="I455" t="s">
        <v>3666</v>
      </c>
      <c r="J455" t="s">
        <v>44</v>
      </c>
      <c r="K455" t="s">
        <v>253</v>
      </c>
      <c r="L455" t="s">
        <v>46</v>
      </c>
      <c r="M455" t="s">
        <v>313</v>
      </c>
      <c r="N455" t="s">
        <v>547</v>
      </c>
      <c r="O455" t="s">
        <v>86</v>
      </c>
      <c r="P455" s="1">
        <v>46079.320821759262</v>
      </c>
      <c r="R455" t="s">
        <v>90</v>
      </c>
      <c r="T455" t="s">
        <v>31</v>
      </c>
      <c r="U455" t="s">
        <v>367</v>
      </c>
      <c r="Y455">
        <v>14125</v>
      </c>
      <c r="Z455" t="s">
        <v>3530</v>
      </c>
      <c r="AA455" t="s">
        <v>3551</v>
      </c>
      <c r="AB455" t="s">
        <v>32</v>
      </c>
      <c r="AC455" t="s">
        <v>2417</v>
      </c>
      <c r="AD455" t="s">
        <v>2418</v>
      </c>
      <c r="AE455" t="s">
        <v>33</v>
      </c>
    </row>
    <row r="456" spans="1:31" hidden="1">
      <c r="A456" t="s">
        <v>2419</v>
      </c>
      <c r="B456" t="s">
        <v>24</v>
      </c>
      <c r="C456" t="s">
        <v>149</v>
      </c>
      <c r="D456" t="s">
        <v>581</v>
      </c>
      <c r="E456" t="s">
        <v>347</v>
      </c>
      <c r="F456" s="1">
        <v>46072.395104166666</v>
      </c>
      <c r="G456" t="s">
        <v>283</v>
      </c>
      <c r="H456" t="s">
        <v>776</v>
      </c>
      <c r="I456" t="s">
        <v>3670</v>
      </c>
      <c r="J456" t="s">
        <v>44</v>
      </c>
      <c r="K456" t="s">
        <v>179</v>
      </c>
      <c r="L456" t="s">
        <v>46</v>
      </c>
      <c r="M456" t="s">
        <v>348</v>
      </c>
      <c r="N456" t="s">
        <v>349</v>
      </c>
      <c r="O456" t="s">
        <v>86</v>
      </c>
      <c r="P456" s="1">
        <v>46079.404583333337</v>
      </c>
      <c r="R456" t="s">
        <v>90</v>
      </c>
      <c r="T456" t="s">
        <v>31</v>
      </c>
      <c r="U456" t="s">
        <v>350</v>
      </c>
      <c r="V456" t="s">
        <v>46</v>
      </c>
      <c r="W456" t="s">
        <v>454</v>
      </c>
      <c r="X456" t="s">
        <v>488</v>
      </c>
      <c r="Y456">
        <v>13276</v>
      </c>
      <c r="Z456" t="s">
        <v>3530</v>
      </c>
      <c r="AA456" t="s">
        <v>3551</v>
      </c>
      <c r="AB456" t="s">
        <v>32</v>
      </c>
      <c r="AC456" t="s">
        <v>584</v>
      </c>
      <c r="AD456" t="s">
        <v>585</v>
      </c>
      <c r="AE456" t="s">
        <v>33</v>
      </c>
    </row>
    <row r="457" spans="1:31">
      <c r="A457" t="s">
        <v>2424</v>
      </c>
      <c r="B457" t="s">
        <v>34</v>
      </c>
      <c r="C457" t="s">
        <v>575</v>
      </c>
      <c r="D457" t="s">
        <v>65</v>
      </c>
      <c r="E457" t="s">
        <v>608</v>
      </c>
      <c r="F457" s="1">
        <v>46072.384247685186</v>
      </c>
      <c r="G457" t="s">
        <v>242</v>
      </c>
      <c r="H457" t="s">
        <v>776</v>
      </c>
      <c r="I457" t="s">
        <v>3671</v>
      </c>
      <c r="J457" t="s">
        <v>44</v>
      </c>
      <c r="K457" t="s">
        <v>205</v>
      </c>
      <c r="L457" t="s">
        <v>46</v>
      </c>
      <c r="M457" t="s">
        <v>379</v>
      </c>
      <c r="N457" t="s">
        <v>379</v>
      </c>
      <c r="O457" t="s">
        <v>30</v>
      </c>
      <c r="P457" s="1">
        <v>46076.086550925924</v>
      </c>
      <c r="Q457" s="1">
        <v>46072.384479166663</v>
      </c>
      <c r="R457" t="s">
        <v>1775</v>
      </c>
      <c r="S457" t="s">
        <v>3134</v>
      </c>
      <c r="T457" t="s">
        <v>31</v>
      </c>
      <c r="U457" t="s">
        <v>206</v>
      </c>
      <c r="V457" t="s">
        <v>46</v>
      </c>
      <c r="W457" t="s">
        <v>379</v>
      </c>
      <c r="X457" t="s">
        <v>379</v>
      </c>
      <c r="Y457">
        <v>15531</v>
      </c>
      <c r="Z457" t="s">
        <v>3530</v>
      </c>
      <c r="AA457" t="s">
        <v>3528</v>
      </c>
      <c r="AB457" t="s">
        <v>32</v>
      </c>
      <c r="AC457" t="s">
        <v>952</v>
      </c>
      <c r="AD457" t="s">
        <v>953</v>
      </c>
      <c r="AE457" t="s">
        <v>33</v>
      </c>
    </row>
    <row r="458" spans="1:31">
      <c r="A458" t="s">
        <v>2425</v>
      </c>
      <c r="B458" t="s">
        <v>34</v>
      </c>
      <c r="C458" t="s">
        <v>483</v>
      </c>
      <c r="D458" t="s">
        <v>970</v>
      </c>
      <c r="E458" t="s">
        <v>2426</v>
      </c>
      <c r="F458" s="1">
        <v>46072.380023148151</v>
      </c>
      <c r="G458" t="s">
        <v>186</v>
      </c>
      <c r="H458" t="s">
        <v>776</v>
      </c>
      <c r="I458" t="s">
        <v>3667</v>
      </c>
      <c r="J458" t="s">
        <v>44</v>
      </c>
      <c r="K458" t="s">
        <v>733</v>
      </c>
      <c r="L458" t="s">
        <v>46</v>
      </c>
      <c r="M458" t="s">
        <v>110</v>
      </c>
      <c r="N458" t="s">
        <v>111</v>
      </c>
      <c r="O458" t="s">
        <v>30</v>
      </c>
      <c r="P458" s="1">
        <v>46076.086527777778</v>
      </c>
      <c r="Q458" s="1">
        <v>46072.381365740737</v>
      </c>
      <c r="R458" t="s">
        <v>1775</v>
      </c>
      <c r="S458" t="s">
        <v>3265</v>
      </c>
      <c r="T458" t="s">
        <v>31</v>
      </c>
      <c r="U458" t="s">
        <v>726</v>
      </c>
      <c r="V458" t="s">
        <v>46</v>
      </c>
      <c r="W458" t="s">
        <v>110</v>
      </c>
      <c r="X458" t="s">
        <v>111</v>
      </c>
      <c r="Y458">
        <v>6141</v>
      </c>
      <c r="Z458" t="s">
        <v>3530</v>
      </c>
      <c r="AA458" t="s">
        <v>3528</v>
      </c>
      <c r="AB458" t="s">
        <v>32</v>
      </c>
      <c r="AC458" t="s">
        <v>972</v>
      </c>
      <c r="AD458" t="s">
        <v>973</v>
      </c>
      <c r="AE458" t="s">
        <v>33</v>
      </c>
    </row>
    <row r="459" spans="1:31" hidden="1">
      <c r="A459" t="s">
        <v>2427</v>
      </c>
      <c r="B459" t="s">
        <v>24</v>
      </c>
      <c r="C459" t="s">
        <v>2428</v>
      </c>
      <c r="D459" t="s">
        <v>2429</v>
      </c>
      <c r="E459" t="s">
        <v>2430</v>
      </c>
      <c r="F459" s="1">
        <v>46072.373865740738</v>
      </c>
      <c r="G459" t="s">
        <v>245</v>
      </c>
      <c r="H459" t="s">
        <v>776</v>
      </c>
      <c r="I459" t="s">
        <v>3665</v>
      </c>
      <c r="J459" t="s">
        <v>134</v>
      </c>
      <c r="K459" t="s">
        <v>494</v>
      </c>
      <c r="L459" t="s">
        <v>162</v>
      </c>
      <c r="M459" t="s">
        <v>163</v>
      </c>
      <c r="N459" t="s">
        <v>164</v>
      </c>
      <c r="O459" t="s">
        <v>86</v>
      </c>
      <c r="P459" s="1">
        <v>46079.287210648145</v>
      </c>
      <c r="R459" t="s">
        <v>90</v>
      </c>
      <c r="T459" t="s">
        <v>31</v>
      </c>
      <c r="U459" t="s">
        <v>104</v>
      </c>
      <c r="Y459">
        <v>4289</v>
      </c>
      <c r="Z459" t="s">
        <v>3536</v>
      </c>
      <c r="AA459" t="s">
        <v>3539</v>
      </c>
      <c r="AB459" t="s">
        <v>32</v>
      </c>
      <c r="AC459" t="s">
        <v>2431</v>
      </c>
      <c r="AD459" t="s">
        <v>2432</v>
      </c>
      <c r="AE459" t="s">
        <v>33</v>
      </c>
    </row>
    <row r="460" spans="1:31">
      <c r="A460" t="s">
        <v>2433</v>
      </c>
      <c r="B460" t="s">
        <v>34</v>
      </c>
      <c r="C460" t="s">
        <v>363</v>
      </c>
      <c r="D460" t="s">
        <v>125</v>
      </c>
      <c r="E460" t="s">
        <v>1158</v>
      </c>
      <c r="F460" s="1">
        <v>46072.36246527778</v>
      </c>
      <c r="G460" t="s">
        <v>155</v>
      </c>
      <c r="H460" t="s">
        <v>776</v>
      </c>
      <c r="I460" t="s">
        <v>3670</v>
      </c>
      <c r="J460" t="s">
        <v>44</v>
      </c>
      <c r="K460" t="s">
        <v>1149</v>
      </c>
      <c r="L460" t="s">
        <v>46</v>
      </c>
      <c r="M460" t="s">
        <v>379</v>
      </c>
      <c r="N460" t="s">
        <v>379</v>
      </c>
      <c r="O460" t="s">
        <v>30</v>
      </c>
      <c r="P460" s="1">
        <v>46076.086458333331</v>
      </c>
      <c r="Q460" s="1">
        <v>46072.458414351851</v>
      </c>
      <c r="R460" t="s">
        <v>1775</v>
      </c>
      <c r="S460" t="s">
        <v>3195</v>
      </c>
      <c r="T460" t="s">
        <v>31</v>
      </c>
      <c r="U460" t="s">
        <v>1150</v>
      </c>
      <c r="V460" t="s">
        <v>46</v>
      </c>
      <c r="W460" t="s">
        <v>379</v>
      </c>
      <c r="X460" t="s">
        <v>379</v>
      </c>
      <c r="Y460">
        <v>15431</v>
      </c>
      <c r="Z460" t="s">
        <v>3530</v>
      </c>
      <c r="AA460" t="s">
        <v>3528</v>
      </c>
      <c r="AB460" t="s">
        <v>32</v>
      </c>
      <c r="AC460" t="s">
        <v>2434</v>
      </c>
      <c r="AD460" t="s">
        <v>2435</v>
      </c>
      <c r="AE460" t="s">
        <v>33</v>
      </c>
    </row>
    <row r="461" spans="1:31">
      <c r="A461" t="s">
        <v>2436</v>
      </c>
      <c r="B461" t="s">
        <v>34</v>
      </c>
      <c r="C461" t="s">
        <v>25</v>
      </c>
      <c r="D461" t="s">
        <v>2437</v>
      </c>
      <c r="E461" t="s">
        <v>2438</v>
      </c>
      <c r="F461" s="1">
        <v>46072.430185185185</v>
      </c>
      <c r="G461" t="s">
        <v>26</v>
      </c>
      <c r="H461" t="s">
        <v>776</v>
      </c>
      <c r="I461" t="s">
        <v>3665</v>
      </c>
      <c r="J461" t="s">
        <v>44</v>
      </c>
      <c r="K461" t="s">
        <v>733</v>
      </c>
      <c r="L461" t="s">
        <v>46</v>
      </c>
      <c r="M461" t="s">
        <v>784</v>
      </c>
      <c r="N461" t="s">
        <v>785</v>
      </c>
      <c r="O461" t="s">
        <v>30</v>
      </c>
      <c r="P461" s="1">
        <v>46076.086805555555</v>
      </c>
      <c r="Q461" s="1">
        <v>46072.432430555556</v>
      </c>
      <c r="R461" t="s">
        <v>1775</v>
      </c>
      <c r="S461" t="s">
        <v>3356</v>
      </c>
      <c r="T461" t="s">
        <v>31</v>
      </c>
      <c r="U461" t="s">
        <v>726</v>
      </c>
      <c r="V461" t="s">
        <v>46</v>
      </c>
      <c r="W461" t="s">
        <v>784</v>
      </c>
      <c r="X461" t="s">
        <v>785</v>
      </c>
      <c r="Y461" t="s">
        <v>3662</v>
      </c>
      <c r="Z461" t="s">
        <v>3530</v>
      </c>
      <c r="AA461" t="s">
        <v>3528</v>
      </c>
      <c r="AB461" t="s">
        <v>32</v>
      </c>
      <c r="AC461" t="s">
        <v>2439</v>
      </c>
      <c r="AD461" t="s">
        <v>2440</v>
      </c>
      <c r="AE461" t="s">
        <v>33</v>
      </c>
    </row>
    <row r="462" spans="1:31">
      <c r="A462" t="s">
        <v>2441</v>
      </c>
      <c r="B462" t="s">
        <v>34</v>
      </c>
      <c r="C462" t="s">
        <v>25</v>
      </c>
      <c r="D462" t="s">
        <v>2442</v>
      </c>
      <c r="E462" t="s">
        <v>2438</v>
      </c>
      <c r="F462" s="1">
        <v>46072.429895833331</v>
      </c>
      <c r="G462" t="s">
        <v>101</v>
      </c>
      <c r="H462" t="s">
        <v>776</v>
      </c>
      <c r="I462" t="s">
        <v>3667</v>
      </c>
      <c r="J462" t="s">
        <v>44</v>
      </c>
      <c r="K462" t="s">
        <v>733</v>
      </c>
      <c r="L462" t="s">
        <v>46</v>
      </c>
      <c r="M462" t="s">
        <v>784</v>
      </c>
      <c r="N462" t="s">
        <v>785</v>
      </c>
      <c r="O462" t="s">
        <v>30</v>
      </c>
      <c r="P462" s="1">
        <v>46076.086793981478</v>
      </c>
      <c r="Q462" s="1">
        <v>46072.432824074072</v>
      </c>
      <c r="R462" t="s">
        <v>1775</v>
      </c>
      <c r="S462" t="s">
        <v>3356</v>
      </c>
      <c r="T462" t="s">
        <v>31</v>
      </c>
      <c r="U462" t="s">
        <v>726</v>
      </c>
      <c r="V462" t="s">
        <v>46</v>
      </c>
      <c r="W462" t="s">
        <v>784</v>
      </c>
      <c r="X462" t="s">
        <v>785</v>
      </c>
      <c r="Y462">
        <v>6804</v>
      </c>
      <c r="Z462" t="s">
        <v>3530</v>
      </c>
      <c r="AA462" t="s">
        <v>3528</v>
      </c>
      <c r="AB462" t="s">
        <v>32</v>
      </c>
      <c r="AC462" t="s">
        <v>2443</v>
      </c>
      <c r="AD462" t="s">
        <v>2444</v>
      </c>
      <c r="AE462" t="s">
        <v>33</v>
      </c>
    </row>
    <row r="463" spans="1:31" hidden="1">
      <c r="A463" t="s">
        <v>2445</v>
      </c>
      <c r="B463" t="s">
        <v>34</v>
      </c>
      <c r="C463" t="s">
        <v>1120</v>
      </c>
      <c r="D463" t="s">
        <v>1121</v>
      </c>
      <c r="E463" t="s">
        <v>252</v>
      </c>
      <c r="F463" s="1">
        <v>46072.336365740739</v>
      </c>
      <c r="G463" t="s">
        <v>333</v>
      </c>
      <c r="H463" t="s">
        <v>776</v>
      </c>
      <c r="I463" t="s">
        <v>3671</v>
      </c>
      <c r="J463" t="s">
        <v>134</v>
      </c>
      <c r="K463" t="s">
        <v>320</v>
      </c>
      <c r="L463" t="s">
        <v>162</v>
      </c>
      <c r="M463" t="s">
        <v>163</v>
      </c>
      <c r="N463" t="s">
        <v>164</v>
      </c>
      <c r="O463" t="s">
        <v>30</v>
      </c>
      <c r="P463" s="1">
        <v>46079.406851851854</v>
      </c>
      <c r="R463" t="s">
        <v>90</v>
      </c>
      <c r="T463" t="s">
        <v>31</v>
      </c>
      <c r="U463" t="s">
        <v>104</v>
      </c>
      <c r="Y463">
        <v>12809</v>
      </c>
      <c r="Z463" t="s">
        <v>3536</v>
      </c>
      <c r="AA463" t="s">
        <v>3541</v>
      </c>
      <c r="AB463" t="s">
        <v>32</v>
      </c>
      <c r="AC463" t="s">
        <v>1122</v>
      </c>
      <c r="AD463" t="s">
        <v>1123</v>
      </c>
      <c r="AE463" t="s">
        <v>33</v>
      </c>
    </row>
    <row r="464" spans="1:31" hidden="1">
      <c r="A464" t="s">
        <v>2446</v>
      </c>
      <c r="B464" t="s">
        <v>34</v>
      </c>
      <c r="C464" t="s">
        <v>99</v>
      </c>
      <c r="D464" t="s">
        <v>2447</v>
      </c>
      <c r="E464" t="s">
        <v>95</v>
      </c>
      <c r="F464" s="1">
        <v>46072.326319444444</v>
      </c>
      <c r="G464" t="s">
        <v>132</v>
      </c>
      <c r="H464" t="s">
        <v>776</v>
      </c>
      <c r="I464" t="s">
        <v>3665</v>
      </c>
      <c r="J464" t="s">
        <v>134</v>
      </c>
      <c r="K464" t="s">
        <v>817</v>
      </c>
      <c r="L464" t="s">
        <v>162</v>
      </c>
      <c r="M464" t="s">
        <v>163</v>
      </c>
      <c r="N464" t="s">
        <v>164</v>
      </c>
      <c r="O464" t="s">
        <v>30</v>
      </c>
      <c r="P464" s="1">
        <v>46077.392627314817</v>
      </c>
      <c r="Q464" s="1">
        <v>46077.392557870371</v>
      </c>
      <c r="R464" t="s">
        <v>38</v>
      </c>
      <c r="S464" t="s">
        <v>3357</v>
      </c>
      <c r="T464" t="s">
        <v>31</v>
      </c>
      <c r="U464" t="s">
        <v>104</v>
      </c>
      <c r="V464" t="s">
        <v>46</v>
      </c>
      <c r="W464" t="s">
        <v>659</v>
      </c>
      <c r="X464" t="s">
        <v>3243</v>
      </c>
      <c r="Y464">
        <v>350</v>
      </c>
      <c r="Z464" t="s">
        <v>3536</v>
      </c>
      <c r="AA464" t="s">
        <v>3526</v>
      </c>
      <c r="AB464" t="s">
        <v>32</v>
      </c>
      <c r="AC464" t="s">
        <v>2448</v>
      </c>
      <c r="AD464" t="s">
        <v>2449</v>
      </c>
      <c r="AE464" t="s">
        <v>33</v>
      </c>
    </row>
    <row r="465" spans="1:31">
      <c r="A465" t="s">
        <v>2450</v>
      </c>
      <c r="B465" t="s">
        <v>34</v>
      </c>
      <c r="C465" t="s">
        <v>2064</v>
      </c>
      <c r="D465" t="s">
        <v>2065</v>
      </c>
      <c r="E465" t="s">
        <v>109</v>
      </c>
      <c r="F465" s="1">
        <v>46072.338229166664</v>
      </c>
      <c r="G465" t="s">
        <v>77</v>
      </c>
      <c r="H465" t="s">
        <v>776</v>
      </c>
      <c r="I465" t="s">
        <v>3669</v>
      </c>
      <c r="J465" t="s">
        <v>44</v>
      </c>
      <c r="K465" t="s">
        <v>300</v>
      </c>
      <c r="L465" t="s">
        <v>46</v>
      </c>
      <c r="M465" t="s">
        <v>110</v>
      </c>
      <c r="N465" t="s">
        <v>111</v>
      </c>
      <c r="O465" t="s">
        <v>30</v>
      </c>
      <c r="P465" s="1">
        <v>46076.08630787037</v>
      </c>
      <c r="Q465" s="1">
        <v>46072.33861111111</v>
      </c>
      <c r="R465" t="s">
        <v>1775</v>
      </c>
      <c r="S465" t="s">
        <v>3358</v>
      </c>
      <c r="T465" t="s">
        <v>31</v>
      </c>
      <c r="U465" t="s">
        <v>399</v>
      </c>
      <c r="V465" t="s">
        <v>46</v>
      </c>
      <c r="W465" t="s">
        <v>110</v>
      </c>
      <c r="X465" t="s">
        <v>111</v>
      </c>
      <c r="Y465" t="s">
        <v>3647</v>
      </c>
      <c r="Z465" t="s">
        <v>3530</v>
      </c>
      <c r="AA465" t="s">
        <v>3528</v>
      </c>
      <c r="AB465" t="s">
        <v>32</v>
      </c>
      <c r="AC465" t="s">
        <v>2066</v>
      </c>
      <c r="AD465" t="s">
        <v>2067</v>
      </c>
      <c r="AE465" t="s">
        <v>33</v>
      </c>
    </row>
    <row r="466" spans="1:31">
      <c r="A466" t="s">
        <v>2451</v>
      </c>
      <c r="B466" t="s">
        <v>34</v>
      </c>
      <c r="C466" t="s">
        <v>25</v>
      </c>
      <c r="D466" t="s">
        <v>2406</v>
      </c>
      <c r="E466" t="s">
        <v>535</v>
      </c>
      <c r="F466" s="1">
        <v>46072.313506944447</v>
      </c>
      <c r="G466" t="s">
        <v>186</v>
      </c>
      <c r="H466" t="s">
        <v>776</v>
      </c>
      <c r="I466" t="s">
        <v>3667</v>
      </c>
      <c r="J466" t="s">
        <v>44</v>
      </c>
      <c r="K466" t="s">
        <v>300</v>
      </c>
      <c r="L466" t="s">
        <v>46</v>
      </c>
      <c r="M466" t="s">
        <v>188</v>
      </c>
      <c r="N466" t="s">
        <v>431</v>
      </c>
      <c r="O466" t="s">
        <v>30</v>
      </c>
      <c r="P466" s="1">
        <v>46076.086215277777</v>
      </c>
      <c r="Q466" s="1">
        <v>46072.315000000002</v>
      </c>
      <c r="R466" t="s">
        <v>1775</v>
      </c>
      <c r="S466" t="s">
        <v>3359</v>
      </c>
      <c r="T466" t="s">
        <v>31</v>
      </c>
      <c r="U466" t="s">
        <v>399</v>
      </c>
      <c r="V466" t="s">
        <v>46</v>
      </c>
      <c r="W466" t="s">
        <v>188</v>
      </c>
      <c r="X466" t="s">
        <v>431</v>
      </c>
      <c r="Y466" t="s">
        <v>3661</v>
      </c>
      <c r="Z466" t="s">
        <v>3530</v>
      </c>
      <c r="AA466" t="s">
        <v>3528</v>
      </c>
      <c r="AB466" t="s">
        <v>32</v>
      </c>
      <c r="AC466" t="s">
        <v>2407</v>
      </c>
      <c r="AD466" t="s">
        <v>2408</v>
      </c>
      <c r="AE466" t="s">
        <v>33</v>
      </c>
    </row>
    <row r="467" spans="1:31">
      <c r="A467" t="s">
        <v>2452</v>
      </c>
      <c r="B467" t="s">
        <v>34</v>
      </c>
      <c r="C467" t="s">
        <v>758</v>
      </c>
      <c r="D467" t="s">
        <v>1220</v>
      </c>
      <c r="E467" t="s">
        <v>656</v>
      </c>
      <c r="F467" s="1">
        <v>46072.301215277781</v>
      </c>
      <c r="G467" t="s">
        <v>77</v>
      </c>
      <c r="H467" t="s">
        <v>776</v>
      </c>
      <c r="I467" t="s">
        <v>3669</v>
      </c>
      <c r="J467" t="s">
        <v>44</v>
      </c>
      <c r="K467" t="s">
        <v>300</v>
      </c>
      <c r="L467" t="s">
        <v>46</v>
      </c>
      <c r="M467" t="s">
        <v>47</v>
      </c>
      <c r="N467" t="s">
        <v>657</v>
      </c>
      <c r="O467" t="s">
        <v>30</v>
      </c>
      <c r="P467" s="1">
        <v>46076.086145833331</v>
      </c>
      <c r="Q467" s="1">
        <v>46072.30133101852</v>
      </c>
      <c r="R467" t="s">
        <v>1775</v>
      </c>
      <c r="S467" t="s">
        <v>3274</v>
      </c>
      <c r="T467" t="s">
        <v>31</v>
      </c>
      <c r="U467" t="s">
        <v>399</v>
      </c>
      <c r="V467" t="s">
        <v>46</v>
      </c>
      <c r="W467" t="s">
        <v>47</v>
      </c>
      <c r="X467" t="s">
        <v>657</v>
      </c>
      <c r="Y467">
        <v>13832</v>
      </c>
      <c r="Z467" t="s">
        <v>3530</v>
      </c>
      <c r="AA467" t="s">
        <v>3528</v>
      </c>
      <c r="AB467" t="s">
        <v>32</v>
      </c>
      <c r="AC467" t="s">
        <v>2453</v>
      </c>
      <c r="AD467" t="s">
        <v>2454</v>
      </c>
      <c r="AE467" t="s">
        <v>33</v>
      </c>
    </row>
    <row r="468" spans="1:31">
      <c r="A468" t="s">
        <v>2455</v>
      </c>
      <c r="B468" t="s">
        <v>34</v>
      </c>
      <c r="C468" t="s">
        <v>1140</v>
      </c>
      <c r="D468" t="s">
        <v>2456</v>
      </c>
      <c r="E468" t="s">
        <v>656</v>
      </c>
      <c r="F468" s="1">
        <v>46072.30059027778</v>
      </c>
      <c r="G468" t="s">
        <v>153</v>
      </c>
      <c r="H468" t="s">
        <v>776</v>
      </c>
      <c r="I468" t="s">
        <v>3669</v>
      </c>
      <c r="J468" t="s">
        <v>44</v>
      </c>
      <c r="K468" t="s">
        <v>300</v>
      </c>
      <c r="L468" t="s">
        <v>46</v>
      </c>
      <c r="M468" t="s">
        <v>47</v>
      </c>
      <c r="N468" t="s">
        <v>657</v>
      </c>
      <c r="O468" t="s">
        <v>30</v>
      </c>
      <c r="P468" s="1">
        <v>46076.086145833331</v>
      </c>
      <c r="Q468" s="1">
        <v>46072.3128125</v>
      </c>
      <c r="R468" t="s">
        <v>1775</v>
      </c>
      <c r="S468" t="s">
        <v>3274</v>
      </c>
      <c r="T468" t="s">
        <v>31</v>
      </c>
      <c r="U468" t="s">
        <v>399</v>
      </c>
      <c r="V468" t="s">
        <v>46</v>
      </c>
      <c r="W468" t="s">
        <v>47</v>
      </c>
      <c r="X468" t="s">
        <v>657</v>
      </c>
      <c r="Y468" t="s">
        <v>3663</v>
      </c>
      <c r="Z468" t="s">
        <v>3530</v>
      </c>
      <c r="AA468" t="s">
        <v>3528</v>
      </c>
      <c r="AB468" t="s">
        <v>32</v>
      </c>
      <c r="AC468" t="s">
        <v>2457</v>
      </c>
      <c r="AD468" t="s">
        <v>2458</v>
      </c>
      <c r="AE468" t="s">
        <v>33</v>
      </c>
    </row>
    <row r="469" spans="1:31" hidden="1">
      <c r="A469" t="s">
        <v>2459</v>
      </c>
      <c r="B469" t="s">
        <v>34</v>
      </c>
      <c r="C469" t="s">
        <v>769</v>
      </c>
      <c r="D469" t="s">
        <v>770</v>
      </c>
      <c r="E469" t="s">
        <v>2097</v>
      </c>
      <c r="F469" s="1">
        <v>46072.17019675926</v>
      </c>
      <c r="G469" t="s">
        <v>62</v>
      </c>
      <c r="H469" t="s">
        <v>776</v>
      </c>
      <c r="I469" t="s">
        <v>3668</v>
      </c>
      <c r="J469" t="s">
        <v>651</v>
      </c>
      <c r="K469" t="s">
        <v>772</v>
      </c>
      <c r="L469" t="s">
        <v>46</v>
      </c>
      <c r="M469" t="s">
        <v>751</v>
      </c>
      <c r="N469" t="s">
        <v>752</v>
      </c>
      <c r="O469" t="s">
        <v>30</v>
      </c>
      <c r="P469" s="1">
        <v>46076.085972222223</v>
      </c>
      <c r="Q469" s="1">
        <v>46072.72314814815</v>
      </c>
      <c r="R469" t="s">
        <v>1775</v>
      </c>
      <c r="S469" t="s">
        <v>3360</v>
      </c>
      <c r="T469" t="s">
        <v>31</v>
      </c>
      <c r="U469" t="s">
        <v>399</v>
      </c>
      <c r="V469" t="s">
        <v>46</v>
      </c>
      <c r="W469" t="s">
        <v>751</v>
      </c>
      <c r="X469" t="s">
        <v>752</v>
      </c>
      <c r="Y469" t="s">
        <v>3580</v>
      </c>
      <c r="Z469" t="s">
        <v>3525</v>
      </c>
      <c r="AA469" t="s">
        <v>3528</v>
      </c>
      <c r="AB469" t="s">
        <v>32</v>
      </c>
      <c r="AC469" t="s">
        <v>773</v>
      </c>
      <c r="AD469" t="s">
        <v>774</v>
      </c>
      <c r="AE469" t="s">
        <v>33</v>
      </c>
    </row>
    <row r="470" spans="1:31">
      <c r="A470" t="s">
        <v>2460</v>
      </c>
      <c r="B470" t="s">
        <v>34</v>
      </c>
      <c r="C470" t="s">
        <v>115</v>
      </c>
      <c r="D470" t="s">
        <v>115</v>
      </c>
      <c r="E470" t="s">
        <v>692</v>
      </c>
      <c r="F470" s="1">
        <v>46072.097303240742</v>
      </c>
      <c r="G470" t="s">
        <v>96</v>
      </c>
      <c r="H470" t="s">
        <v>776</v>
      </c>
      <c r="I470" t="s">
        <v>96</v>
      </c>
      <c r="J470" t="s">
        <v>44</v>
      </c>
      <c r="K470" t="s">
        <v>300</v>
      </c>
      <c r="L470" t="s">
        <v>46</v>
      </c>
      <c r="M470" t="s">
        <v>379</v>
      </c>
      <c r="N470" t="s">
        <v>379</v>
      </c>
      <c r="O470" t="s">
        <v>30</v>
      </c>
      <c r="P470" s="1">
        <v>46076.085925925923</v>
      </c>
      <c r="Q470" s="1">
        <v>46072.097418981481</v>
      </c>
      <c r="R470" t="s">
        <v>1775</v>
      </c>
      <c r="S470" t="s">
        <v>3140</v>
      </c>
      <c r="T470" t="s">
        <v>31</v>
      </c>
      <c r="U470" t="s">
        <v>399</v>
      </c>
      <c r="V470" t="s">
        <v>46</v>
      </c>
      <c r="W470" t="s">
        <v>379</v>
      </c>
      <c r="X470" t="s">
        <v>379</v>
      </c>
      <c r="Y470">
        <v>871</v>
      </c>
      <c r="Z470" t="s">
        <v>3530</v>
      </c>
      <c r="AA470" t="s">
        <v>3528</v>
      </c>
      <c r="AB470" t="s">
        <v>32</v>
      </c>
      <c r="AC470" t="s">
        <v>1180</v>
      </c>
      <c r="AD470" t="s">
        <v>1181</v>
      </c>
      <c r="AE470" t="s">
        <v>33</v>
      </c>
    </row>
    <row r="471" spans="1:31">
      <c r="A471" t="s">
        <v>2461</v>
      </c>
      <c r="B471" t="s">
        <v>34</v>
      </c>
      <c r="C471" t="s">
        <v>25</v>
      </c>
      <c r="D471" t="s">
        <v>1699</v>
      </c>
      <c r="E471" t="s">
        <v>692</v>
      </c>
      <c r="F471" s="1">
        <v>46072.020486111112</v>
      </c>
      <c r="G471" t="s">
        <v>470</v>
      </c>
      <c r="H471" t="s">
        <v>776</v>
      </c>
      <c r="I471" t="s">
        <v>3671</v>
      </c>
      <c r="J471" t="s">
        <v>44</v>
      </c>
      <c r="K471" t="s">
        <v>300</v>
      </c>
      <c r="L471" t="s">
        <v>46</v>
      </c>
      <c r="M471" t="s">
        <v>379</v>
      </c>
      <c r="N471" t="s">
        <v>379</v>
      </c>
      <c r="O471" t="s">
        <v>30</v>
      </c>
      <c r="P471" s="1">
        <v>46075.088680555556</v>
      </c>
      <c r="Q471" s="1">
        <v>46072.020613425928</v>
      </c>
      <c r="R471" t="s">
        <v>1775</v>
      </c>
      <c r="S471" t="s">
        <v>3140</v>
      </c>
      <c r="T471" t="s">
        <v>31</v>
      </c>
      <c r="U471" t="s">
        <v>399</v>
      </c>
      <c r="V471" t="s">
        <v>46</v>
      </c>
      <c r="W471" t="s">
        <v>379</v>
      </c>
      <c r="X471" t="s">
        <v>379</v>
      </c>
      <c r="Y471">
        <v>14012</v>
      </c>
      <c r="Z471" t="s">
        <v>3530</v>
      </c>
      <c r="AA471" t="s">
        <v>3528</v>
      </c>
      <c r="AB471" t="s">
        <v>32</v>
      </c>
      <c r="AC471" t="s">
        <v>2462</v>
      </c>
      <c r="AD471" t="s">
        <v>2463</v>
      </c>
      <c r="AE471" t="s">
        <v>33</v>
      </c>
    </row>
    <row r="472" spans="1:31">
      <c r="A472" t="s">
        <v>2464</v>
      </c>
      <c r="B472" t="s">
        <v>34</v>
      </c>
      <c r="C472" t="s">
        <v>984</v>
      </c>
      <c r="D472" t="s">
        <v>225</v>
      </c>
      <c r="E472" t="s">
        <v>692</v>
      </c>
      <c r="F472" s="1">
        <v>46072.020740740743</v>
      </c>
      <c r="G472" t="s">
        <v>168</v>
      </c>
      <c r="H472" t="s">
        <v>776</v>
      </c>
      <c r="I472" t="s">
        <v>3669</v>
      </c>
      <c r="J472" t="s">
        <v>44</v>
      </c>
      <c r="K472" t="s">
        <v>300</v>
      </c>
      <c r="L472" t="s">
        <v>46</v>
      </c>
      <c r="M472" t="s">
        <v>379</v>
      </c>
      <c r="N472" t="s">
        <v>379</v>
      </c>
      <c r="O472" t="s">
        <v>30</v>
      </c>
      <c r="P472" s="1">
        <v>46075.088692129626</v>
      </c>
      <c r="Q472" s="1">
        <v>46072.020833333336</v>
      </c>
      <c r="R472" t="s">
        <v>1775</v>
      </c>
      <c r="S472" t="s">
        <v>3140</v>
      </c>
      <c r="T472" t="s">
        <v>31</v>
      </c>
      <c r="U472" t="s">
        <v>399</v>
      </c>
      <c r="V472" t="s">
        <v>46</v>
      </c>
      <c r="W472" t="s">
        <v>379</v>
      </c>
      <c r="X472" t="s">
        <v>379</v>
      </c>
      <c r="Y472">
        <v>3891</v>
      </c>
      <c r="Z472" t="s">
        <v>3530</v>
      </c>
      <c r="AA472" t="s">
        <v>3528</v>
      </c>
      <c r="AB472" t="s">
        <v>32</v>
      </c>
      <c r="AC472" t="s">
        <v>2465</v>
      </c>
      <c r="AD472" t="s">
        <v>2466</v>
      </c>
      <c r="AE472" t="s">
        <v>33</v>
      </c>
    </row>
    <row r="473" spans="1:31" hidden="1">
      <c r="A473" t="s">
        <v>2467</v>
      </c>
      <c r="B473" t="s">
        <v>34</v>
      </c>
      <c r="C473" t="s">
        <v>53</v>
      </c>
      <c r="D473" t="s">
        <v>562</v>
      </c>
      <c r="E473" t="s">
        <v>1755</v>
      </c>
      <c r="F473" s="1">
        <v>46076.082326388889</v>
      </c>
      <c r="G473" t="s">
        <v>26</v>
      </c>
      <c r="H473" t="s">
        <v>776</v>
      </c>
      <c r="I473" t="s">
        <v>3665</v>
      </c>
      <c r="J473" t="s">
        <v>134</v>
      </c>
      <c r="K473" t="s">
        <v>494</v>
      </c>
      <c r="L473" t="s">
        <v>46</v>
      </c>
      <c r="M473" t="s">
        <v>751</v>
      </c>
      <c r="N473" t="s">
        <v>752</v>
      </c>
      <c r="O473" t="s">
        <v>30</v>
      </c>
      <c r="P473" s="1">
        <v>46079.287233796298</v>
      </c>
      <c r="R473" t="s">
        <v>90</v>
      </c>
      <c r="T473" t="s">
        <v>31</v>
      </c>
      <c r="U473" t="s">
        <v>1150</v>
      </c>
      <c r="Y473">
        <v>11763</v>
      </c>
      <c r="Z473" t="s">
        <v>3525</v>
      </c>
      <c r="AA473" t="s">
        <v>3541</v>
      </c>
      <c r="AB473" t="s">
        <v>32</v>
      </c>
      <c r="AC473" t="s">
        <v>2468</v>
      </c>
      <c r="AD473" t="s">
        <v>2469</v>
      </c>
      <c r="AE473" t="s">
        <v>33</v>
      </c>
    </row>
    <row r="474" spans="1:31" hidden="1">
      <c r="A474" t="s">
        <v>2470</v>
      </c>
      <c r="B474" t="s">
        <v>34</v>
      </c>
      <c r="C474" t="s">
        <v>53</v>
      </c>
      <c r="D474" t="s">
        <v>450</v>
      </c>
      <c r="E474" t="s">
        <v>1755</v>
      </c>
      <c r="F474" s="1">
        <v>46076.081574074073</v>
      </c>
      <c r="G474" t="s">
        <v>77</v>
      </c>
      <c r="H474" t="s">
        <v>776</v>
      </c>
      <c r="I474" t="s">
        <v>3669</v>
      </c>
      <c r="J474" t="s">
        <v>134</v>
      </c>
      <c r="K474" t="s">
        <v>477</v>
      </c>
      <c r="L474" t="s">
        <v>46</v>
      </c>
      <c r="M474" t="s">
        <v>751</v>
      </c>
      <c r="N474" t="s">
        <v>752</v>
      </c>
      <c r="O474" t="s">
        <v>30</v>
      </c>
      <c r="P474" s="1">
        <v>46077.568391203706</v>
      </c>
      <c r="Q474" s="1">
        <v>46077.568368055552</v>
      </c>
      <c r="R474" t="s">
        <v>38</v>
      </c>
      <c r="S474" t="s">
        <v>3425</v>
      </c>
      <c r="T474" t="s">
        <v>31</v>
      </c>
      <c r="U474" t="s">
        <v>1150</v>
      </c>
      <c r="V474" t="s">
        <v>46</v>
      </c>
      <c r="W474" t="s">
        <v>751</v>
      </c>
      <c r="X474" t="s">
        <v>752</v>
      </c>
      <c r="Y474">
        <v>12209</v>
      </c>
      <c r="Z474" t="s">
        <v>3525</v>
      </c>
      <c r="AA474" t="s">
        <v>3529</v>
      </c>
      <c r="AB474" t="s">
        <v>32</v>
      </c>
      <c r="AC474" t="s">
        <v>2471</v>
      </c>
      <c r="AD474" t="s">
        <v>2472</v>
      </c>
      <c r="AE474" t="s">
        <v>33</v>
      </c>
    </row>
    <row r="475" spans="1:31" hidden="1">
      <c r="A475" t="s">
        <v>2473</v>
      </c>
      <c r="B475" t="s">
        <v>34</v>
      </c>
      <c r="C475" t="s">
        <v>1939</v>
      </c>
      <c r="D475" t="s">
        <v>1940</v>
      </c>
      <c r="E475" t="s">
        <v>1755</v>
      </c>
      <c r="F475" s="1">
        <v>46076.079780092594</v>
      </c>
      <c r="G475" t="s">
        <v>26</v>
      </c>
      <c r="H475" t="s">
        <v>776</v>
      </c>
      <c r="I475" t="s">
        <v>3665</v>
      </c>
      <c r="J475" t="s">
        <v>134</v>
      </c>
      <c r="K475" t="s">
        <v>135</v>
      </c>
      <c r="L475" t="s">
        <v>46</v>
      </c>
      <c r="M475" t="s">
        <v>751</v>
      </c>
      <c r="N475" t="s">
        <v>752</v>
      </c>
      <c r="O475" t="s">
        <v>30</v>
      </c>
      <c r="P475" s="1">
        <v>46076.374444444446</v>
      </c>
      <c r="Q475" s="1">
        <v>46076.374432870369</v>
      </c>
      <c r="R475" t="s">
        <v>38</v>
      </c>
      <c r="S475" t="s">
        <v>3426</v>
      </c>
      <c r="T475" t="s">
        <v>31</v>
      </c>
      <c r="U475" t="s">
        <v>1150</v>
      </c>
      <c r="V475" t="s">
        <v>46</v>
      </c>
      <c r="W475" t="s">
        <v>751</v>
      </c>
      <c r="X475" t="s">
        <v>752</v>
      </c>
      <c r="Y475">
        <v>3297</v>
      </c>
      <c r="Z475" t="s">
        <v>3525</v>
      </c>
      <c r="AA475" t="s">
        <v>3526</v>
      </c>
      <c r="AB475" t="s">
        <v>32</v>
      </c>
      <c r="AC475" t="s">
        <v>1942</v>
      </c>
      <c r="AD475" t="s">
        <v>1943</v>
      </c>
      <c r="AE475" t="s">
        <v>33</v>
      </c>
    </row>
    <row r="476" spans="1:31" hidden="1">
      <c r="A476" t="s">
        <v>2474</v>
      </c>
      <c r="B476" t="s">
        <v>34</v>
      </c>
      <c r="C476" t="s">
        <v>234</v>
      </c>
      <c r="D476" t="s">
        <v>1542</v>
      </c>
      <c r="E476" t="s">
        <v>2475</v>
      </c>
      <c r="F476" s="1">
        <v>46076.076006944444</v>
      </c>
      <c r="G476" t="s">
        <v>186</v>
      </c>
      <c r="H476" t="s">
        <v>776</v>
      </c>
      <c r="I476" t="s">
        <v>3667</v>
      </c>
      <c r="J476" t="s">
        <v>134</v>
      </c>
      <c r="K476" t="s">
        <v>494</v>
      </c>
      <c r="L476" t="s">
        <v>46</v>
      </c>
      <c r="M476" t="s">
        <v>751</v>
      </c>
      <c r="N476" t="s">
        <v>752</v>
      </c>
      <c r="O476" t="s">
        <v>30</v>
      </c>
      <c r="P476" s="1">
        <v>46077.356747685182</v>
      </c>
      <c r="Q476" s="1">
        <v>46077.35670138889</v>
      </c>
      <c r="R476" t="s">
        <v>38</v>
      </c>
      <c r="S476" t="s">
        <v>3427</v>
      </c>
      <c r="T476" t="s">
        <v>31</v>
      </c>
      <c r="U476" t="s">
        <v>1150</v>
      </c>
      <c r="V476" t="s">
        <v>46</v>
      </c>
      <c r="W476" t="s">
        <v>751</v>
      </c>
      <c r="X476" t="s">
        <v>752</v>
      </c>
      <c r="Y476" t="s">
        <v>3627</v>
      </c>
      <c r="Z476" t="s">
        <v>3525</v>
      </c>
      <c r="AA476" t="s">
        <v>3526</v>
      </c>
      <c r="AB476" t="s">
        <v>32</v>
      </c>
      <c r="AC476" t="s">
        <v>1789</v>
      </c>
      <c r="AD476" t="s">
        <v>1790</v>
      </c>
      <c r="AE476" t="s">
        <v>33</v>
      </c>
    </row>
    <row r="477" spans="1:31" hidden="1">
      <c r="A477" t="s">
        <v>2476</v>
      </c>
      <c r="B477" t="s">
        <v>34</v>
      </c>
      <c r="C477" t="s">
        <v>115</v>
      </c>
      <c r="D477" t="s">
        <v>195</v>
      </c>
      <c r="E477" t="s">
        <v>2475</v>
      </c>
      <c r="F477" s="1">
        <v>46076.07309027778</v>
      </c>
      <c r="G477" t="s">
        <v>153</v>
      </c>
      <c r="H477" t="s">
        <v>776</v>
      </c>
      <c r="I477" t="s">
        <v>3669</v>
      </c>
      <c r="J477" t="s">
        <v>134</v>
      </c>
      <c r="K477" t="s">
        <v>231</v>
      </c>
      <c r="L477" t="s">
        <v>46</v>
      </c>
      <c r="M477" t="s">
        <v>751</v>
      </c>
      <c r="N477" t="s">
        <v>752</v>
      </c>
      <c r="O477" t="s">
        <v>30</v>
      </c>
      <c r="P477" s="1">
        <v>46077.6953125</v>
      </c>
      <c r="Q477" s="1">
        <v>46077.695289351854</v>
      </c>
      <c r="R477" t="s">
        <v>38</v>
      </c>
      <c r="S477" t="s">
        <v>3428</v>
      </c>
      <c r="T477" t="s">
        <v>31</v>
      </c>
      <c r="U477" t="s">
        <v>1150</v>
      </c>
      <c r="V477" t="s">
        <v>46</v>
      </c>
      <c r="W477" t="s">
        <v>751</v>
      </c>
      <c r="X477" t="s">
        <v>752</v>
      </c>
      <c r="Y477">
        <v>13242</v>
      </c>
      <c r="Z477" t="s">
        <v>3525</v>
      </c>
      <c r="AA477" t="s">
        <v>3526</v>
      </c>
      <c r="AB477" t="s">
        <v>32</v>
      </c>
      <c r="AC477" t="s">
        <v>2477</v>
      </c>
      <c r="AD477" t="s">
        <v>2478</v>
      </c>
      <c r="AE477" t="s">
        <v>33</v>
      </c>
    </row>
    <row r="478" spans="1:31" hidden="1">
      <c r="A478" t="s">
        <v>2479</v>
      </c>
      <c r="B478" t="s">
        <v>34</v>
      </c>
      <c r="C478" t="s">
        <v>2480</v>
      </c>
      <c r="D478" t="s">
        <v>2481</v>
      </c>
      <c r="E478" t="s">
        <v>2482</v>
      </c>
      <c r="F478" s="1">
        <v>46076.068726851852</v>
      </c>
      <c r="G478" t="s">
        <v>77</v>
      </c>
      <c r="H478" t="s">
        <v>776</v>
      </c>
      <c r="I478" t="s">
        <v>3669</v>
      </c>
      <c r="J478" t="s">
        <v>134</v>
      </c>
      <c r="K478" t="s">
        <v>1219</v>
      </c>
      <c r="L478" t="s">
        <v>46</v>
      </c>
      <c r="M478" t="s">
        <v>751</v>
      </c>
      <c r="N478" t="s">
        <v>752</v>
      </c>
      <c r="O478" t="s">
        <v>30</v>
      </c>
      <c r="P478" s="1">
        <v>46077.488310185188</v>
      </c>
      <c r="Q478" s="1">
        <v>46077.488240740742</v>
      </c>
      <c r="R478" t="s">
        <v>38</v>
      </c>
      <c r="S478" t="s">
        <v>3429</v>
      </c>
      <c r="T478" t="s">
        <v>31</v>
      </c>
      <c r="U478" t="s">
        <v>1150</v>
      </c>
      <c r="V478" t="s">
        <v>46</v>
      </c>
      <c r="W478" t="s">
        <v>751</v>
      </c>
      <c r="X478" t="s">
        <v>752</v>
      </c>
      <c r="Y478" t="s">
        <v>3664</v>
      </c>
      <c r="Z478" t="s">
        <v>3525</v>
      </c>
      <c r="AA478" t="s">
        <v>3529</v>
      </c>
      <c r="AB478" t="s">
        <v>32</v>
      </c>
      <c r="AC478" t="s">
        <v>2483</v>
      </c>
      <c r="AD478" t="s">
        <v>2484</v>
      </c>
      <c r="AE478" t="s">
        <v>33</v>
      </c>
    </row>
    <row r="479" spans="1:31">
      <c r="A479" t="s">
        <v>2485</v>
      </c>
      <c r="B479" t="s">
        <v>34</v>
      </c>
      <c r="C479" t="s">
        <v>144</v>
      </c>
      <c r="D479" t="s">
        <v>2486</v>
      </c>
      <c r="E479" t="s">
        <v>109</v>
      </c>
      <c r="F479" s="1">
        <v>46075.99554398148</v>
      </c>
      <c r="G479" t="s">
        <v>226</v>
      </c>
      <c r="H479" t="s">
        <v>776</v>
      </c>
      <c r="I479" t="s">
        <v>3665</v>
      </c>
      <c r="J479" t="s">
        <v>44</v>
      </c>
      <c r="K479" t="s">
        <v>1149</v>
      </c>
      <c r="L479" t="s">
        <v>46</v>
      </c>
      <c r="M479" t="s">
        <v>110</v>
      </c>
      <c r="N479" t="s">
        <v>111</v>
      </c>
      <c r="O479" t="s">
        <v>30</v>
      </c>
      <c r="P479" s="1">
        <v>46079.083668981482</v>
      </c>
      <c r="Q479" s="1">
        <v>46076.064351851855</v>
      </c>
      <c r="R479" t="s">
        <v>1775</v>
      </c>
      <c r="S479" t="s">
        <v>3193</v>
      </c>
      <c r="T479" t="s">
        <v>31</v>
      </c>
      <c r="U479" t="s">
        <v>1150</v>
      </c>
      <c r="V479" t="s">
        <v>46</v>
      </c>
      <c r="W479" t="s">
        <v>110</v>
      </c>
      <c r="X479" t="s">
        <v>111</v>
      </c>
      <c r="Y479">
        <v>7485</v>
      </c>
      <c r="Z479" t="s">
        <v>3530</v>
      </c>
      <c r="AA479" t="s">
        <v>3528</v>
      </c>
      <c r="AB479" t="s">
        <v>32</v>
      </c>
      <c r="AC479" t="s">
        <v>2487</v>
      </c>
      <c r="AD479" t="s">
        <v>2488</v>
      </c>
      <c r="AE479" t="s">
        <v>33</v>
      </c>
    </row>
    <row r="480" spans="1:31" hidden="1">
      <c r="A480" t="s">
        <v>2489</v>
      </c>
      <c r="B480" t="s">
        <v>34</v>
      </c>
      <c r="C480" t="s">
        <v>704</v>
      </c>
      <c r="D480" t="s">
        <v>142</v>
      </c>
      <c r="E480" t="s">
        <v>2490</v>
      </c>
      <c r="F480" s="1">
        <v>46073.377511574072</v>
      </c>
      <c r="G480" t="s">
        <v>26</v>
      </c>
      <c r="H480" t="s">
        <v>776</v>
      </c>
      <c r="I480" t="s">
        <v>3665</v>
      </c>
      <c r="J480" t="s">
        <v>134</v>
      </c>
      <c r="K480" t="s">
        <v>320</v>
      </c>
      <c r="L480" t="s">
        <v>46</v>
      </c>
      <c r="M480" t="s">
        <v>348</v>
      </c>
      <c r="N480" t="s">
        <v>506</v>
      </c>
      <c r="O480" t="s">
        <v>30</v>
      </c>
      <c r="P480" s="1">
        <v>46077.085173611114</v>
      </c>
      <c r="Q480" s="1">
        <v>46073.4921412037</v>
      </c>
      <c r="R480" t="s">
        <v>1775</v>
      </c>
      <c r="S480" t="s">
        <v>3430</v>
      </c>
      <c r="T480" t="s">
        <v>31</v>
      </c>
      <c r="U480" t="s">
        <v>923</v>
      </c>
      <c r="V480" t="s">
        <v>46</v>
      </c>
      <c r="W480" t="s">
        <v>348</v>
      </c>
      <c r="X480" t="s">
        <v>3197</v>
      </c>
      <c r="Y480">
        <v>13011</v>
      </c>
      <c r="Z480" t="s">
        <v>3531</v>
      </c>
      <c r="AA480" t="s">
        <v>3528</v>
      </c>
      <c r="AB480" t="s">
        <v>32</v>
      </c>
      <c r="AC480" t="s">
        <v>2491</v>
      </c>
      <c r="AD480" t="s">
        <v>2492</v>
      </c>
      <c r="AE480" t="s">
        <v>33</v>
      </c>
    </row>
  </sheetData>
  <autoFilter ref="A1:AE480">
    <filterColumn colId="9">
      <filters>
        <filter val="Service Desk"/>
      </filters>
    </filterColumn>
    <filterColumn colId="16">
      <customFilters>
        <customFilter operator="notEqual" val=" "/>
      </customFilters>
    </filterColumn>
  </autoFilter>
  <pageMargins left="0.7" right="0.7" top="0.75" bottom="0.75" header="0.3" footer="0.3"/>
  <pageSetup orientation="portrait" r:id="rId1"/>
  <headerFooter>
    <oddFooter>&amp;L&amp;"Calibri,Regular"&amp;12&amp;K000000This information has been &amp;B&amp;K000000Classified | &amp;KFF9900Confidential&amp;B&amp;K000000. Do not distribute outside the organization under any circumstances. For more information, please review the information security policy.</oddFooter>
    <evenFooter>&amp;L&amp;"Calibri,Regular"&amp;12&amp;K000000This information has been &amp;B&amp;K000000Classified | &amp;KFF9900Confidential&amp;B&amp;K000000. Do not distribute outside the organization under any circumstances. For more information, please review the information security policy.</evenFooter>
    <firstFooter>&amp;L&amp;"Calibri,Regular"&amp;12&amp;K000000This information has been &amp;B&amp;K000000Classified | &amp;KFF9900Confidential&amp;B&amp;K000000. Do not distribute outside the organization under any circumstances. For more information, please review the information security policy.</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3:B13"/>
  <sheetViews>
    <sheetView workbookViewId="0">
      <selection activeCell="B10" sqref="B10:B12"/>
    </sheetView>
  </sheetViews>
  <sheetFormatPr defaultRowHeight="14"/>
  <cols>
    <col min="1" max="1" width="38.75" bestFit="1" customWidth="1"/>
    <col min="2" max="2" width="21.58203125" bestFit="1" customWidth="1"/>
  </cols>
  <sheetData>
    <row r="3" spans="1:2">
      <c r="A3" s="2" t="s">
        <v>3774</v>
      </c>
      <c r="B3" t="s">
        <v>3773</v>
      </c>
    </row>
    <row r="4" spans="1:2">
      <c r="A4" s="3" t="s">
        <v>3665</v>
      </c>
      <c r="B4">
        <v>123</v>
      </c>
    </row>
    <row r="5" spans="1:2">
      <c r="A5" s="3" t="s">
        <v>3669</v>
      </c>
      <c r="B5">
        <v>88</v>
      </c>
    </row>
    <row r="6" spans="1:2">
      <c r="A6" s="3" t="s">
        <v>3668</v>
      </c>
      <c r="B6">
        <v>79</v>
      </c>
    </row>
    <row r="7" spans="1:2">
      <c r="A7" s="3" t="s">
        <v>3671</v>
      </c>
      <c r="B7">
        <v>79</v>
      </c>
    </row>
    <row r="8" spans="1:2">
      <c r="A8" s="3" t="s">
        <v>3666</v>
      </c>
      <c r="B8">
        <v>57</v>
      </c>
    </row>
    <row r="9" spans="1:2">
      <c r="A9" s="3" t="s">
        <v>3667</v>
      </c>
      <c r="B9">
        <v>48</v>
      </c>
    </row>
    <row r="10" spans="1:2">
      <c r="A10" s="3" t="s">
        <v>3670</v>
      </c>
      <c r="B10">
        <v>25</v>
      </c>
    </row>
    <row r="11" spans="1:2">
      <c r="A11" s="3" t="s">
        <v>3672</v>
      </c>
      <c r="B11">
        <v>22</v>
      </c>
    </row>
    <row r="12" spans="1:2">
      <c r="A12" s="3" t="s">
        <v>96</v>
      </c>
      <c r="B12">
        <v>7</v>
      </c>
    </row>
    <row r="13" spans="1:2">
      <c r="A13" s="3" t="s">
        <v>3775</v>
      </c>
      <c r="B13">
        <v>528</v>
      </c>
    </row>
  </sheetData>
  <pageMargins left="0.7" right="0.7" top="0.75" bottom="0.75" header="0.3" footer="0.3"/>
  <pageSetup orientation="portrait" r:id="rId2"/>
  <headerFooter>
    <oddFooter>&amp;L&amp;"Calibri,Regular"&amp;12&amp;K000000This information has been &amp;B&amp;K000000Classified | &amp;KFF9900Confidential&amp;B&amp;K000000. Do not distribute outside the organization under any circumstances. For more information, please review the information security policy.</oddFooter>
    <evenFooter>&amp;L&amp;"Calibri,Regular"&amp;12&amp;K000000This information has been &amp;B&amp;K000000Classified | &amp;KFF9900Confidential&amp;B&amp;K000000. Do not distribute outside the organization under any circumstances. For more information, please review the information security policy.</evenFooter>
    <firstFooter>&amp;L&amp;"Calibri,Regular"&amp;12&amp;K000000This information has been &amp;B&amp;K000000Classified | &amp;KFF9900Confidential&amp;B&amp;K000000. Do not distribute outside the organization under any circumstances. For more information, please review the information security policy.</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N529"/>
  <sheetViews>
    <sheetView topLeftCell="A506" workbookViewId="0">
      <selection activeCell="A2" sqref="A2:A529"/>
    </sheetView>
  </sheetViews>
  <sheetFormatPr defaultRowHeight="14"/>
  <sheetData>
    <row r="1" spans="1:40">
      <c r="A1" t="s">
        <v>1</v>
      </c>
      <c r="B1" t="s">
        <v>0</v>
      </c>
      <c r="C1" t="s">
        <v>2</v>
      </c>
      <c r="D1" t="s">
        <v>3</v>
      </c>
      <c r="E1" t="s">
        <v>5</v>
      </c>
      <c r="F1" t="s">
        <v>4</v>
      </c>
      <c r="G1" t="s">
        <v>3522</v>
      </c>
      <c r="H1" t="s">
        <v>3673</v>
      </c>
      <c r="I1" t="s">
        <v>6</v>
      </c>
      <c r="J1" t="s">
        <v>8</v>
      </c>
      <c r="K1" t="s">
        <v>7</v>
      </c>
      <c r="L1" t="s">
        <v>3674</v>
      </c>
      <c r="M1" t="s">
        <v>14</v>
      </c>
      <c r="N1" t="s">
        <v>14</v>
      </c>
      <c r="O1" t="s">
        <v>3094</v>
      </c>
      <c r="P1" t="s">
        <v>3095</v>
      </c>
      <c r="Q1" t="s">
        <v>3675</v>
      </c>
      <c r="R1" t="s">
        <v>9</v>
      </c>
      <c r="S1" t="s">
        <v>10</v>
      </c>
      <c r="T1" t="s">
        <v>11</v>
      </c>
      <c r="U1" t="s">
        <v>19</v>
      </c>
      <c r="V1" t="s">
        <v>15</v>
      </c>
      <c r="W1" t="s">
        <v>23</v>
      </c>
      <c r="X1" t="s">
        <v>3524</v>
      </c>
      <c r="Y1" t="s">
        <v>3090</v>
      </c>
      <c r="Z1" t="s">
        <v>13</v>
      </c>
      <c r="AA1" t="s">
        <v>15</v>
      </c>
      <c r="AB1" t="s">
        <v>18</v>
      </c>
      <c r="AC1" t="s">
        <v>12</v>
      </c>
      <c r="AD1" t="s">
        <v>3093</v>
      </c>
      <c r="AE1" t="s">
        <v>3092</v>
      </c>
      <c r="AF1" t="s">
        <v>3091</v>
      </c>
      <c r="AG1" t="s">
        <v>13</v>
      </c>
      <c r="AH1" t="s">
        <v>3523</v>
      </c>
      <c r="AI1" t="s">
        <v>3676</v>
      </c>
      <c r="AJ1" t="s">
        <v>17</v>
      </c>
      <c r="AK1" t="s">
        <v>3677</v>
      </c>
      <c r="AL1" t="s">
        <v>20</v>
      </c>
      <c r="AM1" t="s">
        <v>21</v>
      </c>
      <c r="AN1" t="s">
        <v>22</v>
      </c>
    </row>
    <row r="2" spans="1:40">
      <c r="A2" t="s">
        <v>40</v>
      </c>
      <c r="B2" t="s">
        <v>34</v>
      </c>
      <c r="C2" t="s">
        <v>41</v>
      </c>
      <c r="D2" t="s">
        <v>42</v>
      </c>
      <c r="E2" s="1">
        <v>46078.955925925926</v>
      </c>
      <c r="F2" t="s">
        <v>26</v>
      </c>
      <c r="G2" t="s">
        <v>776</v>
      </c>
      <c r="H2" t="s">
        <v>3665</v>
      </c>
      <c r="I2" t="s">
        <v>43</v>
      </c>
      <c r="J2" t="s">
        <v>45</v>
      </c>
      <c r="K2" t="s">
        <v>44</v>
      </c>
      <c r="M2" t="s">
        <v>3526</v>
      </c>
      <c r="O2" t="s">
        <v>3099</v>
      </c>
      <c r="P2" t="s">
        <v>3100</v>
      </c>
      <c r="Q2" t="s">
        <v>3678</v>
      </c>
      <c r="R2" t="s">
        <v>46</v>
      </c>
      <c r="S2" t="s">
        <v>47</v>
      </c>
      <c r="T2" t="s">
        <v>48</v>
      </c>
      <c r="U2" s="1">
        <v>46078.957199074073</v>
      </c>
      <c r="V2" t="s">
        <v>31</v>
      </c>
      <c r="W2" t="s">
        <v>33</v>
      </c>
      <c r="X2" t="s">
        <v>3530</v>
      </c>
      <c r="Y2" t="s">
        <v>3098</v>
      </c>
      <c r="Z2" t="s">
        <v>38</v>
      </c>
      <c r="AA2" t="s">
        <v>31</v>
      </c>
      <c r="AB2" t="s">
        <v>49</v>
      </c>
      <c r="AC2" t="s">
        <v>30</v>
      </c>
      <c r="AD2" t="s">
        <v>46</v>
      </c>
      <c r="AE2" t="s">
        <v>47</v>
      </c>
      <c r="AF2" t="s">
        <v>48</v>
      </c>
      <c r="AG2" t="s">
        <v>38</v>
      </c>
      <c r="AH2">
        <v>15896</v>
      </c>
      <c r="AK2">
        <v>0</v>
      </c>
      <c r="AL2" t="s">
        <v>32</v>
      </c>
      <c r="AM2" t="s">
        <v>50</v>
      </c>
      <c r="AN2" t="s">
        <v>51</v>
      </c>
    </row>
    <row r="3" spans="1:40">
      <c r="A3" t="s">
        <v>52</v>
      </c>
      <c r="B3" t="s">
        <v>34</v>
      </c>
      <c r="C3" t="s">
        <v>53</v>
      </c>
      <c r="D3" t="s">
        <v>54</v>
      </c>
      <c r="E3" s="1">
        <v>46078.954895833333</v>
      </c>
      <c r="F3" t="s">
        <v>55</v>
      </c>
      <c r="G3" t="s">
        <v>776</v>
      </c>
      <c r="H3" t="s">
        <v>3666</v>
      </c>
      <c r="I3" t="s">
        <v>56</v>
      </c>
      <c r="J3" t="s">
        <v>45</v>
      </c>
      <c r="K3" t="s">
        <v>44</v>
      </c>
      <c r="M3" t="s">
        <v>3526</v>
      </c>
      <c r="O3" t="s">
        <v>3099</v>
      </c>
      <c r="P3" t="s">
        <v>3100</v>
      </c>
      <c r="Q3" t="s">
        <v>3678</v>
      </c>
      <c r="R3" t="s">
        <v>46</v>
      </c>
      <c r="S3" t="s">
        <v>57</v>
      </c>
      <c r="T3" t="s">
        <v>58</v>
      </c>
      <c r="U3" s="1">
        <v>46078.956701388888</v>
      </c>
      <c r="V3" t="s">
        <v>31</v>
      </c>
      <c r="W3" t="s">
        <v>33</v>
      </c>
      <c r="X3" t="s">
        <v>3530</v>
      </c>
      <c r="Y3" t="s">
        <v>3101</v>
      </c>
      <c r="Z3" t="s">
        <v>38</v>
      </c>
      <c r="AA3" t="s">
        <v>31</v>
      </c>
      <c r="AB3" t="s">
        <v>49</v>
      </c>
      <c r="AC3" t="s">
        <v>30</v>
      </c>
      <c r="AD3" t="s">
        <v>46</v>
      </c>
      <c r="AE3" t="s">
        <v>57</v>
      </c>
      <c r="AF3" t="s">
        <v>58</v>
      </c>
      <c r="AG3" t="s">
        <v>38</v>
      </c>
      <c r="AH3">
        <v>14513</v>
      </c>
      <c r="AK3">
        <v>0</v>
      </c>
      <c r="AL3" t="s">
        <v>32</v>
      </c>
      <c r="AM3" t="s">
        <v>59</v>
      </c>
      <c r="AN3" t="s">
        <v>60</v>
      </c>
    </row>
    <row r="4" spans="1:40">
      <c r="A4" t="s">
        <v>105</v>
      </c>
      <c r="B4" t="s">
        <v>34</v>
      </c>
      <c r="C4" t="s">
        <v>106</v>
      </c>
      <c r="D4" t="s">
        <v>107</v>
      </c>
      <c r="E4" s="1">
        <v>46078.790694444448</v>
      </c>
      <c r="F4" t="s">
        <v>108</v>
      </c>
      <c r="G4" t="s">
        <v>776</v>
      </c>
      <c r="H4" t="s">
        <v>3666</v>
      </c>
      <c r="I4" t="s">
        <v>109</v>
      </c>
      <c r="J4" t="s">
        <v>45</v>
      </c>
      <c r="K4" t="s">
        <v>44</v>
      </c>
      <c r="M4" t="s">
        <v>3526</v>
      </c>
      <c r="O4" t="s">
        <v>3099</v>
      </c>
      <c r="P4" t="s">
        <v>3100</v>
      </c>
      <c r="Q4" t="s">
        <v>3678</v>
      </c>
      <c r="R4" t="s">
        <v>46</v>
      </c>
      <c r="S4" t="s">
        <v>110</v>
      </c>
      <c r="T4" t="s">
        <v>111</v>
      </c>
      <c r="U4" s="1">
        <v>46078.791747685187</v>
      </c>
      <c r="V4" t="s">
        <v>31</v>
      </c>
      <c r="W4" t="s">
        <v>33</v>
      </c>
      <c r="X4" t="s">
        <v>3530</v>
      </c>
      <c r="Y4" t="s">
        <v>3102</v>
      </c>
      <c r="Z4" t="s">
        <v>38</v>
      </c>
      <c r="AA4" t="s">
        <v>31</v>
      </c>
      <c r="AB4" t="s">
        <v>49</v>
      </c>
      <c r="AC4" t="s">
        <v>30</v>
      </c>
      <c r="AD4" t="s">
        <v>46</v>
      </c>
      <c r="AE4" t="s">
        <v>110</v>
      </c>
      <c r="AF4" t="s">
        <v>111</v>
      </c>
      <c r="AG4" t="s">
        <v>38</v>
      </c>
      <c r="AH4" t="s">
        <v>3537</v>
      </c>
      <c r="AK4">
        <v>0</v>
      </c>
      <c r="AL4" t="s">
        <v>32</v>
      </c>
      <c r="AM4" t="s">
        <v>112</v>
      </c>
      <c r="AN4" t="s">
        <v>113</v>
      </c>
    </row>
    <row r="5" spans="1:40">
      <c r="A5" t="s">
        <v>219</v>
      </c>
      <c r="B5" t="s">
        <v>34</v>
      </c>
      <c r="C5" t="s">
        <v>220</v>
      </c>
      <c r="D5" t="s">
        <v>221</v>
      </c>
      <c r="E5" s="1">
        <v>46078.581655092596</v>
      </c>
      <c r="F5" t="s">
        <v>222</v>
      </c>
      <c r="G5" t="s">
        <v>776</v>
      </c>
      <c r="H5" t="s">
        <v>3666</v>
      </c>
      <c r="I5" t="s">
        <v>109</v>
      </c>
      <c r="J5" t="s">
        <v>205</v>
      </c>
      <c r="K5" t="s">
        <v>44</v>
      </c>
      <c r="M5" t="s">
        <v>3526</v>
      </c>
      <c r="O5" t="s">
        <v>3099</v>
      </c>
      <c r="P5" t="s">
        <v>3100</v>
      </c>
      <c r="Q5" t="s">
        <v>3678</v>
      </c>
      <c r="R5" t="s">
        <v>46</v>
      </c>
      <c r="S5" t="s">
        <v>110</v>
      </c>
      <c r="T5" t="s">
        <v>111</v>
      </c>
      <c r="U5" s="1">
        <v>46078.581956018519</v>
      </c>
      <c r="V5" t="s">
        <v>31</v>
      </c>
      <c r="W5" t="s">
        <v>33</v>
      </c>
      <c r="X5" t="s">
        <v>3530</v>
      </c>
      <c r="Y5" t="s">
        <v>3105</v>
      </c>
      <c r="Z5" t="s">
        <v>38</v>
      </c>
      <c r="AA5" t="s">
        <v>31</v>
      </c>
      <c r="AB5" t="s">
        <v>206</v>
      </c>
      <c r="AC5" t="s">
        <v>30</v>
      </c>
      <c r="AD5" t="s">
        <v>46</v>
      </c>
      <c r="AE5" t="s">
        <v>110</v>
      </c>
      <c r="AF5" t="s">
        <v>111</v>
      </c>
      <c r="AG5" t="s">
        <v>38</v>
      </c>
      <c r="AH5">
        <v>15885</v>
      </c>
      <c r="AK5">
        <v>0</v>
      </c>
      <c r="AL5" t="s">
        <v>32</v>
      </c>
      <c r="AM5" t="s">
        <v>223</v>
      </c>
      <c r="AN5" t="s">
        <v>224</v>
      </c>
    </row>
    <row r="6" spans="1:40">
      <c r="A6" t="s">
        <v>310</v>
      </c>
      <c r="B6" t="s">
        <v>24</v>
      </c>
      <c r="C6" t="s">
        <v>311</v>
      </c>
      <c r="D6" t="s">
        <v>99</v>
      </c>
      <c r="E6" s="1">
        <v>46078.53670138889</v>
      </c>
      <c r="F6" t="s">
        <v>245</v>
      </c>
      <c r="G6" t="s">
        <v>776</v>
      </c>
      <c r="H6" t="s">
        <v>3665</v>
      </c>
      <c r="I6" t="s">
        <v>312</v>
      </c>
      <c r="J6" t="s">
        <v>253</v>
      </c>
      <c r="K6" t="s">
        <v>44</v>
      </c>
      <c r="M6" t="s">
        <v>3526</v>
      </c>
      <c r="O6" t="s">
        <v>3103</v>
      </c>
      <c r="P6" t="s">
        <v>3104</v>
      </c>
      <c r="Q6" t="s">
        <v>3678</v>
      </c>
      <c r="R6" t="s">
        <v>46</v>
      </c>
      <c r="S6" t="s">
        <v>313</v>
      </c>
      <c r="T6" t="s">
        <v>314</v>
      </c>
      <c r="U6" s="1">
        <v>46078.572430555556</v>
      </c>
      <c r="V6" t="s">
        <v>31</v>
      </c>
      <c r="W6" t="s">
        <v>33</v>
      </c>
      <c r="X6" t="s">
        <v>3525</v>
      </c>
      <c r="Y6" t="s">
        <v>3106</v>
      </c>
      <c r="Z6" t="s">
        <v>38</v>
      </c>
      <c r="AA6" t="s">
        <v>31</v>
      </c>
      <c r="AB6" t="s">
        <v>243</v>
      </c>
      <c r="AC6" t="s">
        <v>86</v>
      </c>
      <c r="AD6" t="s">
        <v>46</v>
      </c>
      <c r="AE6" t="s">
        <v>313</v>
      </c>
      <c r="AF6" t="s">
        <v>314</v>
      </c>
      <c r="AG6" t="s">
        <v>38</v>
      </c>
      <c r="AH6">
        <v>15906</v>
      </c>
      <c r="AK6">
        <v>1</v>
      </c>
      <c r="AL6" t="s">
        <v>32</v>
      </c>
      <c r="AM6" t="s">
        <v>315</v>
      </c>
      <c r="AN6" t="s">
        <v>316</v>
      </c>
    </row>
    <row r="7" spans="1:40">
      <c r="A7" t="s">
        <v>362</v>
      </c>
      <c r="B7" t="s">
        <v>24</v>
      </c>
      <c r="C7" t="s">
        <v>363</v>
      </c>
      <c r="D7" t="s">
        <v>142</v>
      </c>
      <c r="E7" s="1">
        <v>46078.512835648151</v>
      </c>
      <c r="F7" t="s">
        <v>74</v>
      </c>
      <c r="G7" t="s">
        <v>776</v>
      </c>
      <c r="H7" t="s">
        <v>3665</v>
      </c>
      <c r="I7" t="s">
        <v>364</v>
      </c>
      <c r="J7" t="s">
        <v>253</v>
      </c>
      <c r="K7" t="s">
        <v>44</v>
      </c>
      <c r="M7" t="s">
        <v>3526</v>
      </c>
      <c r="O7" t="s">
        <v>3103</v>
      </c>
      <c r="P7" t="s">
        <v>3104</v>
      </c>
      <c r="R7" t="s">
        <v>46</v>
      </c>
      <c r="S7" t="s">
        <v>365</v>
      </c>
      <c r="T7" t="s">
        <v>366</v>
      </c>
      <c r="U7" s="1">
        <v>46078.561319444445</v>
      </c>
      <c r="V7" t="s">
        <v>31</v>
      </c>
      <c r="W7" t="s">
        <v>33</v>
      </c>
      <c r="X7" t="s">
        <v>3530</v>
      </c>
      <c r="Y7" t="s">
        <v>3107</v>
      </c>
      <c r="Z7" t="s">
        <v>38</v>
      </c>
      <c r="AA7" t="s">
        <v>31</v>
      </c>
      <c r="AB7" t="s">
        <v>367</v>
      </c>
      <c r="AC7" t="s">
        <v>86</v>
      </c>
      <c r="AD7" t="s">
        <v>46</v>
      </c>
      <c r="AE7" t="s">
        <v>365</v>
      </c>
      <c r="AF7" t="s">
        <v>366</v>
      </c>
      <c r="AG7" t="s">
        <v>38</v>
      </c>
      <c r="AH7">
        <v>15899</v>
      </c>
      <c r="AK7">
        <v>2</v>
      </c>
      <c r="AL7" t="s">
        <v>32</v>
      </c>
      <c r="AM7" t="s">
        <v>368</v>
      </c>
      <c r="AN7" t="s">
        <v>369</v>
      </c>
    </row>
    <row r="8" spans="1:40">
      <c r="A8" t="s">
        <v>370</v>
      </c>
      <c r="B8" t="s">
        <v>24</v>
      </c>
      <c r="C8" t="s">
        <v>371</v>
      </c>
      <c r="D8" t="s">
        <v>372</v>
      </c>
      <c r="E8" s="1">
        <v>46078.504259259258</v>
      </c>
      <c r="F8" t="s">
        <v>150</v>
      </c>
      <c r="G8" t="s">
        <v>776</v>
      </c>
      <c r="H8" t="s">
        <v>3671</v>
      </c>
      <c r="I8" t="s">
        <v>373</v>
      </c>
      <c r="J8" t="s">
        <v>179</v>
      </c>
      <c r="K8" t="s">
        <v>44</v>
      </c>
      <c r="M8" t="s">
        <v>3526</v>
      </c>
      <c r="O8" t="s">
        <v>3103</v>
      </c>
      <c r="P8" t="s">
        <v>3104</v>
      </c>
      <c r="Q8" t="s">
        <v>3678</v>
      </c>
      <c r="R8" t="s">
        <v>46</v>
      </c>
      <c r="S8" t="s">
        <v>374</v>
      </c>
      <c r="T8" t="s">
        <v>375</v>
      </c>
      <c r="U8" s="1">
        <v>46078.504976851851</v>
      </c>
      <c r="V8" t="s">
        <v>31</v>
      </c>
      <c r="W8" t="s">
        <v>33</v>
      </c>
      <c r="X8" t="s">
        <v>3530</v>
      </c>
      <c r="Y8" t="e">
        <f>- MS teams has been reinstalled - issue is resolved</f>
        <v>#NAME?</v>
      </c>
      <c r="Z8" t="s">
        <v>38</v>
      </c>
      <c r="AA8" t="s">
        <v>31</v>
      </c>
      <c r="AB8" t="s">
        <v>350</v>
      </c>
      <c r="AC8" t="s">
        <v>86</v>
      </c>
      <c r="AD8" t="s">
        <v>46</v>
      </c>
      <c r="AE8" t="s">
        <v>374</v>
      </c>
      <c r="AF8" t="s">
        <v>375</v>
      </c>
      <c r="AG8" t="s">
        <v>38</v>
      </c>
      <c r="AH8">
        <v>15882</v>
      </c>
      <c r="AK8">
        <v>0</v>
      </c>
      <c r="AL8" t="s">
        <v>32</v>
      </c>
      <c r="AM8" t="s">
        <v>376</v>
      </c>
      <c r="AN8" t="s">
        <v>377</v>
      </c>
    </row>
    <row r="9" spans="1:40">
      <c r="A9" t="s">
        <v>395</v>
      </c>
      <c r="B9" t="s">
        <v>34</v>
      </c>
      <c r="C9" t="s">
        <v>396</v>
      </c>
      <c r="D9" t="s">
        <v>397</v>
      </c>
      <c r="E9" s="1">
        <v>46078.495219907411</v>
      </c>
      <c r="F9" t="s">
        <v>26</v>
      </c>
      <c r="G9" t="s">
        <v>776</v>
      </c>
      <c r="H9" t="s">
        <v>3665</v>
      </c>
      <c r="I9" t="s">
        <v>398</v>
      </c>
      <c r="J9" t="s">
        <v>300</v>
      </c>
      <c r="K9" t="s">
        <v>44</v>
      </c>
      <c r="M9" t="s">
        <v>3526</v>
      </c>
      <c r="O9" t="s">
        <v>3099</v>
      </c>
      <c r="P9" t="s">
        <v>3100</v>
      </c>
      <c r="Q9" t="s">
        <v>3678</v>
      </c>
      <c r="R9" t="s">
        <v>46</v>
      </c>
      <c r="S9" t="s">
        <v>47</v>
      </c>
      <c r="T9" t="s">
        <v>48</v>
      </c>
      <c r="U9" s="1">
        <v>46078.495381944442</v>
      </c>
      <c r="V9" t="s">
        <v>31</v>
      </c>
      <c r="W9" t="s">
        <v>33</v>
      </c>
      <c r="X9" t="s">
        <v>3530</v>
      </c>
      <c r="Y9" t="s">
        <v>3108</v>
      </c>
      <c r="Z9" t="s">
        <v>38</v>
      </c>
      <c r="AA9" t="s">
        <v>31</v>
      </c>
      <c r="AB9" t="s">
        <v>399</v>
      </c>
      <c r="AC9" t="s">
        <v>30</v>
      </c>
      <c r="AD9" t="s">
        <v>46</v>
      </c>
      <c r="AE9" t="s">
        <v>47</v>
      </c>
      <c r="AF9" t="s">
        <v>48</v>
      </c>
      <c r="AG9" t="s">
        <v>38</v>
      </c>
      <c r="AH9">
        <v>13872</v>
      </c>
      <c r="AK9">
        <v>0</v>
      </c>
      <c r="AL9" t="s">
        <v>32</v>
      </c>
      <c r="AM9" t="s">
        <v>400</v>
      </c>
      <c r="AN9" t="s">
        <v>401</v>
      </c>
    </row>
    <row r="10" spans="1:40">
      <c r="A10" t="s">
        <v>407</v>
      </c>
      <c r="B10" t="s">
        <v>34</v>
      </c>
      <c r="C10" t="s">
        <v>408</v>
      </c>
      <c r="D10" t="s">
        <v>409</v>
      </c>
      <c r="E10" s="1">
        <v>46078.495185185187</v>
      </c>
      <c r="F10" t="s">
        <v>117</v>
      </c>
      <c r="G10" t="s">
        <v>776</v>
      </c>
      <c r="H10" t="s">
        <v>3668</v>
      </c>
      <c r="I10" t="s">
        <v>410</v>
      </c>
      <c r="J10" t="s">
        <v>411</v>
      </c>
      <c r="K10" t="s">
        <v>44</v>
      </c>
      <c r="M10" t="s">
        <v>3526</v>
      </c>
      <c r="O10" t="s">
        <v>3103</v>
      </c>
      <c r="P10" t="s">
        <v>3104</v>
      </c>
      <c r="Q10" t="s">
        <v>3682</v>
      </c>
      <c r="R10" t="s">
        <v>46</v>
      </c>
      <c r="S10" t="s">
        <v>110</v>
      </c>
      <c r="T10" t="s">
        <v>412</v>
      </c>
      <c r="U10" s="1">
        <v>46078.496504629627</v>
      </c>
      <c r="V10" t="s">
        <v>31</v>
      </c>
      <c r="W10" t="s">
        <v>33</v>
      </c>
      <c r="X10" t="s">
        <v>3530</v>
      </c>
      <c r="Y10" t="s">
        <v>3109</v>
      </c>
      <c r="Z10" t="s">
        <v>38</v>
      </c>
      <c r="AA10" t="s">
        <v>31</v>
      </c>
      <c r="AB10" t="s">
        <v>413</v>
      </c>
      <c r="AC10" t="s">
        <v>86</v>
      </c>
      <c r="AD10" t="s">
        <v>46</v>
      </c>
      <c r="AE10" t="s">
        <v>110</v>
      </c>
      <c r="AF10" t="s">
        <v>3110</v>
      </c>
      <c r="AG10" t="s">
        <v>38</v>
      </c>
      <c r="AH10">
        <v>12524</v>
      </c>
      <c r="AK10">
        <v>0</v>
      </c>
      <c r="AL10" t="s">
        <v>32</v>
      </c>
      <c r="AM10" t="s">
        <v>414</v>
      </c>
      <c r="AN10" t="s">
        <v>415</v>
      </c>
    </row>
    <row r="11" spans="1:40">
      <c r="A11" t="s">
        <v>440</v>
      </c>
      <c r="B11" t="s">
        <v>24</v>
      </c>
      <c r="C11" t="s">
        <v>402</v>
      </c>
      <c r="D11" t="s">
        <v>441</v>
      </c>
      <c r="E11" s="1">
        <v>46078.489930555559</v>
      </c>
      <c r="F11" t="s">
        <v>168</v>
      </c>
      <c r="G11" t="s">
        <v>776</v>
      </c>
      <c r="H11" t="s">
        <v>3669</v>
      </c>
      <c r="I11" t="s">
        <v>442</v>
      </c>
      <c r="J11" t="s">
        <v>300</v>
      </c>
      <c r="K11" t="s">
        <v>44</v>
      </c>
      <c r="M11" t="s">
        <v>3526</v>
      </c>
      <c r="O11" t="s">
        <v>3103</v>
      </c>
      <c r="P11" t="s">
        <v>3104</v>
      </c>
      <c r="Q11" t="s">
        <v>3678</v>
      </c>
      <c r="R11" t="s">
        <v>46</v>
      </c>
      <c r="S11" t="s">
        <v>443</v>
      </c>
      <c r="T11" t="s">
        <v>444</v>
      </c>
      <c r="U11" s="1">
        <v>46078.491875</v>
      </c>
      <c r="V11" t="s">
        <v>31</v>
      </c>
      <c r="W11" t="s">
        <v>33</v>
      </c>
      <c r="X11" t="s">
        <v>3530</v>
      </c>
      <c r="Y11" t="s">
        <v>3111</v>
      </c>
      <c r="Z11" t="s">
        <v>38</v>
      </c>
      <c r="AA11" t="s">
        <v>31</v>
      </c>
      <c r="AB11" t="s">
        <v>399</v>
      </c>
      <c r="AC11" t="s">
        <v>86</v>
      </c>
      <c r="AD11" t="s">
        <v>46</v>
      </c>
      <c r="AE11" t="s">
        <v>3113</v>
      </c>
      <c r="AF11" t="s">
        <v>3112</v>
      </c>
      <c r="AG11" t="s">
        <v>38</v>
      </c>
      <c r="AH11">
        <v>13457</v>
      </c>
      <c r="AK11">
        <v>0</v>
      </c>
      <c r="AL11" t="s">
        <v>32</v>
      </c>
      <c r="AM11" t="s">
        <v>445</v>
      </c>
      <c r="AN11" t="s">
        <v>446</v>
      </c>
    </row>
    <row r="12" spans="1:40">
      <c r="A12" t="s">
        <v>456</v>
      </c>
      <c r="B12" t="s">
        <v>34</v>
      </c>
      <c r="C12" t="s">
        <v>457</v>
      </c>
      <c r="D12" t="s">
        <v>458</v>
      </c>
      <c r="E12" s="1">
        <v>46078.479004629633</v>
      </c>
      <c r="F12" t="s">
        <v>62</v>
      </c>
      <c r="G12" t="s">
        <v>776</v>
      </c>
      <c r="H12" t="s">
        <v>3668</v>
      </c>
      <c r="I12" t="s">
        <v>459</v>
      </c>
      <c r="J12" t="s">
        <v>179</v>
      </c>
      <c r="K12" t="s">
        <v>44</v>
      </c>
      <c r="M12" t="s">
        <v>3526</v>
      </c>
      <c r="O12" t="s">
        <v>3099</v>
      </c>
      <c r="P12" t="s">
        <v>3100</v>
      </c>
      <c r="Q12" t="s">
        <v>3678</v>
      </c>
      <c r="R12" t="s">
        <v>46</v>
      </c>
      <c r="S12" t="s">
        <v>110</v>
      </c>
      <c r="T12" t="s">
        <v>460</v>
      </c>
      <c r="U12" s="1">
        <v>46078.479212962964</v>
      </c>
      <c r="V12" t="s">
        <v>31</v>
      </c>
      <c r="W12" t="s">
        <v>33</v>
      </c>
      <c r="X12" t="s">
        <v>3530</v>
      </c>
      <c r="Y12" t="s">
        <v>3114</v>
      </c>
      <c r="Z12" t="s">
        <v>38</v>
      </c>
      <c r="AA12" t="s">
        <v>31</v>
      </c>
      <c r="AB12" t="s">
        <v>350</v>
      </c>
      <c r="AC12" t="s">
        <v>30</v>
      </c>
      <c r="AD12" t="s">
        <v>46</v>
      </c>
      <c r="AE12" t="s">
        <v>110</v>
      </c>
      <c r="AF12" t="s">
        <v>3110</v>
      </c>
      <c r="AG12" t="s">
        <v>38</v>
      </c>
      <c r="AH12">
        <v>15898</v>
      </c>
      <c r="AK12">
        <v>0</v>
      </c>
      <c r="AL12" t="s">
        <v>32</v>
      </c>
      <c r="AM12" t="s">
        <v>461</v>
      </c>
      <c r="AN12" t="s">
        <v>462</v>
      </c>
    </row>
    <row r="13" spans="1:40">
      <c r="A13" t="s">
        <v>484</v>
      </c>
      <c r="B13" t="s">
        <v>24</v>
      </c>
      <c r="C13" t="s">
        <v>485</v>
      </c>
      <c r="D13" t="s">
        <v>486</v>
      </c>
      <c r="E13" s="1">
        <v>46078.454432870371</v>
      </c>
      <c r="F13" t="s">
        <v>35</v>
      </c>
      <c r="G13" t="s">
        <v>776</v>
      </c>
      <c r="H13" t="s">
        <v>3672</v>
      </c>
      <c r="I13" t="s">
        <v>487</v>
      </c>
      <c r="J13" t="s">
        <v>300</v>
      </c>
      <c r="K13" t="s">
        <v>44</v>
      </c>
      <c r="M13" t="s">
        <v>3526</v>
      </c>
      <c r="O13" t="s">
        <v>3103</v>
      </c>
      <c r="P13" t="s">
        <v>3104</v>
      </c>
      <c r="R13" t="s">
        <v>46</v>
      </c>
      <c r="S13" t="s">
        <v>454</v>
      </c>
      <c r="T13" t="s">
        <v>488</v>
      </c>
      <c r="U13" s="1">
        <v>46078.455405092594</v>
      </c>
      <c r="V13" t="s">
        <v>31</v>
      </c>
      <c r="W13" t="s">
        <v>33</v>
      </c>
      <c r="X13" t="s">
        <v>3530</v>
      </c>
      <c r="Y13" t="s">
        <v>3115</v>
      </c>
      <c r="Z13" t="s">
        <v>38</v>
      </c>
      <c r="AA13" t="s">
        <v>31</v>
      </c>
      <c r="AB13" t="s">
        <v>399</v>
      </c>
      <c r="AC13" t="s">
        <v>86</v>
      </c>
      <c r="AD13" t="s">
        <v>46</v>
      </c>
      <c r="AE13" t="s">
        <v>454</v>
      </c>
      <c r="AF13" t="s">
        <v>3116</v>
      </c>
      <c r="AG13" t="s">
        <v>38</v>
      </c>
      <c r="AH13">
        <v>14932</v>
      </c>
      <c r="AK13">
        <v>0</v>
      </c>
      <c r="AL13" t="s">
        <v>32</v>
      </c>
      <c r="AM13" t="s">
        <v>489</v>
      </c>
      <c r="AN13" t="s">
        <v>490</v>
      </c>
    </row>
    <row r="14" spans="1:40">
      <c r="A14" t="s">
        <v>492</v>
      </c>
      <c r="B14" t="s">
        <v>24</v>
      </c>
      <c r="C14" t="s">
        <v>169</v>
      </c>
      <c r="D14" t="s">
        <v>195</v>
      </c>
      <c r="E14" s="1">
        <v>46078.450879629629</v>
      </c>
      <c r="F14" t="s">
        <v>26</v>
      </c>
      <c r="G14" t="s">
        <v>776</v>
      </c>
      <c r="H14" t="s">
        <v>3665</v>
      </c>
      <c r="I14" t="s">
        <v>493</v>
      </c>
      <c r="J14" t="s">
        <v>494</v>
      </c>
      <c r="K14" t="s">
        <v>134</v>
      </c>
      <c r="M14" t="s">
        <v>3526</v>
      </c>
      <c r="O14" t="s">
        <v>3103</v>
      </c>
      <c r="P14" t="s">
        <v>3104</v>
      </c>
      <c r="Q14" t="s">
        <v>3678</v>
      </c>
      <c r="R14" t="s">
        <v>46</v>
      </c>
      <c r="S14" t="s">
        <v>495</v>
      </c>
      <c r="T14" t="s">
        <v>496</v>
      </c>
      <c r="U14" s="1">
        <v>46078.554189814815</v>
      </c>
      <c r="V14" t="s">
        <v>31</v>
      </c>
      <c r="W14" t="s">
        <v>33</v>
      </c>
      <c r="X14" t="s">
        <v>3530</v>
      </c>
      <c r="Y14" t="e">
        <f>- All the Drivers has been successfully upgraded from Lenovo.</f>
        <v>#NAME?</v>
      </c>
      <c r="Z14" t="s">
        <v>38</v>
      </c>
      <c r="AA14" t="s">
        <v>31</v>
      </c>
      <c r="AB14" t="s">
        <v>266</v>
      </c>
      <c r="AC14" t="s">
        <v>86</v>
      </c>
      <c r="AD14" t="s">
        <v>46</v>
      </c>
      <c r="AE14" t="s">
        <v>197</v>
      </c>
      <c r="AF14" t="s">
        <v>3117</v>
      </c>
      <c r="AG14" t="s">
        <v>38</v>
      </c>
      <c r="AH14">
        <v>15978</v>
      </c>
      <c r="AK14">
        <v>1</v>
      </c>
      <c r="AL14" t="s">
        <v>32</v>
      </c>
      <c r="AM14" t="s">
        <v>308</v>
      </c>
      <c r="AN14" t="s">
        <v>309</v>
      </c>
    </row>
    <row r="15" spans="1:40">
      <c r="A15" t="s">
        <v>501</v>
      </c>
      <c r="B15" t="s">
        <v>34</v>
      </c>
      <c r="C15" t="s">
        <v>502</v>
      </c>
      <c r="D15" t="s">
        <v>503</v>
      </c>
      <c r="E15" s="1">
        <v>46078.448252314818</v>
      </c>
      <c r="F15" t="s">
        <v>26</v>
      </c>
      <c r="G15" t="s">
        <v>776</v>
      </c>
      <c r="H15" t="s">
        <v>3665</v>
      </c>
      <c r="I15" t="s">
        <v>504</v>
      </c>
      <c r="J15" t="s">
        <v>300</v>
      </c>
      <c r="K15" t="s">
        <v>44</v>
      </c>
      <c r="M15" t="s">
        <v>3526</v>
      </c>
      <c r="O15" t="s">
        <v>3099</v>
      </c>
      <c r="P15" t="s">
        <v>3100</v>
      </c>
      <c r="Q15" t="s">
        <v>3678</v>
      </c>
      <c r="R15" t="s">
        <v>46</v>
      </c>
      <c r="S15" t="s">
        <v>348</v>
      </c>
      <c r="T15" t="s">
        <v>506</v>
      </c>
      <c r="U15" s="1">
        <v>46078.44866898148</v>
      </c>
      <c r="V15" t="s">
        <v>31</v>
      </c>
      <c r="W15" t="s">
        <v>33</v>
      </c>
      <c r="X15" t="s">
        <v>3530</v>
      </c>
      <c r="Y15" t="s">
        <v>3118</v>
      </c>
      <c r="Z15" t="s">
        <v>38</v>
      </c>
      <c r="AA15" t="s">
        <v>31</v>
      </c>
      <c r="AB15" t="s">
        <v>399</v>
      </c>
      <c r="AC15" t="s">
        <v>30</v>
      </c>
      <c r="AD15" t="s">
        <v>46</v>
      </c>
      <c r="AE15" t="s">
        <v>348</v>
      </c>
      <c r="AF15" t="s">
        <v>506</v>
      </c>
      <c r="AG15" t="s">
        <v>38</v>
      </c>
      <c r="AH15">
        <v>2942</v>
      </c>
      <c r="AK15">
        <v>0</v>
      </c>
      <c r="AL15" t="s">
        <v>181</v>
      </c>
      <c r="AM15" t="s">
        <v>507</v>
      </c>
      <c r="AN15" t="s">
        <v>508</v>
      </c>
    </row>
    <row r="16" spans="1:40">
      <c r="A16" t="s">
        <v>510</v>
      </c>
      <c r="B16" t="s">
        <v>34</v>
      </c>
      <c r="C16" t="s">
        <v>511</v>
      </c>
      <c r="D16" t="s">
        <v>512</v>
      </c>
      <c r="E16" s="1">
        <v>46078.441724537035</v>
      </c>
      <c r="F16" t="s">
        <v>26</v>
      </c>
      <c r="G16" t="s">
        <v>776</v>
      </c>
      <c r="H16" t="s">
        <v>3665</v>
      </c>
      <c r="I16" t="s">
        <v>513</v>
      </c>
      <c r="J16" t="s">
        <v>514</v>
      </c>
      <c r="K16" t="s">
        <v>44</v>
      </c>
      <c r="M16" t="s">
        <v>3526</v>
      </c>
      <c r="O16" t="s">
        <v>3099</v>
      </c>
      <c r="P16" t="s">
        <v>3100</v>
      </c>
      <c r="Q16" t="s">
        <v>3678</v>
      </c>
      <c r="R16" t="s">
        <v>46</v>
      </c>
      <c r="S16" t="s">
        <v>515</v>
      </c>
      <c r="T16" t="s">
        <v>516</v>
      </c>
      <c r="U16" s="1">
        <v>46078.444120370368</v>
      </c>
      <c r="V16" t="s">
        <v>31</v>
      </c>
      <c r="W16" t="s">
        <v>33</v>
      </c>
      <c r="X16" t="s">
        <v>3530</v>
      </c>
      <c r="Y16" t="s">
        <v>3119</v>
      </c>
      <c r="Z16" t="s">
        <v>38</v>
      </c>
      <c r="AA16" t="s">
        <v>31</v>
      </c>
      <c r="AB16" t="s">
        <v>266</v>
      </c>
      <c r="AC16" t="s">
        <v>30</v>
      </c>
      <c r="AD16" t="s">
        <v>46</v>
      </c>
      <c r="AE16" t="s">
        <v>515</v>
      </c>
      <c r="AF16" t="s">
        <v>3120</v>
      </c>
      <c r="AG16" t="s">
        <v>38</v>
      </c>
      <c r="AH16" t="s">
        <v>3560</v>
      </c>
      <c r="AK16">
        <v>0</v>
      </c>
      <c r="AL16" t="s">
        <v>32</v>
      </c>
      <c r="AM16" t="s">
        <v>517</v>
      </c>
      <c r="AN16" t="s">
        <v>518</v>
      </c>
    </row>
    <row r="17" spans="1:40">
      <c r="A17" t="s">
        <v>519</v>
      </c>
      <c r="B17" t="s">
        <v>34</v>
      </c>
      <c r="C17" t="s">
        <v>169</v>
      </c>
      <c r="D17" t="s">
        <v>170</v>
      </c>
      <c r="E17" s="1">
        <v>46078.438703703701</v>
      </c>
      <c r="F17" t="s">
        <v>26</v>
      </c>
      <c r="G17" t="s">
        <v>776</v>
      </c>
      <c r="H17" t="s">
        <v>3665</v>
      </c>
      <c r="I17" t="s">
        <v>520</v>
      </c>
      <c r="J17" t="s">
        <v>205</v>
      </c>
      <c r="K17" t="s">
        <v>44</v>
      </c>
      <c r="M17" t="s">
        <v>3526</v>
      </c>
      <c r="O17" t="s">
        <v>3099</v>
      </c>
      <c r="P17" t="s">
        <v>3100</v>
      </c>
      <c r="Q17" t="s">
        <v>3691</v>
      </c>
      <c r="R17" t="s">
        <v>46</v>
      </c>
      <c r="S17" t="s">
        <v>188</v>
      </c>
      <c r="T17" t="s">
        <v>521</v>
      </c>
      <c r="U17" s="1">
        <v>46078.438958333332</v>
      </c>
      <c r="V17" t="s">
        <v>31</v>
      </c>
      <c r="W17" t="s">
        <v>33</v>
      </c>
      <c r="X17" t="s">
        <v>3530</v>
      </c>
      <c r="Y17" t="s">
        <v>3121</v>
      </c>
      <c r="Z17" t="s">
        <v>38</v>
      </c>
      <c r="AA17" t="s">
        <v>31</v>
      </c>
      <c r="AB17" t="s">
        <v>206</v>
      </c>
      <c r="AC17" t="s">
        <v>30</v>
      </c>
      <c r="AD17" t="s">
        <v>46</v>
      </c>
      <c r="AE17" t="s">
        <v>188</v>
      </c>
      <c r="AF17" t="s">
        <v>521</v>
      </c>
      <c r="AG17" t="s">
        <v>38</v>
      </c>
      <c r="AH17">
        <v>11229</v>
      </c>
      <c r="AK17">
        <v>0</v>
      </c>
      <c r="AL17" t="s">
        <v>32</v>
      </c>
      <c r="AM17" t="s">
        <v>522</v>
      </c>
      <c r="AN17" t="s">
        <v>523</v>
      </c>
    </row>
    <row r="18" spans="1:40">
      <c r="A18" t="s">
        <v>524</v>
      </c>
      <c r="B18" t="s">
        <v>34</v>
      </c>
      <c r="C18" t="s">
        <v>169</v>
      </c>
      <c r="D18" t="s">
        <v>170</v>
      </c>
      <c r="E18" s="1">
        <v>46078.433946759258</v>
      </c>
      <c r="F18" t="s">
        <v>26</v>
      </c>
      <c r="G18" t="s">
        <v>776</v>
      </c>
      <c r="H18" t="s">
        <v>3665</v>
      </c>
      <c r="I18" t="s">
        <v>505</v>
      </c>
      <c r="J18" t="s">
        <v>205</v>
      </c>
      <c r="K18" t="s">
        <v>44</v>
      </c>
      <c r="M18" t="s">
        <v>3526</v>
      </c>
      <c r="O18" t="s">
        <v>3099</v>
      </c>
      <c r="P18" t="s">
        <v>3100</v>
      </c>
      <c r="Q18" t="s">
        <v>3691</v>
      </c>
      <c r="R18" t="s">
        <v>46</v>
      </c>
      <c r="S18" t="s">
        <v>348</v>
      </c>
      <c r="T18" t="s">
        <v>506</v>
      </c>
      <c r="U18" s="1">
        <v>46078.434618055559</v>
      </c>
      <c r="V18" t="s">
        <v>31</v>
      </c>
      <c r="W18" t="s">
        <v>33</v>
      </c>
      <c r="X18" t="s">
        <v>3530</v>
      </c>
      <c r="Y18" t="s">
        <v>3122</v>
      </c>
      <c r="Z18" t="s">
        <v>38</v>
      </c>
      <c r="AA18" t="s">
        <v>31</v>
      </c>
      <c r="AB18" t="s">
        <v>206</v>
      </c>
      <c r="AC18" t="s">
        <v>30</v>
      </c>
      <c r="AD18" t="s">
        <v>46</v>
      </c>
      <c r="AE18" t="s">
        <v>348</v>
      </c>
      <c r="AF18" t="s">
        <v>506</v>
      </c>
      <c r="AG18" t="s">
        <v>38</v>
      </c>
      <c r="AH18">
        <v>11229</v>
      </c>
      <c r="AK18">
        <v>0</v>
      </c>
      <c r="AL18" t="s">
        <v>32</v>
      </c>
      <c r="AM18" t="s">
        <v>522</v>
      </c>
      <c r="AN18" t="s">
        <v>523</v>
      </c>
    </row>
    <row r="19" spans="1:40">
      <c r="A19" t="s">
        <v>533</v>
      </c>
      <c r="B19" t="s">
        <v>34</v>
      </c>
      <c r="C19" t="s">
        <v>115</v>
      </c>
      <c r="D19" t="s">
        <v>534</v>
      </c>
      <c r="E19" s="1">
        <v>46078.423622685186</v>
      </c>
      <c r="F19" t="s">
        <v>67</v>
      </c>
      <c r="G19" t="s">
        <v>776</v>
      </c>
      <c r="H19" t="s">
        <v>3671</v>
      </c>
      <c r="I19" t="s">
        <v>535</v>
      </c>
      <c r="J19" t="s">
        <v>411</v>
      </c>
      <c r="K19" t="s">
        <v>44</v>
      </c>
      <c r="M19" t="s">
        <v>3526</v>
      </c>
      <c r="O19" t="s">
        <v>3099</v>
      </c>
      <c r="P19" t="s">
        <v>3100</v>
      </c>
      <c r="Q19" t="s">
        <v>3678</v>
      </c>
      <c r="R19" t="s">
        <v>46</v>
      </c>
      <c r="S19" t="s">
        <v>188</v>
      </c>
      <c r="T19" t="s">
        <v>431</v>
      </c>
      <c r="U19" s="1">
        <v>46078.425543981481</v>
      </c>
      <c r="V19" t="s">
        <v>31</v>
      </c>
      <c r="W19" t="s">
        <v>33</v>
      </c>
      <c r="X19" t="s">
        <v>3530</v>
      </c>
      <c r="Y19" t="s">
        <v>3123</v>
      </c>
      <c r="Z19" t="s">
        <v>38</v>
      </c>
      <c r="AA19" t="s">
        <v>31</v>
      </c>
      <c r="AB19" t="s">
        <v>413</v>
      </c>
      <c r="AC19" t="s">
        <v>30</v>
      </c>
      <c r="AD19" t="s">
        <v>46</v>
      </c>
      <c r="AE19" t="s">
        <v>188</v>
      </c>
      <c r="AF19" t="s">
        <v>431</v>
      </c>
      <c r="AG19" t="s">
        <v>38</v>
      </c>
      <c r="AH19">
        <v>15969</v>
      </c>
      <c r="AK19">
        <v>0</v>
      </c>
      <c r="AL19" t="s">
        <v>32</v>
      </c>
      <c r="AM19" t="s">
        <v>536</v>
      </c>
      <c r="AN19" t="s">
        <v>537</v>
      </c>
    </row>
    <row r="20" spans="1:40">
      <c r="A20" t="s">
        <v>538</v>
      </c>
      <c r="B20" t="s">
        <v>34</v>
      </c>
      <c r="C20" t="s">
        <v>115</v>
      </c>
      <c r="D20" t="s">
        <v>534</v>
      </c>
      <c r="E20" s="1">
        <v>46078.422453703701</v>
      </c>
      <c r="F20" t="s">
        <v>67</v>
      </c>
      <c r="G20" t="s">
        <v>776</v>
      </c>
      <c r="H20" t="s">
        <v>3671</v>
      </c>
      <c r="I20" t="s">
        <v>539</v>
      </c>
      <c r="J20" t="s">
        <v>411</v>
      </c>
      <c r="K20" t="s">
        <v>44</v>
      </c>
      <c r="M20" t="s">
        <v>3526</v>
      </c>
      <c r="O20" t="s">
        <v>3099</v>
      </c>
      <c r="P20" t="s">
        <v>3100</v>
      </c>
      <c r="Q20" t="s">
        <v>3678</v>
      </c>
      <c r="R20" t="s">
        <v>46</v>
      </c>
      <c r="S20" t="s">
        <v>379</v>
      </c>
      <c r="T20" t="s">
        <v>379</v>
      </c>
      <c r="U20" s="1">
        <v>46078.422986111109</v>
      </c>
      <c r="V20" t="s">
        <v>31</v>
      </c>
      <c r="W20" t="s">
        <v>33</v>
      </c>
      <c r="X20" t="s">
        <v>3530</v>
      </c>
      <c r="Y20" t="s">
        <v>3124</v>
      </c>
      <c r="Z20" t="s">
        <v>38</v>
      </c>
      <c r="AA20" t="s">
        <v>31</v>
      </c>
      <c r="AB20" t="s">
        <v>413</v>
      </c>
      <c r="AC20" t="s">
        <v>30</v>
      </c>
      <c r="AD20" t="s">
        <v>46</v>
      </c>
      <c r="AE20" t="s">
        <v>379</v>
      </c>
      <c r="AF20" t="s">
        <v>379</v>
      </c>
      <c r="AG20" t="s">
        <v>38</v>
      </c>
      <c r="AH20">
        <v>15969</v>
      </c>
      <c r="AK20">
        <v>0</v>
      </c>
      <c r="AL20" t="s">
        <v>32</v>
      </c>
      <c r="AM20" t="s">
        <v>536</v>
      </c>
      <c r="AN20" t="s">
        <v>537</v>
      </c>
    </row>
    <row r="21" spans="1:40">
      <c r="A21" t="s">
        <v>540</v>
      </c>
      <c r="B21" t="s">
        <v>34</v>
      </c>
      <c r="C21" t="s">
        <v>541</v>
      </c>
      <c r="D21" t="s">
        <v>542</v>
      </c>
      <c r="E21" s="1">
        <v>46078.421284722222</v>
      </c>
      <c r="F21" t="s">
        <v>143</v>
      </c>
      <c r="G21" t="s">
        <v>776</v>
      </c>
      <c r="H21" t="s">
        <v>3670</v>
      </c>
      <c r="I21" t="s">
        <v>543</v>
      </c>
      <c r="J21" t="s">
        <v>514</v>
      </c>
      <c r="K21" t="s">
        <v>44</v>
      </c>
      <c r="M21" t="s">
        <v>3526</v>
      </c>
      <c r="O21" t="s">
        <v>3099</v>
      </c>
      <c r="P21" t="s">
        <v>3100</v>
      </c>
      <c r="Q21" t="s">
        <v>3692</v>
      </c>
      <c r="R21" t="s">
        <v>46</v>
      </c>
      <c r="S21" t="s">
        <v>379</v>
      </c>
      <c r="T21" t="s">
        <v>379</v>
      </c>
      <c r="U21" s="1">
        <v>46078.422337962962</v>
      </c>
      <c r="V21" t="s">
        <v>31</v>
      </c>
      <c r="W21" t="s">
        <v>33</v>
      </c>
      <c r="X21" t="s">
        <v>3530</v>
      </c>
      <c r="Y21" t="s">
        <v>3125</v>
      </c>
      <c r="Z21" t="s">
        <v>38</v>
      </c>
      <c r="AA21" t="s">
        <v>31</v>
      </c>
      <c r="AB21" t="s">
        <v>266</v>
      </c>
      <c r="AC21" t="s">
        <v>30</v>
      </c>
      <c r="AD21" t="s">
        <v>46</v>
      </c>
      <c r="AE21" t="s">
        <v>379</v>
      </c>
      <c r="AF21" t="s">
        <v>379</v>
      </c>
      <c r="AG21" t="s">
        <v>38</v>
      </c>
      <c r="AH21">
        <v>9062</v>
      </c>
      <c r="AK21">
        <v>0</v>
      </c>
      <c r="AL21" t="s">
        <v>32</v>
      </c>
      <c r="AM21" t="s">
        <v>544</v>
      </c>
      <c r="AN21" t="s">
        <v>545</v>
      </c>
    </row>
    <row r="22" spans="1:40">
      <c r="A22" t="s">
        <v>550</v>
      </c>
      <c r="B22" t="s">
        <v>24</v>
      </c>
      <c r="C22" t="s">
        <v>551</v>
      </c>
      <c r="D22" t="s">
        <v>435</v>
      </c>
      <c r="E22" s="1">
        <v>46078.420289351852</v>
      </c>
      <c r="F22" t="s">
        <v>74</v>
      </c>
      <c r="G22" t="s">
        <v>776</v>
      </c>
      <c r="H22" t="s">
        <v>3665</v>
      </c>
      <c r="I22" t="s">
        <v>552</v>
      </c>
      <c r="J22" t="s">
        <v>411</v>
      </c>
      <c r="K22" t="s">
        <v>44</v>
      </c>
      <c r="M22" t="s">
        <v>3526</v>
      </c>
      <c r="O22" t="s">
        <v>3103</v>
      </c>
      <c r="P22" t="s">
        <v>3104</v>
      </c>
      <c r="Q22" t="s">
        <v>3678</v>
      </c>
      <c r="R22" t="s">
        <v>46</v>
      </c>
      <c r="S22" t="s">
        <v>313</v>
      </c>
      <c r="T22" t="s">
        <v>547</v>
      </c>
      <c r="U22" s="1">
        <v>46078.421400462961</v>
      </c>
      <c r="V22" t="s">
        <v>31</v>
      </c>
      <c r="W22" t="s">
        <v>33</v>
      </c>
      <c r="X22" t="s">
        <v>3530</v>
      </c>
      <c r="Y22" t="s">
        <v>3126</v>
      </c>
      <c r="Z22" t="s">
        <v>38</v>
      </c>
      <c r="AA22" t="s">
        <v>31</v>
      </c>
      <c r="AB22" t="s">
        <v>413</v>
      </c>
      <c r="AC22" t="s">
        <v>86</v>
      </c>
      <c r="AD22" t="s">
        <v>46</v>
      </c>
      <c r="AE22" t="s">
        <v>313</v>
      </c>
      <c r="AF22" t="s">
        <v>2282</v>
      </c>
      <c r="AG22" t="s">
        <v>38</v>
      </c>
      <c r="AH22" t="s">
        <v>3562</v>
      </c>
      <c r="AK22">
        <v>0</v>
      </c>
      <c r="AL22" t="s">
        <v>32</v>
      </c>
      <c r="AM22" t="s">
        <v>553</v>
      </c>
      <c r="AN22" t="s">
        <v>554</v>
      </c>
    </row>
    <row r="23" spans="1:40">
      <c r="A23" t="s">
        <v>556</v>
      </c>
      <c r="B23" t="s">
        <v>24</v>
      </c>
      <c r="C23" t="s">
        <v>296</v>
      </c>
      <c r="D23" t="s">
        <v>557</v>
      </c>
      <c r="E23" s="1">
        <v>46078.416886574072</v>
      </c>
      <c r="F23" t="s">
        <v>222</v>
      </c>
      <c r="G23" t="s">
        <v>776</v>
      </c>
      <c r="H23" t="s">
        <v>3666</v>
      </c>
      <c r="I23" t="s">
        <v>558</v>
      </c>
      <c r="J23" t="s">
        <v>411</v>
      </c>
      <c r="K23" t="s">
        <v>44</v>
      </c>
      <c r="M23" t="s">
        <v>3526</v>
      </c>
      <c r="O23" t="s">
        <v>3103</v>
      </c>
      <c r="P23" t="s">
        <v>3104</v>
      </c>
      <c r="R23" t="s">
        <v>46</v>
      </c>
      <c r="S23" t="s">
        <v>559</v>
      </c>
      <c r="T23" t="s">
        <v>48</v>
      </c>
      <c r="U23" s="1">
        <v>46078.417962962965</v>
      </c>
      <c r="V23" t="s">
        <v>31</v>
      </c>
      <c r="W23" t="s">
        <v>33</v>
      </c>
      <c r="X23" t="s">
        <v>3530</v>
      </c>
      <c r="Y23" t="s">
        <v>3127</v>
      </c>
      <c r="Z23" t="s">
        <v>38</v>
      </c>
      <c r="AA23" t="s">
        <v>31</v>
      </c>
      <c r="AB23" t="s">
        <v>413</v>
      </c>
      <c r="AC23" t="s">
        <v>86</v>
      </c>
      <c r="AD23" t="s">
        <v>46</v>
      </c>
      <c r="AE23" t="s">
        <v>559</v>
      </c>
      <c r="AF23" t="s">
        <v>3128</v>
      </c>
      <c r="AG23" t="s">
        <v>38</v>
      </c>
      <c r="AH23">
        <v>14915</v>
      </c>
      <c r="AK23">
        <v>0</v>
      </c>
      <c r="AL23" t="s">
        <v>32</v>
      </c>
      <c r="AM23" t="s">
        <v>560</v>
      </c>
      <c r="AN23" t="s">
        <v>561</v>
      </c>
    </row>
    <row r="24" spans="1:40">
      <c r="A24" t="s">
        <v>563</v>
      </c>
      <c r="B24" t="s">
        <v>34</v>
      </c>
      <c r="C24" t="s">
        <v>91</v>
      </c>
      <c r="D24" t="s">
        <v>546</v>
      </c>
      <c r="E24" s="1">
        <v>46078.418888888889</v>
      </c>
      <c r="F24" t="s">
        <v>353</v>
      </c>
      <c r="G24" t="s">
        <v>776</v>
      </c>
      <c r="H24" t="s">
        <v>3671</v>
      </c>
      <c r="I24" t="s">
        <v>505</v>
      </c>
      <c r="J24" t="s">
        <v>205</v>
      </c>
      <c r="K24" t="s">
        <v>44</v>
      </c>
      <c r="M24" t="s">
        <v>3526</v>
      </c>
      <c r="O24" t="s">
        <v>3099</v>
      </c>
      <c r="P24" t="s">
        <v>3100</v>
      </c>
      <c r="Q24" t="s">
        <v>3678</v>
      </c>
      <c r="R24" t="s">
        <v>46</v>
      </c>
      <c r="S24" t="s">
        <v>348</v>
      </c>
      <c r="T24" t="s">
        <v>506</v>
      </c>
      <c r="U24" s="1">
        <v>46078.419791666667</v>
      </c>
      <c r="V24" t="s">
        <v>31</v>
      </c>
      <c r="W24" t="s">
        <v>33</v>
      </c>
      <c r="X24" t="s">
        <v>3530</v>
      </c>
      <c r="Y24" t="s">
        <v>3129</v>
      </c>
      <c r="Z24" t="s">
        <v>38</v>
      </c>
      <c r="AA24" t="s">
        <v>31</v>
      </c>
      <c r="AB24" t="s">
        <v>206</v>
      </c>
      <c r="AC24" t="s">
        <v>30</v>
      </c>
      <c r="AD24" t="s">
        <v>46</v>
      </c>
      <c r="AE24" t="s">
        <v>348</v>
      </c>
      <c r="AF24" t="s">
        <v>506</v>
      </c>
      <c r="AG24" t="s">
        <v>38</v>
      </c>
      <c r="AH24">
        <v>15670</v>
      </c>
      <c r="AK24">
        <v>0</v>
      </c>
      <c r="AL24" t="s">
        <v>32</v>
      </c>
      <c r="AM24" t="s">
        <v>548</v>
      </c>
      <c r="AN24" t="s">
        <v>549</v>
      </c>
    </row>
    <row r="25" spans="1:40">
      <c r="A25" t="s">
        <v>570</v>
      </c>
      <c r="B25" t="s">
        <v>34</v>
      </c>
      <c r="C25" t="s">
        <v>263</v>
      </c>
      <c r="D25" t="s">
        <v>264</v>
      </c>
      <c r="E25" s="1">
        <v>46078.412256944444</v>
      </c>
      <c r="F25" t="s">
        <v>265</v>
      </c>
      <c r="G25" t="s">
        <v>776</v>
      </c>
      <c r="H25" t="s">
        <v>3671</v>
      </c>
      <c r="I25" t="s">
        <v>571</v>
      </c>
      <c r="J25" t="s">
        <v>514</v>
      </c>
      <c r="K25" t="s">
        <v>44</v>
      </c>
      <c r="M25" t="s">
        <v>3526</v>
      </c>
      <c r="O25" t="s">
        <v>3099</v>
      </c>
      <c r="P25" t="s">
        <v>3100</v>
      </c>
      <c r="Q25" t="s">
        <v>3694</v>
      </c>
      <c r="R25" t="s">
        <v>46</v>
      </c>
      <c r="S25" t="s">
        <v>188</v>
      </c>
      <c r="T25" t="s">
        <v>431</v>
      </c>
      <c r="U25" s="1">
        <v>46078.473356481481</v>
      </c>
      <c r="V25" t="s">
        <v>31</v>
      </c>
      <c r="W25" t="s">
        <v>33</v>
      </c>
      <c r="X25" t="s">
        <v>3530</v>
      </c>
      <c r="Y25" t="s">
        <v>3130</v>
      </c>
      <c r="Z25" t="s">
        <v>38</v>
      </c>
      <c r="AA25" t="s">
        <v>31</v>
      </c>
      <c r="AB25" t="s">
        <v>266</v>
      </c>
      <c r="AC25" t="s">
        <v>30</v>
      </c>
      <c r="AD25" t="s">
        <v>46</v>
      </c>
      <c r="AE25" t="s">
        <v>188</v>
      </c>
      <c r="AF25" t="s">
        <v>431</v>
      </c>
      <c r="AG25" t="s">
        <v>38</v>
      </c>
      <c r="AH25">
        <v>2951</v>
      </c>
      <c r="AK25">
        <v>2</v>
      </c>
      <c r="AL25" t="s">
        <v>32</v>
      </c>
      <c r="AM25" t="s">
        <v>267</v>
      </c>
      <c r="AN25" t="s">
        <v>268</v>
      </c>
    </row>
    <row r="26" spans="1:40">
      <c r="A26" t="s">
        <v>576</v>
      </c>
      <c r="B26" t="s">
        <v>34</v>
      </c>
      <c r="C26" t="s">
        <v>577</v>
      </c>
      <c r="D26" t="s">
        <v>577</v>
      </c>
      <c r="E26" s="1">
        <v>46078.408101851855</v>
      </c>
      <c r="F26" t="s">
        <v>153</v>
      </c>
      <c r="G26" t="s">
        <v>776</v>
      </c>
      <c r="H26" t="s">
        <v>3669</v>
      </c>
      <c r="I26" t="s">
        <v>578</v>
      </c>
      <c r="J26" t="s">
        <v>411</v>
      </c>
      <c r="K26" t="s">
        <v>44</v>
      </c>
      <c r="M26" t="s">
        <v>3526</v>
      </c>
      <c r="O26" t="s">
        <v>3099</v>
      </c>
      <c r="P26" t="s">
        <v>3100</v>
      </c>
      <c r="Q26" t="s">
        <v>3695</v>
      </c>
      <c r="R26" t="s">
        <v>46</v>
      </c>
      <c r="S26" t="s">
        <v>348</v>
      </c>
      <c r="T26" t="s">
        <v>506</v>
      </c>
      <c r="U26" s="1">
        <v>46078.409305555557</v>
      </c>
      <c r="V26" t="s">
        <v>31</v>
      </c>
      <c r="W26" t="s">
        <v>33</v>
      </c>
      <c r="X26" t="s">
        <v>3530</v>
      </c>
      <c r="Y26" t="s">
        <v>3131</v>
      </c>
      <c r="Z26" t="s">
        <v>38</v>
      </c>
      <c r="AA26" t="s">
        <v>31</v>
      </c>
      <c r="AB26" t="s">
        <v>413</v>
      </c>
      <c r="AC26" t="s">
        <v>30</v>
      </c>
      <c r="AD26" t="s">
        <v>46</v>
      </c>
      <c r="AE26" t="s">
        <v>348</v>
      </c>
      <c r="AF26" t="s">
        <v>506</v>
      </c>
      <c r="AG26" t="s">
        <v>38</v>
      </c>
      <c r="AH26">
        <v>2301</v>
      </c>
      <c r="AK26">
        <v>0</v>
      </c>
      <c r="AL26" t="s">
        <v>32</v>
      </c>
      <c r="AM26" t="s">
        <v>579</v>
      </c>
      <c r="AN26" t="s">
        <v>580</v>
      </c>
    </row>
    <row r="27" spans="1:40">
      <c r="A27" t="s">
        <v>589</v>
      </c>
      <c r="B27" t="s">
        <v>34</v>
      </c>
      <c r="C27" t="s">
        <v>99</v>
      </c>
      <c r="D27" t="s">
        <v>195</v>
      </c>
      <c r="E27" s="1">
        <v>46078.40519675926</v>
      </c>
      <c r="F27" t="s">
        <v>262</v>
      </c>
      <c r="G27" t="s">
        <v>776</v>
      </c>
      <c r="H27" t="s">
        <v>3666</v>
      </c>
      <c r="I27" t="s">
        <v>590</v>
      </c>
      <c r="J27" t="s">
        <v>300</v>
      </c>
      <c r="K27" t="s">
        <v>44</v>
      </c>
      <c r="M27" t="s">
        <v>3526</v>
      </c>
      <c r="O27" t="s">
        <v>3099</v>
      </c>
      <c r="P27" t="s">
        <v>3100</v>
      </c>
      <c r="Q27" t="s">
        <v>3678</v>
      </c>
      <c r="R27" t="s">
        <v>46</v>
      </c>
      <c r="S27" t="s">
        <v>379</v>
      </c>
      <c r="T27" t="s">
        <v>379</v>
      </c>
      <c r="U27" s="1">
        <v>46078.405370370368</v>
      </c>
      <c r="V27" t="s">
        <v>31</v>
      </c>
      <c r="W27" t="s">
        <v>33</v>
      </c>
      <c r="X27" t="s">
        <v>3530</v>
      </c>
      <c r="Y27" t="s">
        <v>3132</v>
      </c>
      <c r="Z27" t="s">
        <v>38</v>
      </c>
      <c r="AA27" t="s">
        <v>31</v>
      </c>
      <c r="AB27" t="s">
        <v>399</v>
      </c>
      <c r="AC27" t="s">
        <v>30</v>
      </c>
      <c r="AD27" t="s">
        <v>46</v>
      </c>
      <c r="AE27" t="s">
        <v>379</v>
      </c>
      <c r="AF27" t="s">
        <v>379</v>
      </c>
      <c r="AG27" t="s">
        <v>38</v>
      </c>
      <c r="AH27">
        <v>12598</v>
      </c>
      <c r="AK27">
        <v>0</v>
      </c>
      <c r="AL27" t="s">
        <v>32</v>
      </c>
      <c r="AM27" t="s">
        <v>591</v>
      </c>
      <c r="AN27" t="s">
        <v>592</v>
      </c>
    </row>
    <row r="28" spans="1:40">
      <c r="A28" t="s">
        <v>596</v>
      </c>
      <c r="B28" t="s">
        <v>34</v>
      </c>
      <c r="C28" t="s">
        <v>597</v>
      </c>
      <c r="D28" t="s">
        <v>598</v>
      </c>
      <c r="E28" s="1">
        <v>46078.400243055556</v>
      </c>
      <c r="F28" t="s">
        <v>238</v>
      </c>
      <c r="G28" t="s">
        <v>776</v>
      </c>
      <c r="H28" t="s">
        <v>3665</v>
      </c>
      <c r="I28" t="s">
        <v>590</v>
      </c>
      <c r="J28" t="s">
        <v>205</v>
      </c>
      <c r="K28" t="s">
        <v>44</v>
      </c>
      <c r="M28" t="s">
        <v>3526</v>
      </c>
      <c r="O28" t="s">
        <v>3099</v>
      </c>
      <c r="P28" t="s">
        <v>3100</v>
      </c>
      <c r="Q28" t="s">
        <v>3678</v>
      </c>
      <c r="R28" t="s">
        <v>46</v>
      </c>
      <c r="S28" t="s">
        <v>379</v>
      </c>
      <c r="T28" t="s">
        <v>379</v>
      </c>
      <c r="U28" s="1">
        <v>46078.400439814817</v>
      </c>
      <c r="V28" t="s">
        <v>31</v>
      </c>
      <c r="W28" t="s">
        <v>33</v>
      </c>
      <c r="X28" t="s">
        <v>3530</v>
      </c>
      <c r="Y28" t="s">
        <v>3132</v>
      </c>
      <c r="Z28" t="s">
        <v>38</v>
      </c>
      <c r="AA28" t="s">
        <v>31</v>
      </c>
      <c r="AB28" t="s">
        <v>206</v>
      </c>
      <c r="AC28" t="s">
        <v>30</v>
      </c>
      <c r="AD28" t="s">
        <v>46</v>
      </c>
      <c r="AE28" t="s">
        <v>379</v>
      </c>
      <c r="AF28" t="s">
        <v>379</v>
      </c>
      <c r="AG28" t="s">
        <v>38</v>
      </c>
      <c r="AH28">
        <v>13189</v>
      </c>
      <c r="AK28">
        <v>0</v>
      </c>
      <c r="AL28" t="s">
        <v>32</v>
      </c>
      <c r="AM28" t="s">
        <v>599</v>
      </c>
      <c r="AN28" t="s">
        <v>600</v>
      </c>
    </row>
    <row r="29" spans="1:40">
      <c r="A29" t="s">
        <v>601</v>
      </c>
      <c r="B29" t="s">
        <v>34</v>
      </c>
      <c r="C29" t="s">
        <v>602</v>
      </c>
      <c r="D29" t="s">
        <v>603</v>
      </c>
      <c r="E29" s="1">
        <v>46078.41474537037</v>
      </c>
      <c r="F29" t="s">
        <v>128</v>
      </c>
      <c r="G29" t="s">
        <v>776</v>
      </c>
      <c r="H29" t="s">
        <v>3668</v>
      </c>
      <c r="I29" t="s">
        <v>505</v>
      </c>
      <c r="J29" t="s">
        <v>205</v>
      </c>
      <c r="K29" t="s">
        <v>44</v>
      </c>
      <c r="M29" t="s">
        <v>3526</v>
      </c>
      <c r="O29" t="s">
        <v>3099</v>
      </c>
      <c r="P29" t="s">
        <v>3100</v>
      </c>
      <c r="Q29" t="s">
        <v>3678</v>
      </c>
      <c r="R29" t="s">
        <v>46</v>
      </c>
      <c r="S29" t="s">
        <v>348</v>
      </c>
      <c r="T29" t="s">
        <v>506</v>
      </c>
      <c r="U29" s="1">
        <v>46078.414988425924</v>
      </c>
      <c r="V29" t="s">
        <v>31</v>
      </c>
      <c r="W29" t="s">
        <v>33</v>
      </c>
      <c r="X29" t="s">
        <v>3530</v>
      </c>
      <c r="Y29" t="s">
        <v>3133</v>
      </c>
      <c r="Z29" t="s">
        <v>38</v>
      </c>
      <c r="AA29" t="s">
        <v>31</v>
      </c>
      <c r="AB29" t="s">
        <v>206</v>
      </c>
      <c r="AC29" t="s">
        <v>30</v>
      </c>
      <c r="AD29" t="s">
        <v>46</v>
      </c>
      <c r="AE29" t="s">
        <v>348</v>
      </c>
      <c r="AF29" t="s">
        <v>506</v>
      </c>
      <c r="AG29" t="s">
        <v>38</v>
      </c>
      <c r="AH29" t="s">
        <v>3564</v>
      </c>
      <c r="AK29">
        <v>0</v>
      </c>
      <c r="AL29" t="s">
        <v>32</v>
      </c>
      <c r="AM29" t="s">
        <v>604</v>
      </c>
      <c r="AN29" t="s">
        <v>605</v>
      </c>
    </row>
    <row r="30" spans="1:40">
      <c r="A30" t="s">
        <v>606</v>
      </c>
      <c r="B30" t="s">
        <v>34</v>
      </c>
      <c r="C30" t="s">
        <v>447</v>
      </c>
      <c r="D30" t="s">
        <v>607</v>
      </c>
      <c r="E30" s="1">
        <v>46078.479849537034</v>
      </c>
      <c r="F30" t="s">
        <v>283</v>
      </c>
      <c r="G30" t="s">
        <v>776</v>
      </c>
      <c r="H30" t="s">
        <v>3670</v>
      </c>
      <c r="I30" t="s">
        <v>608</v>
      </c>
      <c r="J30" t="s">
        <v>205</v>
      </c>
      <c r="K30" t="s">
        <v>44</v>
      </c>
      <c r="M30" t="s">
        <v>3526</v>
      </c>
      <c r="O30" t="s">
        <v>3099</v>
      </c>
      <c r="P30" t="s">
        <v>3100</v>
      </c>
      <c r="R30" t="s">
        <v>46</v>
      </c>
      <c r="S30" t="s">
        <v>379</v>
      </c>
      <c r="T30" t="s">
        <v>379</v>
      </c>
      <c r="U30" s="1">
        <v>46078.480486111112</v>
      </c>
      <c r="V30" t="s">
        <v>31</v>
      </c>
      <c r="W30" t="s">
        <v>33</v>
      </c>
      <c r="X30" t="s">
        <v>3530</v>
      </c>
      <c r="Y30" t="s">
        <v>3134</v>
      </c>
      <c r="Z30" t="s">
        <v>38</v>
      </c>
      <c r="AA30" t="s">
        <v>31</v>
      </c>
      <c r="AB30" t="s">
        <v>206</v>
      </c>
      <c r="AC30" t="s">
        <v>30</v>
      </c>
      <c r="AD30" t="s">
        <v>46</v>
      </c>
      <c r="AE30" t="s">
        <v>379</v>
      </c>
      <c r="AF30" t="s">
        <v>379</v>
      </c>
      <c r="AG30" t="s">
        <v>38</v>
      </c>
      <c r="AH30">
        <v>14988</v>
      </c>
      <c r="AK30">
        <v>0</v>
      </c>
      <c r="AL30" t="s">
        <v>32</v>
      </c>
      <c r="AM30" t="s">
        <v>609</v>
      </c>
      <c r="AN30" t="s">
        <v>610</v>
      </c>
    </row>
    <row r="31" spans="1:40">
      <c r="A31" t="s">
        <v>615</v>
      </c>
      <c r="B31" t="s">
        <v>24</v>
      </c>
      <c r="C31" t="s">
        <v>79</v>
      </c>
      <c r="D31" t="s">
        <v>616</v>
      </c>
      <c r="E31" s="1">
        <v>46078.394768518519</v>
      </c>
      <c r="F31" t="s">
        <v>426</v>
      </c>
      <c r="G31" t="s">
        <v>776</v>
      </c>
      <c r="H31" t="s">
        <v>3672</v>
      </c>
      <c r="I31" t="s">
        <v>617</v>
      </c>
      <c r="J31" t="s">
        <v>179</v>
      </c>
      <c r="K31" t="s">
        <v>44</v>
      </c>
      <c r="M31" t="s">
        <v>3526</v>
      </c>
      <c r="O31" t="s">
        <v>3103</v>
      </c>
      <c r="P31" t="s">
        <v>3104</v>
      </c>
      <c r="Q31" t="s">
        <v>3678</v>
      </c>
      <c r="R31" t="s">
        <v>46</v>
      </c>
      <c r="S31" t="s">
        <v>374</v>
      </c>
      <c r="T31" t="s">
        <v>618</v>
      </c>
      <c r="U31" s="1">
        <v>46078.443599537037</v>
      </c>
      <c r="V31" t="s">
        <v>31</v>
      </c>
      <c r="W31" t="s">
        <v>33</v>
      </c>
      <c r="X31" t="s">
        <v>3530</v>
      </c>
      <c r="Y31" t="s">
        <v>3135</v>
      </c>
      <c r="Z31" t="s">
        <v>38</v>
      </c>
      <c r="AA31" t="s">
        <v>31</v>
      </c>
      <c r="AB31" t="s">
        <v>350</v>
      </c>
      <c r="AC31" t="s">
        <v>86</v>
      </c>
      <c r="AD31" t="s">
        <v>46</v>
      </c>
      <c r="AE31" t="s">
        <v>374</v>
      </c>
      <c r="AF31" t="s">
        <v>618</v>
      </c>
      <c r="AG31" t="s">
        <v>38</v>
      </c>
      <c r="AH31">
        <v>11870</v>
      </c>
      <c r="AK31">
        <v>0</v>
      </c>
      <c r="AL31" t="s">
        <v>32</v>
      </c>
      <c r="AM31" t="s">
        <v>619</v>
      </c>
      <c r="AN31" t="s">
        <v>620</v>
      </c>
    </row>
    <row r="32" spans="1:40">
      <c r="A32" t="s">
        <v>621</v>
      </c>
      <c r="B32" t="s">
        <v>24</v>
      </c>
      <c r="C32" t="s">
        <v>622</v>
      </c>
      <c r="D32" t="s">
        <v>623</v>
      </c>
      <c r="E32" s="1">
        <v>46078.396377314813</v>
      </c>
      <c r="F32" t="s">
        <v>55</v>
      </c>
      <c r="G32" t="s">
        <v>776</v>
      </c>
      <c r="H32" t="s">
        <v>3666</v>
      </c>
      <c r="I32" t="s">
        <v>624</v>
      </c>
      <c r="J32" t="s">
        <v>300</v>
      </c>
      <c r="K32" t="s">
        <v>44</v>
      </c>
      <c r="M32" t="s">
        <v>3526</v>
      </c>
      <c r="O32" t="s">
        <v>3103</v>
      </c>
      <c r="P32" t="s">
        <v>3104</v>
      </c>
      <c r="Q32" t="s">
        <v>3678</v>
      </c>
      <c r="R32" t="s">
        <v>46</v>
      </c>
      <c r="S32" t="s">
        <v>454</v>
      </c>
      <c r="T32" t="s">
        <v>488</v>
      </c>
      <c r="U32" s="1">
        <v>46078.398090277777</v>
      </c>
      <c r="V32" t="s">
        <v>31</v>
      </c>
      <c r="W32" t="s">
        <v>33</v>
      </c>
      <c r="X32" t="s">
        <v>3530</v>
      </c>
      <c r="Y32" t="s">
        <v>3136</v>
      </c>
      <c r="Z32" t="s">
        <v>38</v>
      </c>
      <c r="AA32" t="s">
        <v>31</v>
      </c>
      <c r="AB32" t="s">
        <v>399</v>
      </c>
      <c r="AC32" t="s">
        <v>86</v>
      </c>
      <c r="AD32" t="s">
        <v>46</v>
      </c>
      <c r="AE32" t="s">
        <v>454</v>
      </c>
      <c r="AF32" t="s">
        <v>3116</v>
      </c>
      <c r="AG32" t="s">
        <v>38</v>
      </c>
      <c r="AH32" t="s">
        <v>3566</v>
      </c>
      <c r="AK32">
        <v>0</v>
      </c>
      <c r="AL32" t="s">
        <v>32</v>
      </c>
      <c r="AM32" t="s">
        <v>625</v>
      </c>
      <c r="AN32" t="s">
        <v>626</v>
      </c>
    </row>
    <row r="33" spans="1:40">
      <c r="A33" t="s">
        <v>638</v>
      </c>
      <c r="B33" t="s">
        <v>24</v>
      </c>
      <c r="C33" t="s">
        <v>639</v>
      </c>
      <c r="D33" t="s">
        <v>640</v>
      </c>
      <c r="E33" s="1">
        <v>46078.382708333331</v>
      </c>
      <c r="F33" t="s">
        <v>117</v>
      </c>
      <c r="G33" t="s">
        <v>776</v>
      </c>
      <c r="H33" t="s">
        <v>3668</v>
      </c>
      <c r="I33" t="s">
        <v>641</v>
      </c>
      <c r="J33" t="s">
        <v>642</v>
      </c>
      <c r="K33" t="s">
        <v>134</v>
      </c>
      <c r="M33" t="s">
        <v>3526</v>
      </c>
      <c r="O33" t="s">
        <v>3096</v>
      </c>
      <c r="P33" t="s">
        <v>3097</v>
      </c>
      <c r="Q33" t="s">
        <v>3689</v>
      </c>
      <c r="R33" t="s">
        <v>46</v>
      </c>
      <c r="S33" t="s">
        <v>365</v>
      </c>
      <c r="T33" t="s">
        <v>366</v>
      </c>
      <c r="U33" s="1">
        <v>46078.398032407407</v>
      </c>
      <c r="V33" t="s">
        <v>180</v>
      </c>
      <c r="W33" t="s">
        <v>33</v>
      </c>
      <c r="X33" t="s">
        <v>3530</v>
      </c>
      <c r="Y33" t="e">
        <f>- the issue has been resolved after restarting the laptop</f>
        <v>#NAME?</v>
      </c>
      <c r="Z33" t="s">
        <v>38</v>
      </c>
      <c r="AA33" t="s">
        <v>180</v>
      </c>
      <c r="AB33" t="s">
        <v>266</v>
      </c>
      <c r="AC33" t="s">
        <v>37</v>
      </c>
      <c r="AD33" t="s">
        <v>46</v>
      </c>
      <c r="AE33" t="s">
        <v>582</v>
      </c>
      <c r="AF33" t="s">
        <v>3137</v>
      </c>
      <c r="AG33" t="s">
        <v>38</v>
      </c>
      <c r="AH33">
        <v>12521</v>
      </c>
      <c r="AK33">
        <v>1</v>
      </c>
      <c r="AL33" t="s">
        <v>181</v>
      </c>
      <c r="AM33" t="s">
        <v>643</v>
      </c>
      <c r="AN33" t="s">
        <v>644</v>
      </c>
    </row>
    <row r="34" spans="1:40">
      <c r="A34" t="s">
        <v>655</v>
      </c>
      <c r="B34" t="s">
        <v>34</v>
      </c>
      <c r="C34" t="s">
        <v>246</v>
      </c>
      <c r="D34" t="s">
        <v>247</v>
      </c>
      <c r="E34" s="1">
        <v>46078.374710648146</v>
      </c>
      <c r="F34" t="s">
        <v>210</v>
      </c>
      <c r="G34" t="s">
        <v>776</v>
      </c>
      <c r="H34" t="s">
        <v>3667</v>
      </c>
      <c r="I34" t="s">
        <v>656</v>
      </c>
      <c r="J34" t="s">
        <v>300</v>
      </c>
      <c r="K34" t="s">
        <v>44</v>
      </c>
      <c r="M34" t="s">
        <v>3526</v>
      </c>
      <c r="O34" t="s">
        <v>3099</v>
      </c>
      <c r="P34" t="s">
        <v>3100</v>
      </c>
      <c r="Q34" t="s">
        <v>3678</v>
      </c>
      <c r="R34" t="s">
        <v>46</v>
      </c>
      <c r="S34" t="s">
        <v>47</v>
      </c>
      <c r="T34" t="s">
        <v>657</v>
      </c>
      <c r="U34" s="1">
        <v>46078.375300925924</v>
      </c>
      <c r="V34" t="s">
        <v>31</v>
      </c>
      <c r="W34" t="s">
        <v>33</v>
      </c>
      <c r="X34" t="s">
        <v>3525</v>
      </c>
      <c r="Y34" t="s">
        <v>3138</v>
      </c>
      <c r="Z34" t="s">
        <v>38</v>
      </c>
      <c r="AA34" t="s">
        <v>31</v>
      </c>
      <c r="AB34" t="s">
        <v>399</v>
      </c>
      <c r="AC34" t="s">
        <v>30</v>
      </c>
      <c r="AD34" t="s">
        <v>46</v>
      </c>
      <c r="AE34" t="s">
        <v>47</v>
      </c>
      <c r="AF34" t="s">
        <v>657</v>
      </c>
      <c r="AG34" t="s">
        <v>38</v>
      </c>
      <c r="AH34" t="s">
        <v>3546</v>
      </c>
      <c r="AK34">
        <v>0</v>
      </c>
      <c r="AL34" t="s">
        <v>32</v>
      </c>
      <c r="AM34" t="s">
        <v>248</v>
      </c>
      <c r="AN34" t="s">
        <v>249</v>
      </c>
    </row>
    <row r="35" spans="1:40">
      <c r="A35" t="s">
        <v>662</v>
      </c>
      <c r="B35" t="s">
        <v>24</v>
      </c>
      <c r="C35" t="s">
        <v>663</v>
      </c>
      <c r="D35" t="s">
        <v>664</v>
      </c>
      <c r="E35" s="1">
        <v>46078.371412037035</v>
      </c>
      <c r="F35" t="s">
        <v>593</v>
      </c>
      <c r="G35" t="s">
        <v>776</v>
      </c>
      <c r="H35" t="s">
        <v>3669</v>
      </c>
      <c r="I35" t="s">
        <v>665</v>
      </c>
      <c r="J35" t="s">
        <v>300</v>
      </c>
      <c r="K35" t="s">
        <v>44</v>
      </c>
      <c r="M35" t="s">
        <v>3526</v>
      </c>
      <c r="O35" t="s">
        <v>3103</v>
      </c>
      <c r="P35" t="s">
        <v>3104</v>
      </c>
      <c r="Q35" t="s">
        <v>3678</v>
      </c>
      <c r="R35" t="s">
        <v>46</v>
      </c>
      <c r="S35" t="s">
        <v>443</v>
      </c>
      <c r="T35" t="s">
        <v>444</v>
      </c>
      <c r="U35" s="1">
        <v>46078.372384259259</v>
      </c>
      <c r="V35" t="s">
        <v>31</v>
      </c>
      <c r="W35" t="s">
        <v>33</v>
      </c>
      <c r="X35" t="s">
        <v>3530</v>
      </c>
      <c r="Y35" t="s">
        <v>3111</v>
      </c>
      <c r="Z35" t="s">
        <v>38</v>
      </c>
      <c r="AA35" t="s">
        <v>31</v>
      </c>
      <c r="AB35" t="s">
        <v>399</v>
      </c>
      <c r="AC35" t="s">
        <v>86</v>
      </c>
      <c r="AD35" t="s">
        <v>46</v>
      </c>
      <c r="AE35" t="s">
        <v>3113</v>
      </c>
      <c r="AF35" t="s">
        <v>3112</v>
      </c>
      <c r="AG35" t="s">
        <v>38</v>
      </c>
      <c r="AH35">
        <v>15959</v>
      </c>
      <c r="AK35">
        <v>0</v>
      </c>
      <c r="AL35" t="s">
        <v>32</v>
      </c>
      <c r="AM35" t="s">
        <v>666</v>
      </c>
      <c r="AN35" t="s">
        <v>667</v>
      </c>
    </row>
    <row r="36" spans="1:40">
      <c r="A36" t="s">
        <v>683</v>
      </c>
      <c r="B36" t="s">
        <v>34</v>
      </c>
      <c r="C36" t="s">
        <v>684</v>
      </c>
      <c r="D36" t="s">
        <v>685</v>
      </c>
      <c r="E36" s="1">
        <v>46078.36613425926</v>
      </c>
      <c r="F36" t="s">
        <v>77</v>
      </c>
      <c r="G36" t="s">
        <v>776</v>
      </c>
      <c r="H36" t="s">
        <v>3669</v>
      </c>
      <c r="I36" t="s">
        <v>608</v>
      </c>
      <c r="J36" t="s">
        <v>205</v>
      </c>
      <c r="K36" t="s">
        <v>44</v>
      </c>
      <c r="M36" t="s">
        <v>3526</v>
      </c>
      <c r="O36" t="s">
        <v>3099</v>
      </c>
      <c r="P36" t="s">
        <v>3100</v>
      </c>
      <c r="R36" t="s">
        <v>46</v>
      </c>
      <c r="S36" t="s">
        <v>379</v>
      </c>
      <c r="T36" t="s">
        <v>379</v>
      </c>
      <c r="U36" s="1">
        <v>46078.366435185184</v>
      </c>
      <c r="V36" t="s">
        <v>31</v>
      </c>
      <c r="W36" t="s">
        <v>33</v>
      </c>
      <c r="X36" t="s">
        <v>3530</v>
      </c>
      <c r="Y36" t="s">
        <v>3139</v>
      </c>
      <c r="Z36" t="s">
        <v>38</v>
      </c>
      <c r="AA36" t="s">
        <v>31</v>
      </c>
      <c r="AB36" t="s">
        <v>206</v>
      </c>
      <c r="AC36" t="s">
        <v>30</v>
      </c>
      <c r="AD36" t="s">
        <v>46</v>
      </c>
      <c r="AE36" t="s">
        <v>379</v>
      </c>
      <c r="AF36" t="s">
        <v>379</v>
      </c>
      <c r="AG36" t="s">
        <v>38</v>
      </c>
      <c r="AH36" t="s">
        <v>3571</v>
      </c>
      <c r="AK36">
        <v>0</v>
      </c>
      <c r="AL36" t="s">
        <v>32</v>
      </c>
      <c r="AM36" t="s">
        <v>686</v>
      </c>
      <c r="AN36" t="s">
        <v>687</v>
      </c>
    </row>
    <row r="37" spans="1:40">
      <c r="A37" t="s">
        <v>689</v>
      </c>
      <c r="B37" t="s">
        <v>34</v>
      </c>
      <c r="C37" t="s">
        <v>690</v>
      </c>
      <c r="D37" t="s">
        <v>691</v>
      </c>
      <c r="E37" s="1">
        <v>46078.35527777778</v>
      </c>
      <c r="F37" t="s">
        <v>426</v>
      </c>
      <c r="G37" t="s">
        <v>776</v>
      </c>
      <c r="H37" t="s">
        <v>3672</v>
      </c>
      <c r="I37" t="s">
        <v>692</v>
      </c>
      <c r="J37" t="s">
        <v>300</v>
      </c>
      <c r="K37" t="s">
        <v>44</v>
      </c>
      <c r="M37" t="s">
        <v>3526</v>
      </c>
      <c r="O37" t="s">
        <v>3099</v>
      </c>
      <c r="P37" t="s">
        <v>3100</v>
      </c>
      <c r="Q37" t="s">
        <v>3678</v>
      </c>
      <c r="R37" t="s">
        <v>46</v>
      </c>
      <c r="S37" t="s">
        <v>379</v>
      </c>
      <c r="T37" t="s">
        <v>379</v>
      </c>
      <c r="U37" s="1">
        <v>46078.355416666665</v>
      </c>
      <c r="V37" t="s">
        <v>31</v>
      </c>
      <c r="W37" t="s">
        <v>33</v>
      </c>
      <c r="X37" t="s">
        <v>3530</v>
      </c>
      <c r="Y37" t="s">
        <v>3140</v>
      </c>
      <c r="Z37" t="s">
        <v>38</v>
      </c>
      <c r="AA37" t="s">
        <v>31</v>
      </c>
      <c r="AB37" t="s">
        <v>399</v>
      </c>
      <c r="AC37" t="s">
        <v>30</v>
      </c>
      <c r="AD37" t="s">
        <v>46</v>
      </c>
      <c r="AE37" t="s">
        <v>379</v>
      </c>
      <c r="AF37" t="s">
        <v>379</v>
      </c>
      <c r="AG37" t="s">
        <v>38</v>
      </c>
      <c r="AH37">
        <v>15821</v>
      </c>
      <c r="AK37">
        <v>0</v>
      </c>
      <c r="AL37" t="s">
        <v>32</v>
      </c>
      <c r="AM37" t="s">
        <v>693</v>
      </c>
      <c r="AN37" t="s">
        <v>694</v>
      </c>
    </row>
    <row r="38" spans="1:40">
      <c r="A38" t="s">
        <v>707</v>
      </c>
      <c r="B38" t="s">
        <v>34</v>
      </c>
      <c r="C38" t="s">
        <v>708</v>
      </c>
      <c r="D38" t="s">
        <v>709</v>
      </c>
      <c r="E38" s="1">
        <v>46078.335844907408</v>
      </c>
      <c r="F38" t="s">
        <v>153</v>
      </c>
      <c r="G38" t="s">
        <v>776</v>
      </c>
      <c r="H38" t="s">
        <v>3669</v>
      </c>
      <c r="I38" t="s">
        <v>252</v>
      </c>
      <c r="J38" t="s">
        <v>179</v>
      </c>
      <c r="K38" t="s">
        <v>44</v>
      </c>
      <c r="M38" t="s">
        <v>3526</v>
      </c>
      <c r="O38" t="s">
        <v>3099</v>
      </c>
      <c r="P38" t="s">
        <v>3100</v>
      </c>
      <c r="Q38" t="s">
        <v>3678</v>
      </c>
      <c r="R38" t="s">
        <v>162</v>
      </c>
      <c r="S38" t="s">
        <v>163</v>
      </c>
      <c r="T38" t="s">
        <v>164</v>
      </c>
      <c r="U38" s="1">
        <v>46078.442291666666</v>
      </c>
      <c r="V38" t="s">
        <v>31</v>
      </c>
      <c r="W38" t="s">
        <v>33</v>
      </c>
      <c r="X38" t="s">
        <v>3536</v>
      </c>
      <c r="Y38" t="s">
        <v>3141</v>
      </c>
      <c r="Z38" t="s">
        <v>38</v>
      </c>
      <c r="AA38" t="s">
        <v>31</v>
      </c>
      <c r="AB38" t="s">
        <v>104</v>
      </c>
      <c r="AC38" t="s">
        <v>30</v>
      </c>
      <c r="AD38" t="s">
        <v>46</v>
      </c>
      <c r="AE38" t="s">
        <v>515</v>
      </c>
      <c r="AF38" t="s">
        <v>3120</v>
      </c>
      <c r="AG38" t="s">
        <v>38</v>
      </c>
      <c r="AH38" t="s">
        <v>3572</v>
      </c>
      <c r="AK38">
        <v>2</v>
      </c>
      <c r="AL38" t="s">
        <v>32</v>
      </c>
      <c r="AM38" t="s">
        <v>710</v>
      </c>
      <c r="AN38" t="s">
        <v>711</v>
      </c>
    </row>
    <row r="39" spans="1:40">
      <c r="A39" t="s">
        <v>717</v>
      </c>
      <c r="B39" t="s">
        <v>34</v>
      </c>
      <c r="C39" t="s">
        <v>718</v>
      </c>
      <c r="D39" t="s">
        <v>719</v>
      </c>
      <c r="E39" s="1">
        <v>46078.33320601852</v>
      </c>
      <c r="F39" t="s">
        <v>153</v>
      </c>
      <c r="G39" t="s">
        <v>776</v>
      </c>
      <c r="H39" t="s">
        <v>3669</v>
      </c>
      <c r="I39" t="s">
        <v>252</v>
      </c>
      <c r="J39" t="s">
        <v>290</v>
      </c>
      <c r="K39" t="s">
        <v>44</v>
      </c>
      <c r="M39" t="s">
        <v>3526</v>
      </c>
      <c r="O39" t="s">
        <v>3099</v>
      </c>
      <c r="P39" t="s">
        <v>3100</v>
      </c>
      <c r="Q39" t="s">
        <v>3678</v>
      </c>
      <c r="R39" t="s">
        <v>162</v>
      </c>
      <c r="S39" t="s">
        <v>163</v>
      </c>
      <c r="T39" t="s">
        <v>164</v>
      </c>
      <c r="U39" s="1">
        <v>46078.533668981479</v>
      </c>
      <c r="V39" t="s">
        <v>31</v>
      </c>
      <c r="W39" t="s">
        <v>33</v>
      </c>
      <c r="X39" t="s">
        <v>3536</v>
      </c>
      <c r="Y39" t="s">
        <v>3142</v>
      </c>
      <c r="Z39" t="s">
        <v>38</v>
      </c>
      <c r="AA39" t="s">
        <v>31</v>
      </c>
      <c r="AB39" t="s">
        <v>104</v>
      </c>
      <c r="AC39" t="s">
        <v>30</v>
      </c>
      <c r="AD39" t="s">
        <v>46</v>
      </c>
      <c r="AE39" t="s">
        <v>515</v>
      </c>
      <c r="AF39" t="s">
        <v>3143</v>
      </c>
      <c r="AG39" t="s">
        <v>38</v>
      </c>
      <c r="AH39" t="s">
        <v>3574</v>
      </c>
      <c r="AK39">
        <v>8</v>
      </c>
      <c r="AL39" t="s">
        <v>32</v>
      </c>
      <c r="AM39" t="s">
        <v>720</v>
      </c>
      <c r="AN39" t="s">
        <v>721</v>
      </c>
    </row>
    <row r="40" spans="1:40">
      <c r="A40" t="s">
        <v>722</v>
      </c>
      <c r="B40" t="s">
        <v>24</v>
      </c>
      <c r="C40" t="s">
        <v>723</v>
      </c>
      <c r="D40" t="s">
        <v>724</v>
      </c>
      <c r="E40" s="1">
        <v>46078.274363425924</v>
      </c>
      <c r="F40" t="s">
        <v>298</v>
      </c>
      <c r="G40" t="s">
        <v>776</v>
      </c>
      <c r="H40" t="s">
        <v>3669</v>
      </c>
      <c r="I40" t="s">
        <v>725</v>
      </c>
      <c r="J40" t="s">
        <v>494</v>
      </c>
      <c r="K40" t="s">
        <v>134</v>
      </c>
      <c r="M40" t="s">
        <v>3526</v>
      </c>
      <c r="O40" t="s">
        <v>3144</v>
      </c>
      <c r="P40" t="s">
        <v>3145</v>
      </c>
      <c r="Q40" t="s">
        <v>3678</v>
      </c>
      <c r="R40" t="s">
        <v>46</v>
      </c>
      <c r="S40" t="s">
        <v>197</v>
      </c>
      <c r="T40" t="s">
        <v>725</v>
      </c>
      <c r="U40" s="1">
        <v>46078.360798611109</v>
      </c>
      <c r="V40" t="s">
        <v>31</v>
      </c>
      <c r="W40" t="s">
        <v>33</v>
      </c>
      <c r="X40" t="s">
        <v>3530</v>
      </c>
      <c r="Y40" t="e">
        <f>- A hard power reset was performed and the laptop restarted successfully. - the issue has been resolved, and the device is now functioning normally.</f>
        <v>#NAME?</v>
      </c>
      <c r="Z40" t="s">
        <v>38</v>
      </c>
      <c r="AA40" t="s">
        <v>31</v>
      </c>
      <c r="AB40" t="s">
        <v>726</v>
      </c>
      <c r="AC40" t="s">
        <v>284</v>
      </c>
      <c r="AD40" t="s">
        <v>46</v>
      </c>
      <c r="AE40" t="s">
        <v>197</v>
      </c>
      <c r="AF40" t="s">
        <v>725</v>
      </c>
      <c r="AG40" t="s">
        <v>38</v>
      </c>
      <c r="AH40" t="s">
        <v>3575</v>
      </c>
      <c r="AK40">
        <v>1</v>
      </c>
      <c r="AL40" t="s">
        <v>32</v>
      </c>
      <c r="AM40" t="s">
        <v>727</v>
      </c>
      <c r="AN40" t="s">
        <v>728</v>
      </c>
    </row>
    <row r="41" spans="1:40">
      <c r="A41" t="s">
        <v>729</v>
      </c>
      <c r="B41" t="s">
        <v>34</v>
      </c>
      <c r="C41" t="s">
        <v>730</v>
      </c>
      <c r="D41" t="s">
        <v>731</v>
      </c>
      <c r="E41" s="1">
        <v>46078.264421296299</v>
      </c>
      <c r="F41" t="s">
        <v>85</v>
      </c>
      <c r="G41" t="s">
        <v>776</v>
      </c>
      <c r="H41" t="s">
        <v>3668</v>
      </c>
      <c r="I41" t="s">
        <v>732</v>
      </c>
      <c r="J41" t="s">
        <v>733</v>
      </c>
      <c r="K41" t="s">
        <v>44</v>
      </c>
      <c r="M41" t="s">
        <v>3526</v>
      </c>
      <c r="O41" t="s">
        <v>3099</v>
      </c>
      <c r="P41" t="s">
        <v>3100</v>
      </c>
      <c r="Q41" t="s">
        <v>3678</v>
      </c>
      <c r="R41" t="s">
        <v>46</v>
      </c>
      <c r="S41" t="s">
        <v>188</v>
      </c>
      <c r="T41" t="s">
        <v>431</v>
      </c>
      <c r="U41" s="1">
        <v>46078.97383101852</v>
      </c>
      <c r="V41" t="s">
        <v>31</v>
      </c>
      <c r="W41" t="s">
        <v>33</v>
      </c>
      <c r="X41" t="s">
        <v>3530</v>
      </c>
      <c r="Y41" t="s">
        <v>3146</v>
      </c>
      <c r="Z41" t="s">
        <v>38</v>
      </c>
      <c r="AA41" t="s">
        <v>31</v>
      </c>
      <c r="AB41" t="s">
        <v>726</v>
      </c>
      <c r="AC41" t="s">
        <v>30</v>
      </c>
      <c r="AD41" t="s">
        <v>46</v>
      </c>
      <c r="AE41" t="s">
        <v>188</v>
      </c>
      <c r="AF41" t="s">
        <v>431</v>
      </c>
      <c r="AG41" t="s">
        <v>38</v>
      </c>
      <c r="AH41" t="s">
        <v>3576</v>
      </c>
      <c r="AK41">
        <v>2</v>
      </c>
      <c r="AL41" t="s">
        <v>32</v>
      </c>
      <c r="AM41" t="s">
        <v>734</v>
      </c>
      <c r="AN41" t="s">
        <v>735</v>
      </c>
    </row>
    <row r="42" spans="1:40">
      <c r="A42" t="s">
        <v>736</v>
      </c>
      <c r="B42" t="s">
        <v>34</v>
      </c>
      <c r="C42" t="s">
        <v>737</v>
      </c>
      <c r="D42" t="s">
        <v>738</v>
      </c>
      <c r="E42" s="1">
        <v>46078.263055555559</v>
      </c>
      <c r="F42" t="s">
        <v>153</v>
      </c>
      <c r="G42" t="s">
        <v>776</v>
      </c>
      <c r="H42" t="s">
        <v>3669</v>
      </c>
      <c r="I42" t="s">
        <v>109</v>
      </c>
      <c r="J42" t="s">
        <v>733</v>
      </c>
      <c r="K42" t="s">
        <v>44</v>
      </c>
      <c r="M42" t="s">
        <v>3526</v>
      </c>
      <c r="O42" t="s">
        <v>3099</v>
      </c>
      <c r="P42" t="s">
        <v>3100</v>
      </c>
      <c r="Q42" t="s">
        <v>3678</v>
      </c>
      <c r="R42" t="s">
        <v>46</v>
      </c>
      <c r="S42" t="s">
        <v>110</v>
      </c>
      <c r="T42" t="s">
        <v>111</v>
      </c>
      <c r="U42" s="1">
        <v>46078.263159722221</v>
      </c>
      <c r="V42" t="s">
        <v>31</v>
      </c>
      <c r="W42" t="s">
        <v>33</v>
      </c>
      <c r="X42" t="s">
        <v>3530</v>
      </c>
      <c r="Y42" t="s">
        <v>3147</v>
      </c>
      <c r="Z42" t="s">
        <v>38</v>
      </c>
      <c r="AA42" t="s">
        <v>31</v>
      </c>
      <c r="AB42" t="s">
        <v>726</v>
      </c>
      <c r="AC42" t="s">
        <v>30</v>
      </c>
      <c r="AD42" t="s">
        <v>46</v>
      </c>
      <c r="AE42" t="s">
        <v>110</v>
      </c>
      <c r="AF42" t="s">
        <v>111</v>
      </c>
      <c r="AG42" t="s">
        <v>38</v>
      </c>
      <c r="AH42" t="s">
        <v>3577</v>
      </c>
      <c r="AK42">
        <v>0</v>
      </c>
      <c r="AL42" t="s">
        <v>32</v>
      </c>
      <c r="AM42" t="s">
        <v>740</v>
      </c>
      <c r="AN42" t="s">
        <v>741</v>
      </c>
    </row>
    <row r="43" spans="1:40">
      <c r="A43" t="s">
        <v>743</v>
      </c>
      <c r="B43" t="s">
        <v>34</v>
      </c>
      <c r="C43" t="s">
        <v>744</v>
      </c>
      <c r="D43" t="s">
        <v>745</v>
      </c>
      <c r="E43" s="1">
        <v>46078.19703703704</v>
      </c>
      <c r="F43" t="s">
        <v>74</v>
      </c>
      <c r="G43" t="s">
        <v>776</v>
      </c>
      <c r="H43" t="s">
        <v>3665</v>
      </c>
      <c r="I43" t="s">
        <v>746</v>
      </c>
      <c r="J43" t="s">
        <v>733</v>
      </c>
      <c r="K43" t="s">
        <v>44</v>
      </c>
      <c r="M43" t="s">
        <v>3526</v>
      </c>
      <c r="O43" t="s">
        <v>3099</v>
      </c>
      <c r="P43" t="s">
        <v>3100</v>
      </c>
      <c r="Q43" t="s">
        <v>3678</v>
      </c>
      <c r="R43" t="s">
        <v>46</v>
      </c>
      <c r="S43" t="s">
        <v>379</v>
      </c>
      <c r="T43" t="s">
        <v>379</v>
      </c>
      <c r="U43" s="1">
        <v>46078.19736111111</v>
      </c>
      <c r="V43" t="s">
        <v>31</v>
      </c>
      <c r="W43" t="s">
        <v>33</v>
      </c>
      <c r="X43" t="s">
        <v>3530</v>
      </c>
      <c r="Y43" t="s">
        <v>746</v>
      </c>
      <c r="Z43" t="s">
        <v>38</v>
      </c>
      <c r="AA43" t="s">
        <v>31</v>
      </c>
      <c r="AB43" t="s">
        <v>726</v>
      </c>
      <c r="AC43" t="s">
        <v>30</v>
      </c>
      <c r="AD43" t="s">
        <v>46</v>
      </c>
      <c r="AE43" t="s">
        <v>379</v>
      </c>
      <c r="AF43" t="s">
        <v>379</v>
      </c>
      <c r="AG43" t="s">
        <v>38</v>
      </c>
      <c r="AH43" t="s">
        <v>3578</v>
      </c>
      <c r="AK43">
        <v>0</v>
      </c>
      <c r="AL43" t="s">
        <v>32</v>
      </c>
      <c r="AM43" t="s">
        <v>747</v>
      </c>
      <c r="AN43" t="s">
        <v>748</v>
      </c>
    </row>
    <row r="44" spans="1:40">
      <c r="A44" t="s">
        <v>749</v>
      </c>
      <c r="B44" t="s">
        <v>34</v>
      </c>
      <c r="C44" t="s">
        <v>334</v>
      </c>
      <c r="D44" t="s">
        <v>335</v>
      </c>
      <c r="E44" s="1">
        <v>46078.178680555553</v>
      </c>
      <c r="F44" t="s">
        <v>336</v>
      </c>
      <c r="G44" t="s">
        <v>776</v>
      </c>
      <c r="H44" t="s">
        <v>3668</v>
      </c>
      <c r="I44" t="s">
        <v>750</v>
      </c>
      <c r="J44" t="s">
        <v>320</v>
      </c>
      <c r="K44" t="s">
        <v>134</v>
      </c>
      <c r="M44" t="s">
        <v>3526</v>
      </c>
      <c r="O44" t="s">
        <v>3099</v>
      </c>
      <c r="P44" t="s">
        <v>3100</v>
      </c>
      <c r="Q44" t="s">
        <v>3678</v>
      </c>
      <c r="R44" t="s">
        <v>46</v>
      </c>
      <c r="S44" t="s">
        <v>751</v>
      </c>
      <c r="T44" t="s">
        <v>752</v>
      </c>
      <c r="U44" s="1">
        <v>46078.351886574077</v>
      </c>
      <c r="V44" t="s">
        <v>31</v>
      </c>
      <c r="W44" t="s">
        <v>33</v>
      </c>
      <c r="X44" t="s">
        <v>3525</v>
      </c>
      <c r="Y44" t="e">
        <f>- Cleaned / deleted Quarantined items. - deleted temporary files, temporary internet files and cookies. - Ran SEP Active scan. - Completed successfully</f>
        <v>#NAME?</v>
      </c>
      <c r="Z44" t="s">
        <v>38</v>
      </c>
      <c r="AA44" t="s">
        <v>31</v>
      </c>
      <c r="AB44" t="s">
        <v>726</v>
      </c>
      <c r="AC44" t="s">
        <v>30</v>
      </c>
      <c r="AD44" t="s">
        <v>46</v>
      </c>
      <c r="AE44" t="s">
        <v>751</v>
      </c>
      <c r="AF44" t="s">
        <v>752</v>
      </c>
      <c r="AG44" t="s">
        <v>38</v>
      </c>
      <c r="AK44">
        <v>1</v>
      </c>
      <c r="AL44" t="s">
        <v>32</v>
      </c>
      <c r="AM44" t="s">
        <v>339</v>
      </c>
      <c r="AN44" t="s">
        <v>340</v>
      </c>
    </row>
    <row r="45" spans="1:40">
      <c r="A45" t="s">
        <v>753</v>
      </c>
      <c r="B45" t="s">
        <v>34</v>
      </c>
      <c r="C45" t="s">
        <v>334</v>
      </c>
      <c r="D45" t="s">
        <v>335</v>
      </c>
      <c r="E45" s="1">
        <v>46078.178657407407</v>
      </c>
      <c r="F45" t="s">
        <v>336</v>
      </c>
      <c r="G45" t="s">
        <v>776</v>
      </c>
      <c r="H45" t="s">
        <v>3668</v>
      </c>
      <c r="I45" t="s">
        <v>750</v>
      </c>
      <c r="J45" t="s">
        <v>494</v>
      </c>
      <c r="K45" t="s">
        <v>134</v>
      </c>
      <c r="M45" t="s">
        <v>3526</v>
      </c>
      <c r="O45" t="s">
        <v>3099</v>
      </c>
      <c r="P45" t="s">
        <v>3100</v>
      </c>
      <c r="Q45" t="s">
        <v>3678</v>
      </c>
      <c r="R45" t="s">
        <v>46</v>
      </c>
      <c r="S45" t="s">
        <v>751</v>
      </c>
      <c r="T45" t="s">
        <v>752</v>
      </c>
      <c r="U45" s="1">
        <v>46078.548009259262</v>
      </c>
      <c r="V45" t="s">
        <v>31</v>
      </c>
      <c r="W45" t="s">
        <v>33</v>
      </c>
      <c r="X45" t="s">
        <v>3525</v>
      </c>
      <c r="Y45" t="s">
        <v>3148</v>
      </c>
      <c r="Z45" t="s">
        <v>38</v>
      </c>
      <c r="AA45" t="s">
        <v>31</v>
      </c>
      <c r="AB45" t="s">
        <v>726</v>
      </c>
      <c r="AC45" t="s">
        <v>30</v>
      </c>
      <c r="AD45" t="s">
        <v>46</v>
      </c>
      <c r="AE45" t="s">
        <v>274</v>
      </c>
      <c r="AF45" t="s">
        <v>275</v>
      </c>
      <c r="AG45" t="s">
        <v>38</v>
      </c>
      <c r="AK45">
        <v>1</v>
      </c>
      <c r="AL45" t="s">
        <v>32</v>
      </c>
      <c r="AM45" t="s">
        <v>339</v>
      </c>
      <c r="AN45" t="s">
        <v>340</v>
      </c>
    </row>
    <row r="46" spans="1:40">
      <c r="A46" t="s">
        <v>768</v>
      </c>
      <c r="B46" t="s">
        <v>34</v>
      </c>
      <c r="C46" t="s">
        <v>769</v>
      </c>
      <c r="D46" t="s">
        <v>770</v>
      </c>
      <c r="E46" s="1">
        <v>46078.025578703702</v>
      </c>
      <c r="F46" t="s">
        <v>62</v>
      </c>
      <c r="G46" t="s">
        <v>776</v>
      </c>
      <c r="H46" t="s">
        <v>3668</v>
      </c>
      <c r="I46" t="s">
        <v>771</v>
      </c>
      <c r="J46" t="s">
        <v>772</v>
      </c>
      <c r="K46" t="s">
        <v>651</v>
      </c>
      <c r="M46" t="s">
        <v>3529</v>
      </c>
      <c r="O46" t="s">
        <v>3099</v>
      </c>
      <c r="P46" t="s">
        <v>3100</v>
      </c>
      <c r="Q46" t="s">
        <v>3678</v>
      </c>
      <c r="R46" t="s">
        <v>46</v>
      </c>
      <c r="S46" t="s">
        <v>751</v>
      </c>
      <c r="T46" t="s">
        <v>752</v>
      </c>
      <c r="U46" s="1">
        <v>46078.043738425928</v>
      </c>
      <c r="V46" t="s">
        <v>31</v>
      </c>
      <c r="W46" t="s">
        <v>33</v>
      </c>
      <c r="X46" t="s">
        <v>3525</v>
      </c>
      <c r="Y46" t="s">
        <v>3149</v>
      </c>
      <c r="Z46" t="s">
        <v>38</v>
      </c>
      <c r="AA46" t="s">
        <v>31</v>
      </c>
      <c r="AB46" t="s">
        <v>726</v>
      </c>
      <c r="AC46" t="s">
        <v>30</v>
      </c>
      <c r="AD46" t="s">
        <v>46</v>
      </c>
      <c r="AE46" t="s">
        <v>751</v>
      </c>
      <c r="AF46" t="s">
        <v>752</v>
      </c>
      <c r="AG46" t="s">
        <v>38</v>
      </c>
      <c r="AH46" t="s">
        <v>3580</v>
      </c>
      <c r="AK46">
        <v>1</v>
      </c>
      <c r="AL46" t="s">
        <v>32</v>
      </c>
      <c r="AM46" t="s">
        <v>773</v>
      </c>
      <c r="AN46" t="s">
        <v>774</v>
      </c>
    </row>
    <row r="47" spans="1:40">
      <c r="A47" t="s">
        <v>775</v>
      </c>
      <c r="B47" t="s">
        <v>34</v>
      </c>
      <c r="C47" t="s">
        <v>106</v>
      </c>
      <c r="D47" t="s">
        <v>107</v>
      </c>
      <c r="E47" s="1">
        <v>46077.987071759257</v>
      </c>
      <c r="F47" t="s">
        <v>108</v>
      </c>
      <c r="G47" t="s">
        <v>776</v>
      </c>
      <c r="H47" t="s">
        <v>3666</v>
      </c>
      <c r="I47" t="s">
        <v>109</v>
      </c>
      <c r="J47" t="s">
        <v>733</v>
      </c>
      <c r="K47" t="s">
        <v>44</v>
      </c>
      <c r="M47" t="s">
        <v>3526</v>
      </c>
      <c r="O47" t="s">
        <v>3099</v>
      </c>
      <c r="P47" t="s">
        <v>3100</v>
      </c>
      <c r="Q47" t="s">
        <v>3678</v>
      </c>
      <c r="R47" t="s">
        <v>46</v>
      </c>
      <c r="S47" t="s">
        <v>110</v>
      </c>
      <c r="T47" t="s">
        <v>111</v>
      </c>
      <c r="U47" s="1">
        <v>46077.987280092595</v>
      </c>
      <c r="V47" t="s">
        <v>31</v>
      </c>
      <c r="W47" t="s">
        <v>33</v>
      </c>
      <c r="X47" t="s">
        <v>3530</v>
      </c>
      <c r="Y47" t="s">
        <v>3150</v>
      </c>
      <c r="Z47" t="s">
        <v>38</v>
      </c>
      <c r="AA47" t="s">
        <v>31</v>
      </c>
      <c r="AB47" t="s">
        <v>726</v>
      </c>
      <c r="AC47" t="s">
        <v>30</v>
      </c>
      <c r="AD47" t="s">
        <v>46</v>
      </c>
      <c r="AE47" t="s">
        <v>110</v>
      </c>
      <c r="AF47" t="s">
        <v>111</v>
      </c>
      <c r="AG47" t="s">
        <v>38</v>
      </c>
      <c r="AH47" t="s">
        <v>3537</v>
      </c>
      <c r="AK47">
        <v>0</v>
      </c>
      <c r="AL47" t="s">
        <v>32</v>
      </c>
      <c r="AM47" t="s">
        <v>112</v>
      </c>
      <c r="AN47" t="s">
        <v>113</v>
      </c>
    </row>
    <row r="48" spans="1:40">
      <c r="A48" t="s">
        <v>782</v>
      </c>
      <c r="B48" t="s">
        <v>34</v>
      </c>
      <c r="C48" t="s">
        <v>241</v>
      </c>
      <c r="D48" t="s">
        <v>221</v>
      </c>
      <c r="E48" s="1">
        <v>46077.938217592593</v>
      </c>
      <c r="F48" t="s">
        <v>67</v>
      </c>
      <c r="G48" t="s">
        <v>776</v>
      </c>
      <c r="H48" t="s">
        <v>3671</v>
      </c>
      <c r="I48" t="s">
        <v>783</v>
      </c>
      <c r="J48" t="s">
        <v>45</v>
      </c>
      <c r="K48" t="s">
        <v>44</v>
      </c>
      <c r="M48" t="s">
        <v>3526</v>
      </c>
      <c r="O48" t="s">
        <v>3099</v>
      </c>
      <c r="P48" t="s">
        <v>3100</v>
      </c>
      <c r="Q48" t="s">
        <v>3678</v>
      </c>
      <c r="R48" t="s">
        <v>46</v>
      </c>
      <c r="S48" t="s">
        <v>784</v>
      </c>
      <c r="T48" t="s">
        <v>785</v>
      </c>
      <c r="U48" s="1">
        <v>46077.943854166668</v>
      </c>
      <c r="V48" t="s">
        <v>31</v>
      </c>
      <c r="W48" t="s">
        <v>33</v>
      </c>
      <c r="X48" t="s">
        <v>3530</v>
      </c>
      <c r="Y48" t="s">
        <v>3151</v>
      </c>
      <c r="Z48" t="s">
        <v>38</v>
      </c>
      <c r="AA48" t="s">
        <v>31</v>
      </c>
      <c r="AB48" t="s">
        <v>49</v>
      </c>
      <c r="AC48" t="s">
        <v>30</v>
      </c>
      <c r="AD48" t="s">
        <v>46</v>
      </c>
      <c r="AE48" t="s">
        <v>784</v>
      </c>
      <c r="AF48" t="s">
        <v>785</v>
      </c>
      <c r="AG48" t="s">
        <v>38</v>
      </c>
      <c r="AH48">
        <v>14364</v>
      </c>
      <c r="AK48">
        <v>0</v>
      </c>
      <c r="AL48" t="s">
        <v>32</v>
      </c>
      <c r="AM48" t="s">
        <v>786</v>
      </c>
      <c r="AN48" t="s">
        <v>787</v>
      </c>
    </row>
    <row r="49" spans="1:40">
      <c r="A49" t="s">
        <v>788</v>
      </c>
      <c r="B49" t="s">
        <v>34</v>
      </c>
      <c r="C49" t="s">
        <v>357</v>
      </c>
      <c r="D49" t="s">
        <v>358</v>
      </c>
      <c r="E49" s="1">
        <v>46077.937349537038</v>
      </c>
      <c r="F49" t="s">
        <v>117</v>
      </c>
      <c r="G49" t="s">
        <v>776</v>
      </c>
      <c r="H49" t="s">
        <v>3668</v>
      </c>
      <c r="I49" t="s">
        <v>789</v>
      </c>
      <c r="J49" t="s">
        <v>45</v>
      </c>
      <c r="K49" t="s">
        <v>44</v>
      </c>
      <c r="M49" t="s">
        <v>3526</v>
      </c>
      <c r="O49" t="s">
        <v>3099</v>
      </c>
      <c r="P49" t="s">
        <v>3100</v>
      </c>
      <c r="Q49" t="s">
        <v>3678</v>
      </c>
      <c r="R49" t="s">
        <v>46</v>
      </c>
      <c r="S49" t="s">
        <v>379</v>
      </c>
      <c r="T49" t="s">
        <v>379</v>
      </c>
      <c r="U49" s="1">
        <v>46077.943391203706</v>
      </c>
      <c r="V49" t="s">
        <v>31</v>
      </c>
      <c r="W49" t="s">
        <v>33</v>
      </c>
      <c r="X49" t="s">
        <v>3530</v>
      </c>
      <c r="Y49" t="s">
        <v>3152</v>
      </c>
      <c r="Z49" t="s">
        <v>38</v>
      </c>
      <c r="AA49" t="s">
        <v>31</v>
      </c>
      <c r="AB49" t="s">
        <v>49</v>
      </c>
      <c r="AC49" t="s">
        <v>30</v>
      </c>
      <c r="AD49" t="s">
        <v>46</v>
      </c>
      <c r="AE49" t="s">
        <v>379</v>
      </c>
      <c r="AF49" t="s">
        <v>379</v>
      </c>
      <c r="AG49" t="s">
        <v>38</v>
      </c>
      <c r="AH49">
        <v>11843</v>
      </c>
      <c r="AK49">
        <v>0</v>
      </c>
      <c r="AL49" t="s">
        <v>32</v>
      </c>
      <c r="AM49" t="s">
        <v>359</v>
      </c>
      <c r="AN49" t="s">
        <v>360</v>
      </c>
    </row>
    <row r="50" spans="1:40">
      <c r="A50" t="s">
        <v>790</v>
      </c>
      <c r="B50" t="s">
        <v>24</v>
      </c>
      <c r="C50" t="s">
        <v>758</v>
      </c>
      <c r="D50" t="s">
        <v>235</v>
      </c>
      <c r="E50" s="1">
        <v>46077.936412037037</v>
      </c>
      <c r="F50" t="s">
        <v>186</v>
      </c>
      <c r="G50" t="s">
        <v>776</v>
      </c>
      <c r="H50" t="s">
        <v>3667</v>
      </c>
      <c r="I50" t="s">
        <v>791</v>
      </c>
      <c r="J50" t="s">
        <v>45</v>
      </c>
      <c r="K50" t="s">
        <v>44</v>
      </c>
      <c r="M50" t="s">
        <v>3526</v>
      </c>
      <c r="O50" t="s">
        <v>3103</v>
      </c>
      <c r="P50" t="s">
        <v>3104</v>
      </c>
      <c r="Q50" t="s">
        <v>3678</v>
      </c>
      <c r="R50" t="s">
        <v>46</v>
      </c>
      <c r="S50" t="s">
        <v>443</v>
      </c>
      <c r="T50" t="s">
        <v>792</v>
      </c>
      <c r="U50" s="1">
        <v>46077.942962962959</v>
      </c>
      <c r="V50" t="s">
        <v>31</v>
      </c>
      <c r="W50" t="s">
        <v>33</v>
      </c>
      <c r="X50" t="s">
        <v>3530</v>
      </c>
      <c r="Y50" t="e">
        <f>- cleared credential manager - cleared browser from password  - gpupdate /force  - issue has been resolved</f>
        <v>#NAME?</v>
      </c>
      <c r="Z50" t="s">
        <v>38</v>
      </c>
      <c r="AA50" t="s">
        <v>31</v>
      </c>
      <c r="AB50" t="s">
        <v>49</v>
      </c>
      <c r="AC50" t="s">
        <v>86</v>
      </c>
      <c r="AD50" t="s">
        <v>46</v>
      </c>
      <c r="AE50" t="s">
        <v>3113</v>
      </c>
      <c r="AF50" t="s">
        <v>3153</v>
      </c>
      <c r="AG50" t="s">
        <v>38</v>
      </c>
      <c r="AH50" t="s">
        <v>3582</v>
      </c>
      <c r="AK50">
        <v>0</v>
      </c>
      <c r="AL50" t="s">
        <v>32</v>
      </c>
      <c r="AM50" t="s">
        <v>793</v>
      </c>
      <c r="AN50" t="s">
        <v>794</v>
      </c>
    </row>
    <row r="51" spans="1:40">
      <c r="A51" t="s">
        <v>812</v>
      </c>
      <c r="B51" t="s">
        <v>34</v>
      </c>
      <c r="C51" t="s">
        <v>184</v>
      </c>
      <c r="D51" t="s">
        <v>185</v>
      </c>
      <c r="E51" s="1">
        <v>46077.713020833333</v>
      </c>
      <c r="F51" t="s">
        <v>186</v>
      </c>
      <c r="G51" t="s">
        <v>776</v>
      </c>
      <c r="H51" t="s">
        <v>3667</v>
      </c>
      <c r="I51" t="s">
        <v>813</v>
      </c>
      <c r="J51" t="s">
        <v>45</v>
      </c>
      <c r="K51" t="s">
        <v>44</v>
      </c>
      <c r="M51" t="s">
        <v>3526</v>
      </c>
      <c r="O51" t="s">
        <v>3099</v>
      </c>
      <c r="P51" t="s">
        <v>3100</v>
      </c>
      <c r="Q51" t="s">
        <v>3699</v>
      </c>
      <c r="R51" t="s">
        <v>46</v>
      </c>
      <c r="S51" t="s">
        <v>188</v>
      </c>
      <c r="T51" t="s">
        <v>431</v>
      </c>
      <c r="U51" s="1">
        <v>46077.71638888889</v>
      </c>
      <c r="V51" t="s">
        <v>31</v>
      </c>
      <c r="W51" t="s">
        <v>33</v>
      </c>
      <c r="X51" t="s">
        <v>3530</v>
      </c>
      <c r="Y51" t="s">
        <v>3155</v>
      </c>
      <c r="Z51" t="s">
        <v>38</v>
      </c>
      <c r="AA51" t="s">
        <v>31</v>
      </c>
      <c r="AB51" t="s">
        <v>49</v>
      </c>
      <c r="AC51" t="s">
        <v>30</v>
      </c>
      <c r="AD51" t="s">
        <v>46</v>
      </c>
      <c r="AE51" t="s">
        <v>188</v>
      </c>
      <c r="AF51" t="s">
        <v>431</v>
      </c>
      <c r="AG51" t="s">
        <v>38</v>
      </c>
      <c r="AH51">
        <v>5448</v>
      </c>
      <c r="AK51">
        <v>0</v>
      </c>
      <c r="AL51" t="s">
        <v>32</v>
      </c>
      <c r="AM51" t="s">
        <v>191</v>
      </c>
      <c r="AN51" t="s">
        <v>192</v>
      </c>
    </row>
    <row r="52" spans="1:40">
      <c r="A52" t="s">
        <v>826</v>
      </c>
      <c r="B52" t="s">
        <v>24</v>
      </c>
      <c r="C52" t="s">
        <v>827</v>
      </c>
      <c r="D52" t="s">
        <v>828</v>
      </c>
      <c r="E52" s="1">
        <v>46077.618807870371</v>
      </c>
      <c r="F52" t="s">
        <v>26</v>
      </c>
      <c r="G52" t="s">
        <v>776</v>
      </c>
      <c r="H52" t="s">
        <v>3665</v>
      </c>
      <c r="I52" t="s">
        <v>829</v>
      </c>
      <c r="J52" t="s">
        <v>253</v>
      </c>
      <c r="K52" t="s">
        <v>44</v>
      </c>
      <c r="M52" t="s">
        <v>3526</v>
      </c>
      <c r="O52" t="s">
        <v>3103</v>
      </c>
      <c r="P52" t="s">
        <v>3104</v>
      </c>
      <c r="Q52" t="s">
        <v>3691</v>
      </c>
      <c r="R52" t="s">
        <v>46</v>
      </c>
      <c r="S52" t="s">
        <v>443</v>
      </c>
      <c r="T52" t="s">
        <v>444</v>
      </c>
      <c r="U52" s="1">
        <v>46077.620949074073</v>
      </c>
      <c r="V52" t="s">
        <v>31</v>
      </c>
      <c r="W52" t="s">
        <v>33</v>
      </c>
      <c r="X52" t="s">
        <v>3530</v>
      </c>
      <c r="Y52" t="s">
        <v>3156</v>
      </c>
      <c r="Z52" t="s">
        <v>38</v>
      </c>
      <c r="AA52" t="s">
        <v>31</v>
      </c>
      <c r="AB52" t="s">
        <v>367</v>
      </c>
      <c r="AC52" t="s">
        <v>86</v>
      </c>
      <c r="AD52" t="s">
        <v>46</v>
      </c>
      <c r="AE52" t="s">
        <v>3113</v>
      </c>
      <c r="AF52" t="s">
        <v>3112</v>
      </c>
      <c r="AG52" t="s">
        <v>38</v>
      </c>
      <c r="AH52">
        <v>5392</v>
      </c>
      <c r="AK52">
        <v>0</v>
      </c>
      <c r="AL52" t="s">
        <v>181</v>
      </c>
      <c r="AM52" t="s">
        <v>830</v>
      </c>
      <c r="AN52" t="s">
        <v>831</v>
      </c>
    </row>
    <row r="53" spans="1:40">
      <c r="A53" t="s">
        <v>832</v>
      </c>
      <c r="B53" t="s">
        <v>34</v>
      </c>
      <c r="C53" t="s">
        <v>25</v>
      </c>
      <c r="D53" t="s">
        <v>833</v>
      </c>
      <c r="E53" s="1">
        <v>46077.616701388892</v>
      </c>
      <c r="F53" t="s">
        <v>153</v>
      </c>
      <c r="G53" t="s">
        <v>776</v>
      </c>
      <c r="H53" t="s">
        <v>3669</v>
      </c>
      <c r="I53" t="s">
        <v>834</v>
      </c>
      <c r="J53" t="s">
        <v>253</v>
      </c>
      <c r="K53" t="s">
        <v>44</v>
      </c>
      <c r="M53" t="s">
        <v>3526</v>
      </c>
      <c r="O53" t="s">
        <v>3099</v>
      </c>
      <c r="P53" t="s">
        <v>3100</v>
      </c>
      <c r="R53" t="s">
        <v>46</v>
      </c>
      <c r="S53" t="s">
        <v>110</v>
      </c>
      <c r="T53" t="s">
        <v>111</v>
      </c>
      <c r="U53" s="1">
        <v>46077.617430555554</v>
      </c>
      <c r="V53" t="s">
        <v>31</v>
      </c>
      <c r="W53" t="s">
        <v>33</v>
      </c>
      <c r="X53" t="s">
        <v>3530</v>
      </c>
      <c r="Y53" t="s">
        <v>3157</v>
      </c>
      <c r="Z53" t="s">
        <v>38</v>
      </c>
      <c r="AA53" t="s">
        <v>31</v>
      </c>
      <c r="AB53" t="s">
        <v>367</v>
      </c>
      <c r="AC53" t="s">
        <v>30</v>
      </c>
      <c r="AD53" t="s">
        <v>46</v>
      </c>
      <c r="AE53" t="s">
        <v>110</v>
      </c>
      <c r="AF53" t="s">
        <v>111</v>
      </c>
      <c r="AG53" t="s">
        <v>38</v>
      </c>
      <c r="AH53" t="s">
        <v>3584</v>
      </c>
      <c r="AK53">
        <v>0</v>
      </c>
      <c r="AL53" t="s">
        <v>32</v>
      </c>
      <c r="AM53" t="s">
        <v>835</v>
      </c>
      <c r="AN53" t="s">
        <v>836</v>
      </c>
    </row>
    <row r="54" spans="1:40">
      <c r="A54" t="s">
        <v>837</v>
      </c>
      <c r="B54" t="s">
        <v>34</v>
      </c>
      <c r="C54" t="s">
        <v>25</v>
      </c>
      <c r="D54" t="s">
        <v>99</v>
      </c>
      <c r="E54" s="1">
        <v>46077.610486111109</v>
      </c>
      <c r="F54" t="s">
        <v>804</v>
      </c>
      <c r="G54" t="s">
        <v>776</v>
      </c>
      <c r="H54" t="s">
        <v>3669</v>
      </c>
      <c r="I54" t="s">
        <v>838</v>
      </c>
      <c r="J54" t="s">
        <v>253</v>
      </c>
      <c r="K54" t="s">
        <v>44</v>
      </c>
      <c r="M54" t="s">
        <v>3526</v>
      </c>
      <c r="O54" t="s">
        <v>3099</v>
      </c>
      <c r="P54" t="s">
        <v>3100</v>
      </c>
      <c r="R54" t="s">
        <v>27</v>
      </c>
      <c r="S54" t="s">
        <v>28</v>
      </c>
      <c r="T54" t="s">
        <v>839</v>
      </c>
      <c r="U54" s="1">
        <v>46077.61277777778</v>
      </c>
      <c r="V54" t="s">
        <v>31</v>
      </c>
      <c r="W54" t="s">
        <v>33</v>
      </c>
      <c r="X54" t="s">
        <v>3530</v>
      </c>
      <c r="Y54" t="s">
        <v>3158</v>
      </c>
      <c r="Z54" t="s">
        <v>38</v>
      </c>
      <c r="AA54" t="s">
        <v>31</v>
      </c>
      <c r="AB54" t="s">
        <v>367</v>
      </c>
      <c r="AC54" t="s">
        <v>30</v>
      </c>
      <c r="AD54" t="s">
        <v>27</v>
      </c>
      <c r="AE54" t="s">
        <v>28</v>
      </c>
      <c r="AF54" t="s">
        <v>839</v>
      </c>
      <c r="AG54" t="s">
        <v>38</v>
      </c>
      <c r="AH54" t="s">
        <v>3585</v>
      </c>
      <c r="AK54">
        <v>0</v>
      </c>
      <c r="AL54" t="s">
        <v>32</v>
      </c>
      <c r="AM54" t="s">
        <v>840</v>
      </c>
      <c r="AN54" t="s">
        <v>841</v>
      </c>
    </row>
    <row r="55" spans="1:40">
      <c r="A55" t="s">
        <v>845</v>
      </c>
      <c r="B55" t="s">
        <v>24</v>
      </c>
      <c r="C55" t="s">
        <v>469</v>
      </c>
      <c r="D55" t="s">
        <v>99</v>
      </c>
      <c r="E55" s="1">
        <v>46077.599432870367</v>
      </c>
      <c r="F55" t="s">
        <v>226</v>
      </c>
      <c r="G55" t="s">
        <v>776</v>
      </c>
      <c r="H55" t="s">
        <v>3665</v>
      </c>
      <c r="I55" t="s">
        <v>347</v>
      </c>
      <c r="J55" t="s">
        <v>253</v>
      </c>
      <c r="K55" t="s">
        <v>44</v>
      </c>
      <c r="M55" t="s">
        <v>3526</v>
      </c>
      <c r="O55" t="s">
        <v>3103</v>
      </c>
      <c r="P55" t="s">
        <v>3104</v>
      </c>
      <c r="R55" t="s">
        <v>46</v>
      </c>
      <c r="S55" t="s">
        <v>348</v>
      </c>
      <c r="T55" t="s">
        <v>349</v>
      </c>
      <c r="U55" s="1">
        <v>46077.606921296298</v>
      </c>
      <c r="V55" t="s">
        <v>31</v>
      </c>
      <c r="W55" t="s">
        <v>33</v>
      </c>
      <c r="X55" t="s">
        <v>3530</v>
      </c>
      <c r="Y55" t="s">
        <v>3159</v>
      </c>
      <c r="Z55" t="s">
        <v>38</v>
      </c>
      <c r="AA55" t="s">
        <v>31</v>
      </c>
      <c r="AB55" t="s">
        <v>367</v>
      </c>
      <c r="AC55" t="s">
        <v>86</v>
      </c>
      <c r="AD55" t="s">
        <v>46</v>
      </c>
      <c r="AE55" t="s">
        <v>348</v>
      </c>
      <c r="AF55" t="s">
        <v>349</v>
      </c>
      <c r="AG55" t="s">
        <v>38</v>
      </c>
      <c r="AH55">
        <v>15414</v>
      </c>
      <c r="AK55">
        <v>0</v>
      </c>
      <c r="AL55" t="s">
        <v>32</v>
      </c>
      <c r="AM55" t="s">
        <v>846</v>
      </c>
      <c r="AN55" t="s">
        <v>847</v>
      </c>
    </row>
    <row r="56" spans="1:40">
      <c r="A56" t="s">
        <v>849</v>
      </c>
      <c r="B56" t="s">
        <v>24</v>
      </c>
      <c r="C56" t="s">
        <v>541</v>
      </c>
      <c r="D56" t="s">
        <v>542</v>
      </c>
      <c r="E56" s="1">
        <v>46077.596006944441</v>
      </c>
      <c r="F56" t="s">
        <v>143</v>
      </c>
      <c r="G56" t="s">
        <v>776</v>
      </c>
      <c r="H56" t="s">
        <v>3670</v>
      </c>
      <c r="I56" t="s">
        <v>850</v>
      </c>
      <c r="J56" t="s">
        <v>253</v>
      </c>
      <c r="K56" t="s">
        <v>44</v>
      </c>
      <c r="M56" t="s">
        <v>3526</v>
      </c>
      <c r="O56" t="s">
        <v>3103</v>
      </c>
      <c r="P56" t="s">
        <v>3104</v>
      </c>
      <c r="R56" t="s">
        <v>46</v>
      </c>
      <c r="S56" t="s">
        <v>110</v>
      </c>
      <c r="T56" t="s">
        <v>111</v>
      </c>
      <c r="U56" s="1">
        <v>46077.604432870372</v>
      </c>
      <c r="V56" t="s">
        <v>31</v>
      </c>
      <c r="W56" t="s">
        <v>33</v>
      </c>
      <c r="X56" t="s">
        <v>3530</v>
      </c>
      <c r="Y56" t="s">
        <v>3106</v>
      </c>
      <c r="Z56" t="s">
        <v>38</v>
      </c>
      <c r="AA56" t="s">
        <v>31</v>
      </c>
      <c r="AB56" t="s">
        <v>367</v>
      </c>
      <c r="AC56" t="s">
        <v>86</v>
      </c>
      <c r="AD56" t="s">
        <v>46</v>
      </c>
      <c r="AE56" t="s">
        <v>110</v>
      </c>
      <c r="AF56" t="s">
        <v>111</v>
      </c>
      <c r="AG56" t="s">
        <v>38</v>
      </c>
      <c r="AH56">
        <v>9062</v>
      </c>
      <c r="AK56">
        <v>0</v>
      </c>
      <c r="AL56" t="s">
        <v>32</v>
      </c>
      <c r="AM56" t="s">
        <v>544</v>
      </c>
      <c r="AN56" t="s">
        <v>545</v>
      </c>
    </row>
    <row r="57" spans="1:40">
      <c r="A57" t="s">
        <v>851</v>
      </c>
      <c r="B57" t="s">
        <v>34</v>
      </c>
      <c r="C57" t="s">
        <v>175</v>
      </c>
      <c r="D57" t="s">
        <v>852</v>
      </c>
      <c r="E57" s="1">
        <v>46077.595034722224</v>
      </c>
      <c r="F57" t="s">
        <v>26</v>
      </c>
      <c r="G57" t="s">
        <v>776</v>
      </c>
      <c r="H57" t="s">
        <v>3665</v>
      </c>
      <c r="I57" t="s">
        <v>853</v>
      </c>
      <c r="J57" t="s">
        <v>253</v>
      </c>
      <c r="K57" t="s">
        <v>44</v>
      </c>
      <c r="M57" t="s">
        <v>3526</v>
      </c>
      <c r="O57" t="s">
        <v>3099</v>
      </c>
      <c r="P57" t="s">
        <v>3100</v>
      </c>
      <c r="Q57" t="s">
        <v>3701</v>
      </c>
      <c r="R57" t="s">
        <v>46</v>
      </c>
      <c r="S57" t="s">
        <v>110</v>
      </c>
      <c r="T57" t="s">
        <v>111</v>
      </c>
      <c r="U57" s="1">
        <v>46077.60365740741</v>
      </c>
      <c r="V57" t="s">
        <v>31</v>
      </c>
      <c r="W57" t="s">
        <v>33</v>
      </c>
      <c r="X57" t="s">
        <v>3530</v>
      </c>
      <c r="Y57" t="s">
        <v>3160</v>
      </c>
      <c r="Z57" t="s">
        <v>38</v>
      </c>
      <c r="AA57" t="s">
        <v>31</v>
      </c>
      <c r="AB57" t="s">
        <v>367</v>
      </c>
      <c r="AC57" t="s">
        <v>30</v>
      </c>
      <c r="AD57" t="s">
        <v>46</v>
      </c>
      <c r="AE57" t="s">
        <v>110</v>
      </c>
      <c r="AF57" t="s">
        <v>111</v>
      </c>
      <c r="AG57" t="s">
        <v>38</v>
      </c>
      <c r="AH57">
        <v>11368</v>
      </c>
      <c r="AK57">
        <v>0</v>
      </c>
      <c r="AL57" t="s">
        <v>32</v>
      </c>
      <c r="AM57" t="s">
        <v>854</v>
      </c>
      <c r="AN57" t="s">
        <v>855</v>
      </c>
    </row>
    <row r="58" spans="1:40">
      <c r="A58" t="s">
        <v>856</v>
      </c>
      <c r="B58" t="s">
        <v>24</v>
      </c>
      <c r="C58" t="s">
        <v>447</v>
      </c>
      <c r="D58" t="s">
        <v>857</v>
      </c>
      <c r="E58" s="1">
        <v>46077.587500000001</v>
      </c>
      <c r="F58" t="s">
        <v>245</v>
      </c>
      <c r="G58" t="s">
        <v>776</v>
      </c>
      <c r="H58" t="s">
        <v>3665</v>
      </c>
      <c r="I58" t="s">
        <v>858</v>
      </c>
      <c r="J58" t="s">
        <v>205</v>
      </c>
      <c r="K58" t="s">
        <v>44</v>
      </c>
      <c r="M58" t="s">
        <v>3526</v>
      </c>
      <c r="O58" t="s">
        <v>3103</v>
      </c>
      <c r="P58" t="s">
        <v>3104</v>
      </c>
      <c r="Q58" t="s">
        <v>3678</v>
      </c>
      <c r="R58" t="s">
        <v>46</v>
      </c>
      <c r="S58" t="s">
        <v>197</v>
      </c>
      <c r="T58" t="s">
        <v>198</v>
      </c>
      <c r="U58" s="1">
        <v>46077.591423611113</v>
      </c>
      <c r="V58" t="s">
        <v>31</v>
      </c>
      <c r="W58" t="s">
        <v>33</v>
      </c>
      <c r="X58" t="s">
        <v>3530</v>
      </c>
      <c r="Y58" t="s">
        <v>3161</v>
      </c>
      <c r="Z58" t="s">
        <v>38</v>
      </c>
      <c r="AA58" t="s">
        <v>31</v>
      </c>
      <c r="AB58" t="s">
        <v>206</v>
      </c>
      <c r="AC58" t="s">
        <v>86</v>
      </c>
      <c r="AD58" t="s">
        <v>46</v>
      </c>
      <c r="AE58" t="s">
        <v>197</v>
      </c>
      <c r="AF58" t="s">
        <v>198</v>
      </c>
      <c r="AG58" t="s">
        <v>38</v>
      </c>
      <c r="AH58">
        <v>12215</v>
      </c>
      <c r="AK58">
        <v>0</v>
      </c>
      <c r="AL58" t="s">
        <v>32</v>
      </c>
      <c r="AM58" t="s">
        <v>859</v>
      </c>
      <c r="AN58" t="s">
        <v>860</v>
      </c>
    </row>
    <row r="59" spans="1:40">
      <c r="A59" t="s">
        <v>862</v>
      </c>
      <c r="B59" t="s">
        <v>24</v>
      </c>
      <c r="C59" t="s">
        <v>447</v>
      </c>
      <c r="D59" t="s">
        <v>857</v>
      </c>
      <c r="E59" s="1">
        <v>46077.580590277779</v>
      </c>
      <c r="F59" t="s">
        <v>245</v>
      </c>
      <c r="G59" t="s">
        <v>776</v>
      </c>
      <c r="H59" t="s">
        <v>3665</v>
      </c>
      <c r="I59" t="s">
        <v>725</v>
      </c>
      <c r="J59" t="s">
        <v>494</v>
      </c>
      <c r="K59" t="s">
        <v>134</v>
      </c>
      <c r="M59" t="s">
        <v>3526</v>
      </c>
      <c r="O59" t="s">
        <v>3144</v>
      </c>
      <c r="P59" t="s">
        <v>3145</v>
      </c>
      <c r="Q59" t="s">
        <v>3678</v>
      </c>
      <c r="R59" t="s">
        <v>46</v>
      </c>
      <c r="S59" t="s">
        <v>197</v>
      </c>
      <c r="T59" t="s">
        <v>725</v>
      </c>
      <c r="U59" s="1">
        <v>46077.586446759262</v>
      </c>
      <c r="V59" t="s">
        <v>31</v>
      </c>
      <c r="W59" t="s">
        <v>33</v>
      </c>
      <c r="X59" t="s">
        <v>3530</v>
      </c>
      <c r="Y59" t="s">
        <v>3162</v>
      </c>
      <c r="Z59" t="s">
        <v>38</v>
      </c>
      <c r="AA59" t="s">
        <v>31</v>
      </c>
      <c r="AB59" t="s">
        <v>206</v>
      </c>
      <c r="AC59" t="s">
        <v>284</v>
      </c>
      <c r="AD59" t="s">
        <v>46</v>
      </c>
      <c r="AE59" t="s">
        <v>197</v>
      </c>
      <c r="AF59" t="s">
        <v>725</v>
      </c>
      <c r="AG59" t="s">
        <v>38</v>
      </c>
      <c r="AH59">
        <v>12215</v>
      </c>
      <c r="AK59">
        <v>1</v>
      </c>
      <c r="AL59" t="s">
        <v>32</v>
      </c>
      <c r="AM59" t="s">
        <v>859</v>
      </c>
      <c r="AN59" t="s">
        <v>860</v>
      </c>
    </row>
    <row r="60" spans="1:40">
      <c r="A60" t="s">
        <v>865</v>
      </c>
      <c r="B60" t="s">
        <v>24</v>
      </c>
      <c r="C60" t="s">
        <v>866</v>
      </c>
      <c r="D60" t="s">
        <v>867</v>
      </c>
      <c r="E60" s="1">
        <v>46077.560081018521</v>
      </c>
      <c r="F60" t="s">
        <v>67</v>
      </c>
      <c r="G60" t="s">
        <v>776</v>
      </c>
      <c r="H60" t="s">
        <v>3671</v>
      </c>
      <c r="I60" t="s">
        <v>868</v>
      </c>
      <c r="J60" t="s">
        <v>514</v>
      </c>
      <c r="K60" t="s">
        <v>44</v>
      </c>
      <c r="M60" t="s">
        <v>3526</v>
      </c>
      <c r="O60" t="s">
        <v>3103</v>
      </c>
      <c r="P60" t="s">
        <v>3104</v>
      </c>
      <c r="Q60" t="s">
        <v>3678</v>
      </c>
      <c r="R60" t="s">
        <v>46</v>
      </c>
      <c r="S60" t="s">
        <v>443</v>
      </c>
      <c r="T60" t="s">
        <v>869</v>
      </c>
      <c r="U60" s="1">
        <v>46077.562696759262</v>
      </c>
      <c r="V60" t="s">
        <v>31</v>
      </c>
      <c r="W60" t="s">
        <v>33</v>
      </c>
      <c r="X60" t="s">
        <v>3530</v>
      </c>
      <c r="Y60" t="e">
        <f>- Run gpupdate/force - PC restarted  - Updated Google Chrome  - has confirmed able to browse and access hence closing the ticket</f>
        <v>#NAME?</v>
      </c>
      <c r="Z60" t="s">
        <v>38</v>
      </c>
      <c r="AA60" t="s">
        <v>31</v>
      </c>
      <c r="AB60" t="s">
        <v>266</v>
      </c>
      <c r="AC60" t="s">
        <v>86</v>
      </c>
      <c r="AD60" t="s">
        <v>46</v>
      </c>
      <c r="AE60" t="s">
        <v>3113</v>
      </c>
      <c r="AF60" t="s">
        <v>3163</v>
      </c>
      <c r="AG60" t="s">
        <v>38</v>
      </c>
      <c r="AH60">
        <v>15173</v>
      </c>
      <c r="AK60">
        <v>0</v>
      </c>
      <c r="AL60" t="s">
        <v>32</v>
      </c>
      <c r="AM60" t="s">
        <v>870</v>
      </c>
      <c r="AN60" t="s">
        <v>871</v>
      </c>
    </row>
    <row r="61" spans="1:40">
      <c r="A61" t="s">
        <v>872</v>
      </c>
      <c r="B61" t="s">
        <v>24</v>
      </c>
      <c r="C61" t="s">
        <v>873</v>
      </c>
      <c r="D61" t="s">
        <v>874</v>
      </c>
      <c r="E61" s="1">
        <v>46077.559270833335</v>
      </c>
      <c r="F61" t="s">
        <v>242</v>
      </c>
      <c r="G61" t="s">
        <v>776</v>
      </c>
      <c r="H61" t="s">
        <v>3671</v>
      </c>
      <c r="I61" t="s">
        <v>875</v>
      </c>
      <c r="J61" t="s">
        <v>514</v>
      </c>
      <c r="K61" t="s">
        <v>44</v>
      </c>
      <c r="M61" t="s">
        <v>3526</v>
      </c>
      <c r="O61" t="s">
        <v>3103</v>
      </c>
      <c r="P61" t="s">
        <v>3104</v>
      </c>
      <c r="Q61" t="s">
        <v>3678</v>
      </c>
      <c r="R61" t="s">
        <v>46</v>
      </c>
      <c r="S61" t="s">
        <v>197</v>
      </c>
      <c r="T61" t="s">
        <v>875</v>
      </c>
      <c r="U61" s="1">
        <v>46077.566064814811</v>
      </c>
      <c r="V61" t="s">
        <v>31</v>
      </c>
      <c r="W61" t="s">
        <v>33</v>
      </c>
      <c r="X61" t="s">
        <v>3530</v>
      </c>
      <c r="Y61" t="s">
        <v>3164</v>
      </c>
      <c r="Z61" t="s">
        <v>38</v>
      </c>
      <c r="AA61" t="s">
        <v>31</v>
      </c>
      <c r="AB61" t="s">
        <v>266</v>
      </c>
      <c r="AC61" t="s">
        <v>86</v>
      </c>
      <c r="AD61" t="s">
        <v>46</v>
      </c>
      <c r="AE61" t="s">
        <v>197</v>
      </c>
      <c r="AF61" t="s">
        <v>875</v>
      </c>
      <c r="AG61" t="s">
        <v>38</v>
      </c>
      <c r="AH61">
        <v>15538</v>
      </c>
      <c r="AK61">
        <v>0</v>
      </c>
      <c r="AL61" t="s">
        <v>32</v>
      </c>
      <c r="AM61" t="s">
        <v>876</v>
      </c>
      <c r="AN61" t="s">
        <v>877</v>
      </c>
    </row>
    <row r="62" spans="1:40">
      <c r="A62" t="s">
        <v>903</v>
      </c>
      <c r="B62" t="s">
        <v>34</v>
      </c>
      <c r="C62" t="s">
        <v>79</v>
      </c>
      <c r="D62" t="s">
        <v>758</v>
      </c>
      <c r="E62" s="1">
        <v>46077.531631944446</v>
      </c>
      <c r="F62" t="s">
        <v>153</v>
      </c>
      <c r="G62" t="s">
        <v>776</v>
      </c>
      <c r="H62" t="s">
        <v>3669</v>
      </c>
      <c r="I62" t="s">
        <v>590</v>
      </c>
      <c r="J62" t="s">
        <v>205</v>
      </c>
      <c r="K62" t="s">
        <v>44</v>
      </c>
      <c r="M62" t="s">
        <v>3526</v>
      </c>
      <c r="O62" t="s">
        <v>3099</v>
      </c>
      <c r="P62" t="s">
        <v>3100</v>
      </c>
      <c r="Q62" t="s">
        <v>3678</v>
      </c>
      <c r="R62" t="s">
        <v>46</v>
      </c>
      <c r="S62" t="s">
        <v>379</v>
      </c>
      <c r="T62" t="s">
        <v>379</v>
      </c>
      <c r="U62" s="1">
        <v>46077.531793981485</v>
      </c>
      <c r="V62" t="s">
        <v>31</v>
      </c>
      <c r="W62" t="s">
        <v>33</v>
      </c>
      <c r="X62" t="s">
        <v>3530</v>
      </c>
      <c r="Y62" t="s">
        <v>3132</v>
      </c>
      <c r="Z62" t="s">
        <v>38</v>
      </c>
      <c r="AA62" t="s">
        <v>31</v>
      </c>
      <c r="AB62" t="s">
        <v>206</v>
      </c>
      <c r="AC62" t="s">
        <v>30</v>
      </c>
      <c r="AD62" t="s">
        <v>46</v>
      </c>
      <c r="AE62" t="s">
        <v>379</v>
      </c>
      <c r="AF62" t="s">
        <v>379</v>
      </c>
      <c r="AG62" t="s">
        <v>38</v>
      </c>
      <c r="AH62">
        <v>3635</v>
      </c>
      <c r="AK62">
        <v>0</v>
      </c>
      <c r="AL62" t="s">
        <v>32</v>
      </c>
      <c r="AM62" t="s">
        <v>904</v>
      </c>
      <c r="AN62" t="s">
        <v>905</v>
      </c>
    </row>
    <row r="63" spans="1:40">
      <c r="A63" t="s">
        <v>920</v>
      </c>
      <c r="B63" t="s">
        <v>24</v>
      </c>
      <c r="C63" t="s">
        <v>795</v>
      </c>
      <c r="D63" t="s">
        <v>796</v>
      </c>
      <c r="E63" s="1">
        <v>46077.483171296299</v>
      </c>
      <c r="F63" t="s">
        <v>26</v>
      </c>
      <c r="G63" t="s">
        <v>776</v>
      </c>
      <c r="H63" t="s">
        <v>3665</v>
      </c>
      <c r="I63" t="s">
        <v>921</v>
      </c>
      <c r="J63" t="s">
        <v>320</v>
      </c>
      <c r="K63" t="s">
        <v>134</v>
      </c>
      <c r="M63" t="s">
        <v>3526</v>
      </c>
      <c r="O63" t="s">
        <v>3103</v>
      </c>
      <c r="P63" t="s">
        <v>3104</v>
      </c>
      <c r="Q63" t="s">
        <v>3678</v>
      </c>
      <c r="R63" t="s">
        <v>46</v>
      </c>
      <c r="S63" t="s">
        <v>559</v>
      </c>
      <c r="T63" t="s">
        <v>922</v>
      </c>
      <c r="U63" s="1">
        <v>46077.507037037038</v>
      </c>
      <c r="V63" t="s">
        <v>31</v>
      </c>
      <c r="W63" t="s">
        <v>33</v>
      </c>
      <c r="X63" t="s">
        <v>3531</v>
      </c>
      <c r="Y63" t="s">
        <v>3165</v>
      </c>
      <c r="Z63" t="s">
        <v>38</v>
      </c>
      <c r="AA63" t="s">
        <v>31</v>
      </c>
      <c r="AB63" t="s">
        <v>923</v>
      </c>
      <c r="AC63" t="s">
        <v>86</v>
      </c>
      <c r="AD63" t="s">
        <v>46</v>
      </c>
      <c r="AE63" t="s">
        <v>559</v>
      </c>
      <c r="AF63" t="s">
        <v>3166</v>
      </c>
      <c r="AG63" t="s">
        <v>38</v>
      </c>
      <c r="AH63">
        <v>15938</v>
      </c>
      <c r="AK63">
        <v>0</v>
      </c>
      <c r="AL63" t="s">
        <v>32</v>
      </c>
      <c r="AM63" t="s">
        <v>798</v>
      </c>
      <c r="AN63" t="s">
        <v>799</v>
      </c>
    </row>
    <row r="64" spans="1:40">
      <c r="A64" t="s">
        <v>924</v>
      </c>
      <c r="B64" t="s">
        <v>34</v>
      </c>
      <c r="C64" t="s">
        <v>925</v>
      </c>
      <c r="D64" t="s">
        <v>98</v>
      </c>
      <c r="E64" s="1">
        <v>46077.481539351851</v>
      </c>
      <c r="F64" t="s">
        <v>26</v>
      </c>
      <c r="G64" t="s">
        <v>776</v>
      </c>
      <c r="H64" t="s">
        <v>3665</v>
      </c>
      <c r="I64" t="s">
        <v>926</v>
      </c>
      <c r="J64" t="s">
        <v>320</v>
      </c>
      <c r="K64" t="s">
        <v>134</v>
      </c>
      <c r="M64" t="s">
        <v>3526</v>
      </c>
      <c r="O64" t="s">
        <v>3099</v>
      </c>
      <c r="P64" t="s">
        <v>3100</v>
      </c>
      <c r="Q64" t="s">
        <v>3678</v>
      </c>
      <c r="R64" t="s">
        <v>46</v>
      </c>
      <c r="S64" t="s">
        <v>188</v>
      </c>
      <c r="T64" t="s">
        <v>521</v>
      </c>
      <c r="U64" s="1">
        <v>46077.523298611108</v>
      </c>
      <c r="V64" t="s">
        <v>31</v>
      </c>
      <c r="W64" t="s">
        <v>33</v>
      </c>
      <c r="X64" t="s">
        <v>3531</v>
      </c>
      <c r="Y64" t="s">
        <v>3167</v>
      </c>
      <c r="Z64" t="s">
        <v>38</v>
      </c>
      <c r="AA64" t="s">
        <v>31</v>
      </c>
      <c r="AB64" t="s">
        <v>923</v>
      </c>
      <c r="AC64" t="s">
        <v>30</v>
      </c>
      <c r="AD64" t="s">
        <v>46</v>
      </c>
      <c r="AE64" t="s">
        <v>188</v>
      </c>
      <c r="AF64" t="s">
        <v>521</v>
      </c>
      <c r="AG64" t="s">
        <v>38</v>
      </c>
      <c r="AH64" t="s">
        <v>3588</v>
      </c>
      <c r="AK64">
        <v>0</v>
      </c>
      <c r="AL64" t="s">
        <v>32</v>
      </c>
      <c r="AM64" t="s">
        <v>927</v>
      </c>
      <c r="AN64" t="s">
        <v>928</v>
      </c>
    </row>
    <row r="65" spans="1:40">
      <c r="A65" t="s">
        <v>929</v>
      </c>
      <c r="B65" t="s">
        <v>34</v>
      </c>
      <c r="C65" t="s">
        <v>930</v>
      </c>
      <c r="D65" t="s">
        <v>931</v>
      </c>
      <c r="E65" s="1">
        <v>46077.481076388889</v>
      </c>
      <c r="F65" t="s">
        <v>26</v>
      </c>
      <c r="G65" t="s">
        <v>776</v>
      </c>
      <c r="H65" t="s">
        <v>3665</v>
      </c>
      <c r="I65" t="s">
        <v>932</v>
      </c>
      <c r="J65" t="s">
        <v>320</v>
      </c>
      <c r="K65" t="s">
        <v>134</v>
      </c>
      <c r="M65" t="s">
        <v>3526</v>
      </c>
      <c r="O65" t="s">
        <v>3099</v>
      </c>
      <c r="P65" t="s">
        <v>3100</v>
      </c>
      <c r="Q65" t="s">
        <v>3691</v>
      </c>
      <c r="R65" t="s">
        <v>491</v>
      </c>
      <c r="S65" t="s">
        <v>188</v>
      </c>
      <c r="T65" t="s">
        <v>933</v>
      </c>
      <c r="U65" s="1">
        <v>46077.515752314815</v>
      </c>
      <c r="V65" t="s">
        <v>31</v>
      </c>
      <c r="W65" t="s">
        <v>33</v>
      </c>
      <c r="X65" t="s">
        <v>3531</v>
      </c>
      <c r="Y65" t="s">
        <v>3168</v>
      </c>
      <c r="Z65" t="s">
        <v>38</v>
      </c>
      <c r="AA65" t="s">
        <v>31</v>
      </c>
      <c r="AB65" t="s">
        <v>923</v>
      </c>
      <c r="AC65" t="s">
        <v>30</v>
      </c>
      <c r="AD65" t="s">
        <v>491</v>
      </c>
      <c r="AE65" t="s">
        <v>188</v>
      </c>
      <c r="AF65" t="s">
        <v>3169</v>
      </c>
      <c r="AG65" t="s">
        <v>38</v>
      </c>
      <c r="AH65">
        <v>7126</v>
      </c>
      <c r="AK65">
        <v>0</v>
      </c>
      <c r="AL65" t="s">
        <v>32</v>
      </c>
      <c r="AM65" t="s">
        <v>934</v>
      </c>
      <c r="AN65" t="s">
        <v>935</v>
      </c>
    </row>
    <row r="66" spans="1:40">
      <c r="A66" t="s">
        <v>937</v>
      </c>
      <c r="B66" t="s">
        <v>24</v>
      </c>
      <c r="C66" t="s">
        <v>434</v>
      </c>
      <c r="D66" t="s">
        <v>938</v>
      </c>
      <c r="E66" s="1">
        <v>46077.475347222222</v>
      </c>
      <c r="F66" t="s">
        <v>426</v>
      </c>
      <c r="G66" t="s">
        <v>776</v>
      </c>
      <c r="H66" t="s">
        <v>3672</v>
      </c>
      <c r="I66" t="s">
        <v>939</v>
      </c>
      <c r="J66" t="s">
        <v>411</v>
      </c>
      <c r="K66" t="s">
        <v>44</v>
      </c>
      <c r="M66" t="s">
        <v>3526</v>
      </c>
      <c r="O66" t="s">
        <v>3103</v>
      </c>
      <c r="P66" t="s">
        <v>3104</v>
      </c>
      <c r="Q66" t="s">
        <v>3706</v>
      </c>
      <c r="R66" t="s">
        <v>46</v>
      </c>
      <c r="S66" t="s">
        <v>374</v>
      </c>
      <c r="T66" t="s">
        <v>618</v>
      </c>
      <c r="U66" s="1">
        <v>46077.47619212963</v>
      </c>
      <c r="V66" t="s">
        <v>31</v>
      </c>
      <c r="W66" t="s">
        <v>33</v>
      </c>
      <c r="X66" t="s">
        <v>3530</v>
      </c>
      <c r="Y66" t="s">
        <v>3170</v>
      </c>
      <c r="Z66" t="s">
        <v>38</v>
      </c>
      <c r="AA66" t="s">
        <v>31</v>
      </c>
      <c r="AB66" t="s">
        <v>413</v>
      </c>
      <c r="AC66" t="s">
        <v>86</v>
      </c>
      <c r="AD66" t="s">
        <v>46</v>
      </c>
      <c r="AE66" t="s">
        <v>374</v>
      </c>
      <c r="AF66" t="s">
        <v>618</v>
      </c>
      <c r="AG66" t="s">
        <v>38</v>
      </c>
      <c r="AH66">
        <v>6190</v>
      </c>
      <c r="AK66">
        <v>0</v>
      </c>
      <c r="AL66" t="s">
        <v>32</v>
      </c>
      <c r="AM66" t="s">
        <v>940</v>
      </c>
      <c r="AN66" t="s">
        <v>941</v>
      </c>
    </row>
    <row r="67" spans="1:40">
      <c r="A67" t="s">
        <v>954</v>
      </c>
      <c r="B67" t="s">
        <v>24</v>
      </c>
      <c r="C67" t="s">
        <v>955</v>
      </c>
      <c r="D67" t="s">
        <v>419</v>
      </c>
      <c r="E67" s="1">
        <v>46077.474247685182</v>
      </c>
      <c r="F67" t="s">
        <v>173</v>
      </c>
      <c r="G67" t="s">
        <v>776</v>
      </c>
      <c r="H67" t="s">
        <v>3666</v>
      </c>
      <c r="I67" t="s">
        <v>956</v>
      </c>
      <c r="J67" t="s">
        <v>817</v>
      </c>
      <c r="K67" t="s">
        <v>134</v>
      </c>
      <c r="M67" t="s">
        <v>3526</v>
      </c>
      <c r="O67" t="s">
        <v>3144</v>
      </c>
      <c r="P67" t="s">
        <v>3145</v>
      </c>
      <c r="Q67" t="s">
        <v>3678</v>
      </c>
      <c r="R67" t="s">
        <v>46</v>
      </c>
      <c r="S67" t="s">
        <v>365</v>
      </c>
      <c r="T67" t="s">
        <v>957</v>
      </c>
      <c r="U67" s="1">
        <v>46077.48746527778</v>
      </c>
      <c r="V67" t="s">
        <v>31</v>
      </c>
      <c r="W67" t="s">
        <v>33</v>
      </c>
      <c r="X67" t="s">
        <v>3530</v>
      </c>
      <c r="Y67" t="s">
        <v>3171</v>
      </c>
      <c r="Z67" t="s">
        <v>38</v>
      </c>
      <c r="AA67" t="s">
        <v>31</v>
      </c>
      <c r="AB67" t="s">
        <v>190</v>
      </c>
      <c r="AC67" t="s">
        <v>284</v>
      </c>
      <c r="AD67" t="s">
        <v>46</v>
      </c>
      <c r="AE67" t="s">
        <v>365</v>
      </c>
      <c r="AF67" t="s">
        <v>957</v>
      </c>
      <c r="AG67" t="s">
        <v>38</v>
      </c>
      <c r="AH67">
        <v>14164</v>
      </c>
      <c r="AK67">
        <v>1</v>
      </c>
      <c r="AL67" t="s">
        <v>32</v>
      </c>
      <c r="AM67" t="s">
        <v>958</v>
      </c>
      <c r="AN67" t="s">
        <v>959</v>
      </c>
    </row>
    <row r="68" spans="1:40">
      <c r="A68" t="s">
        <v>963</v>
      </c>
      <c r="B68" t="s">
        <v>34</v>
      </c>
      <c r="C68" t="s">
        <v>25</v>
      </c>
      <c r="D68" t="s">
        <v>964</v>
      </c>
      <c r="E68" s="1">
        <v>46077.457685185182</v>
      </c>
      <c r="F68" t="s">
        <v>26</v>
      </c>
      <c r="G68" t="s">
        <v>776</v>
      </c>
      <c r="H68" t="s">
        <v>3665</v>
      </c>
      <c r="I68" t="s">
        <v>95</v>
      </c>
      <c r="J68" t="s">
        <v>514</v>
      </c>
      <c r="K68" t="s">
        <v>44</v>
      </c>
      <c r="M68" t="s">
        <v>3526</v>
      </c>
      <c r="O68" t="s">
        <v>3099</v>
      </c>
      <c r="P68" t="s">
        <v>3100</v>
      </c>
      <c r="R68" t="s">
        <v>162</v>
      </c>
      <c r="S68" t="s">
        <v>163</v>
      </c>
      <c r="T68" t="s">
        <v>164</v>
      </c>
      <c r="U68" s="1">
        <v>46077.532060185185</v>
      </c>
      <c r="V68" t="s">
        <v>31</v>
      </c>
      <c r="W68" t="s">
        <v>33</v>
      </c>
      <c r="X68" t="s">
        <v>3536</v>
      </c>
      <c r="Y68" t="s">
        <v>3172</v>
      </c>
      <c r="Z68" t="s">
        <v>38</v>
      </c>
      <c r="AA68" t="s">
        <v>31</v>
      </c>
      <c r="AB68" t="s">
        <v>104</v>
      </c>
      <c r="AC68" t="s">
        <v>30</v>
      </c>
      <c r="AD68" t="s">
        <v>46</v>
      </c>
      <c r="AE68" t="s">
        <v>94</v>
      </c>
      <c r="AF68" t="s">
        <v>95</v>
      </c>
      <c r="AG68" t="s">
        <v>38</v>
      </c>
      <c r="AH68" t="s">
        <v>3589</v>
      </c>
      <c r="AK68">
        <v>3</v>
      </c>
      <c r="AL68" t="s">
        <v>32</v>
      </c>
      <c r="AM68" t="s">
        <v>965</v>
      </c>
      <c r="AN68" t="s">
        <v>966</v>
      </c>
    </row>
    <row r="69" spans="1:40">
      <c r="A69" t="s">
        <v>978</v>
      </c>
      <c r="B69" t="s">
        <v>34</v>
      </c>
      <c r="C69" t="s">
        <v>99</v>
      </c>
      <c r="D69" t="s">
        <v>115</v>
      </c>
      <c r="E69" s="1">
        <v>46077.446666666663</v>
      </c>
      <c r="F69" t="s">
        <v>153</v>
      </c>
      <c r="G69" t="s">
        <v>776</v>
      </c>
      <c r="H69" t="s">
        <v>3669</v>
      </c>
      <c r="I69" t="s">
        <v>979</v>
      </c>
      <c r="J69" t="s">
        <v>300</v>
      </c>
      <c r="K69" t="s">
        <v>44</v>
      </c>
      <c r="M69" t="s">
        <v>3526</v>
      </c>
      <c r="O69" t="s">
        <v>3099</v>
      </c>
      <c r="P69" t="s">
        <v>3100</v>
      </c>
      <c r="R69" t="s">
        <v>46</v>
      </c>
      <c r="S69" t="s">
        <v>515</v>
      </c>
      <c r="T69" t="s">
        <v>980</v>
      </c>
      <c r="U69" s="1">
        <v>46077.447395833333</v>
      </c>
      <c r="V69" t="s">
        <v>31</v>
      </c>
      <c r="W69" t="s">
        <v>33</v>
      </c>
      <c r="X69" t="s">
        <v>3530</v>
      </c>
      <c r="Y69" t="s">
        <v>3173</v>
      </c>
      <c r="Z69" t="s">
        <v>38</v>
      </c>
      <c r="AA69" t="s">
        <v>31</v>
      </c>
      <c r="AB69" t="s">
        <v>399</v>
      </c>
      <c r="AC69" t="s">
        <v>30</v>
      </c>
      <c r="AD69" t="s">
        <v>46</v>
      </c>
      <c r="AE69" t="s">
        <v>515</v>
      </c>
      <c r="AF69" t="s">
        <v>618</v>
      </c>
      <c r="AG69" t="s">
        <v>38</v>
      </c>
      <c r="AH69">
        <v>14969</v>
      </c>
      <c r="AK69">
        <v>0</v>
      </c>
      <c r="AL69" t="s">
        <v>32</v>
      </c>
      <c r="AM69" t="s">
        <v>981</v>
      </c>
      <c r="AN69" t="s">
        <v>982</v>
      </c>
    </row>
    <row r="70" spans="1:40">
      <c r="A70" t="s">
        <v>989</v>
      </c>
      <c r="B70" t="s">
        <v>24</v>
      </c>
      <c r="C70" t="s">
        <v>123</v>
      </c>
      <c r="D70" t="s">
        <v>990</v>
      </c>
      <c r="E70" s="1">
        <v>46077.438194444447</v>
      </c>
      <c r="F70" t="s">
        <v>555</v>
      </c>
      <c r="G70" t="s">
        <v>776</v>
      </c>
      <c r="H70" t="s">
        <v>3666</v>
      </c>
      <c r="I70" t="s">
        <v>875</v>
      </c>
      <c r="J70" t="s">
        <v>514</v>
      </c>
      <c r="K70" t="s">
        <v>44</v>
      </c>
      <c r="M70" t="s">
        <v>3526</v>
      </c>
      <c r="O70" t="s">
        <v>3103</v>
      </c>
      <c r="P70" t="s">
        <v>3104</v>
      </c>
      <c r="Q70" t="s">
        <v>3689</v>
      </c>
      <c r="R70" t="s">
        <v>46</v>
      </c>
      <c r="S70" t="s">
        <v>197</v>
      </c>
      <c r="T70" t="s">
        <v>875</v>
      </c>
      <c r="U70" s="1">
        <v>46077.449965277781</v>
      </c>
      <c r="V70" t="s">
        <v>31</v>
      </c>
      <c r="W70" t="s">
        <v>33</v>
      </c>
      <c r="X70" t="s">
        <v>3530</v>
      </c>
      <c r="Y70" t="s">
        <v>3174</v>
      </c>
      <c r="Z70" t="s">
        <v>38</v>
      </c>
      <c r="AA70" t="s">
        <v>31</v>
      </c>
      <c r="AB70" t="s">
        <v>266</v>
      </c>
      <c r="AC70" t="s">
        <v>86</v>
      </c>
      <c r="AD70" t="s">
        <v>46</v>
      </c>
      <c r="AE70" t="s">
        <v>197</v>
      </c>
      <c r="AF70" t="s">
        <v>875</v>
      </c>
      <c r="AG70" t="s">
        <v>38</v>
      </c>
      <c r="AH70">
        <v>6650</v>
      </c>
      <c r="AK70">
        <v>0</v>
      </c>
      <c r="AL70" t="s">
        <v>181</v>
      </c>
      <c r="AM70" t="s">
        <v>991</v>
      </c>
      <c r="AN70" t="s">
        <v>992</v>
      </c>
    </row>
    <row r="71" spans="1:40">
      <c r="A71" t="s">
        <v>997</v>
      </c>
      <c r="B71" t="s">
        <v>34</v>
      </c>
      <c r="C71" t="s">
        <v>704</v>
      </c>
      <c r="D71" t="s">
        <v>123</v>
      </c>
      <c r="E71" s="1">
        <v>46077.432523148149</v>
      </c>
      <c r="F71" t="s">
        <v>150</v>
      </c>
      <c r="G71" t="s">
        <v>776</v>
      </c>
      <c r="H71" t="s">
        <v>3671</v>
      </c>
      <c r="I71" t="s">
        <v>430</v>
      </c>
      <c r="J71" t="s">
        <v>253</v>
      </c>
      <c r="K71" t="s">
        <v>44</v>
      </c>
      <c r="M71" t="s">
        <v>3526</v>
      </c>
      <c r="O71" t="s">
        <v>3099</v>
      </c>
      <c r="P71" t="s">
        <v>3100</v>
      </c>
      <c r="R71" t="s">
        <v>46</v>
      </c>
      <c r="S71" t="s">
        <v>188</v>
      </c>
      <c r="T71" t="s">
        <v>431</v>
      </c>
      <c r="U71" s="1">
        <v>46077.602592592593</v>
      </c>
      <c r="V71" t="s">
        <v>31</v>
      </c>
      <c r="W71" t="s">
        <v>33</v>
      </c>
      <c r="X71" t="s">
        <v>3530</v>
      </c>
      <c r="Y71" t="s">
        <v>3175</v>
      </c>
      <c r="Z71" t="s">
        <v>38</v>
      </c>
      <c r="AA71" t="s">
        <v>31</v>
      </c>
      <c r="AB71" t="s">
        <v>367</v>
      </c>
      <c r="AC71" t="s">
        <v>30</v>
      </c>
      <c r="AD71" t="s">
        <v>46</v>
      </c>
      <c r="AE71" t="s">
        <v>188</v>
      </c>
      <c r="AF71" t="s">
        <v>431</v>
      </c>
      <c r="AG71" t="s">
        <v>38</v>
      </c>
      <c r="AH71">
        <v>15523</v>
      </c>
      <c r="AK71">
        <v>0</v>
      </c>
      <c r="AL71" t="s">
        <v>32</v>
      </c>
      <c r="AM71" t="s">
        <v>705</v>
      </c>
      <c r="AN71" t="s">
        <v>706</v>
      </c>
    </row>
    <row r="72" spans="1:40">
      <c r="A72" t="s">
        <v>1002</v>
      </c>
      <c r="B72" t="s">
        <v>24</v>
      </c>
      <c r="C72" t="s">
        <v>311</v>
      </c>
      <c r="D72" t="s">
        <v>435</v>
      </c>
      <c r="E72" s="1">
        <v>46077.424988425926</v>
      </c>
      <c r="F72" t="s">
        <v>238</v>
      </c>
      <c r="G72" t="s">
        <v>776</v>
      </c>
      <c r="H72" t="s">
        <v>3665</v>
      </c>
      <c r="I72" t="s">
        <v>1003</v>
      </c>
      <c r="J72" t="s">
        <v>253</v>
      </c>
      <c r="K72" t="s">
        <v>44</v>
      </c>
      <c r="M72" t="s">
        <v>3526</v>
      </c>
      <c r="O72" t="s">
        <v>3103</v>
      </c>
      <c r="P72" t="s">
        <v>3104</v>
      </c>
      <c r="R72" t="s">
        <v>46</v>
      </c>
      <c r="S72" t="s">
        <v>443</v>
      </c>
      <c r="T72" t="s">
        <v>792</v>
      </c>
      <c r="U72" s="1">
        <v>46077.602233796293</v>
      </c>
      <c r="V72" t="s">
        <v>31</v>
      </c>
      <c r="W72" t="s">
        <v>33</v>
      </c>
      <c r="X72" t="s">
        <v>3530</v>
      </c>
      <c r="Y72" t="s">
        <v>3176</v>
      </c>
      <c r="Z72" t="s">
        <v>38</v>
      </c>
      <c r="AA72" t="s">
        <v>31</v>
      </c>
      <c r="AB72" t="s">
        <v>367</v>
      </c>
      <c r="AC72" t="s">
        <v>86</v>
      </c>
      <c r="AD72" t="s">
        <v>46</v>
      </c>
      <c r="AE72" t="s">
        <v>3113</v>
      </c>
      <c r="AF72" t="s">
        <v>3153</v>
      </c>
      <c r="AG72" t="s">
        <v>38</v>
      </c>
      <c r="AH72">
        <v>11503</v>
      </c>
      <c r="AK72">
        <v>0</v>
      </c>
      <c r="AL72" t="s">
        <v>32</v>
      </c>
      <c r="AM72" t="s">
        <v>1004</v>
      </c>
      <c r="AN72" t="s">
        <v>1005</v>
      </c>
    </row>
    <row r="73" spans="1:40">
      <c r="A73" t="s">
        <v>1011</v>
      </c>
      <c r="B73" t="s">
        <v>34</v>
      </c>
      <c r="C73" t="s">
        <v>1012</v>
      </c>
      <c r="D73" t="s">
        <v>1013</v>
      </c>
      <c r="E73" s="1">
        <v>46077.423657407409</v>
      </c>
      <c r="F73" t="s">
        <v>242</v>
      </c>
      <c r="G73" t="s">
        <v>776</v>
      </c>
      <c r="H73" t="s">
        <v>3671</v>
      </c>
      <c r="I73" t="s">
        <v>513</v>
      </c>
      <c r="J73" t="s">
        <v>514</v>
      </c>
      <c r="K73" t="s">
        <v>44</v>
      </c>
      <c r="M73" t="s">
        <v>3526</v>
      </c>
      <c r="O73" t="s">
        <v>3099</v>
      </c>
      <c r="P73" t="s">
        <v>3100</v>
      </c>
      <c r="Q73" t="s">
        <v>3678</v>
      </c>
      <c r="R73" t="s">
        <v>46</v>
      </c>
      <c r="S73" t="s">
        <v>515</v>
      </c>
      <c r="T73" t="s">
        <v>516</v>
      </c>
      <c r="U73" s="1">
        <v>46077.430844907409</v>
      </c>
      <c r="V73" t="s">
        <v>31</v>
      </c>
      <c r="W73" t="s">
        <v>33</v>
      </c>
      <c r="X73" t="s">
        <v>3530</v>
      </c>
      <c r="Y73" t="s">
        <v>3177</v>
      </c>
      <c r="Z73" t="s">
        <v>38</v>
      </c>
      <c r="AA73" t="s">
        <v>31</v>
      </c>
      <c r="AB73" t="s">
        <v>266</v>
      </c>
      <c r="AC73" t="s">
        <v>30</v>
      </c>
      <c r="AD73" t="s">
        <v>46</v>
      </c>
      <c r="AE73" t="s">
        <v>515</v>
      </c>
      <c r="AF73" t="s">
        <v>3120</v>
      </c>
      <c r="AG73" t="s">
        <v>38</v>
      </c>
      <c r="AH73">
        <v>12716</v>
      </c>
      <c r="AK73">
        <v>0</v>
      </c>
      <c r="AL73" t="s">
        <v>32</v>
      </c>
      <c r="AM73" t="s">
        <v>1014</v>
      </c>
      <c r="AN73" t="s">
        <v>1015</v>
      </c>
    </row>
    <row r="74" spans="1:40">
      <c r="A74" t="s">
        <v>1016</v>
      </c>
      <c r="B74" t="s">
        <v>24</v>
      </c>
      <c r="C74" t="s">
        <v>465</v>
      </c>
      <c r="D74" t="s">
        <v>1017</v>
      </c>
      <c r="E74" s="1">
        <v>46077.423807870371</v>
      </c>
      <c r="F74" t="s">
        <v>117</v>
      </c>
      <c r="G74" t="s">
        <v>776</v>
      </c>
      <c r="H74" t="s">
        <v>3668</v>
      </c>
      <c r="I74" t="s">
        <v>1018</v>
      </c>
      <c r="J74" t="s">
        <v>253</v>
      </c>
      <c r="K74" t="s">
        <v>44</v>
      </c>
      <c r="M74" t="s">
        <v>3526</v>
      </c>
      <c r="O74" t="s">
        <v>3103</v>
      </c>
      <c r="P74" t="s">
        <v>3104</v>
      </c>
      <c r="Q74" t="s">
        <v>3678</v>
      </c>
      <c r="R74" t="s">
        <v>46</v>
      </c>
      <c r="S74" t="s">
        <v>313</v>
      </c>
      <c r="T74" t="s">
        <v>314</v>
      </c>
      <c r="U74" s="1">
        <v>46077.498043981483</v>
      </c>
      <c r="V74" t="s">
        <v>31</v>
      </c>
      <c r="W74" t="s">
        <v>33</v>
      </c>
      <c r="X74" t="s">
        <v>3530</v>
      </c>
      <c r="Y74" t="s">
        <v>3106</v>
      </c>
      <c r="Z74" t="s">
        <v>38</v>
      </c>
      <c r="AA74" t="s">
        <v>31</v>
      </c>
      <c r="AB74" t="s">
        <v>367</v>
      </c>
      <c r="AC74" t="s">
        <v>86</v>
      </c>
      <c r="AD74" t="s">
        <v>46</v>
      </c>
      <c r="AE74" t="s">
        <v>313</v>
      </c>
      <c r="AF74" t="s">
        <v>314</v>
      </c>
      <c r="AG74" t="s">
        <v>38</v>
      </c>
      <c r="AH74">
        <v>11806</v>
      </c>
      <c r="AK74">
        <v>0</v>
      </c>
      <c r="AL74" t="s">
        <v>32</v>
      </c>
      <c r="AM74" t="s">
        <v>1019</v>
      </c>
      <c r="AN74" t="s">
        <v>1020</v>
      </c>
    </row>
    <row r="75" spans="1:40">
      <c r="A75" t="s">
        <v>1021</v>
      </c>
      <c r="B75" t="s">
        <v>24</v>
      </c>
      <c r="C75" t="s">
        <v>1022</v>
      </c>
      <c r="D75" t="s">
        <v>1023</v>
      </c>
      <c r="E75" s="1">
        <v>46077.421342592592</v>
      </c>
      <c r="F75" t="s">
        <v>298</v>
      </c>
      <c r="G75" t="s">
        <v>776</v>
      </c>
      <c r="H75" t="s">
        <v>3669</v>
      </c>
      <c r="I75" t="s">
        <v>1024</v>
      </c>
      <c r="J75" t="s">
        <v>300</v>
      </c>
      <c r="K75" t="s">
        <v>44</v>
      </c>
      <c r="M75" t="s">
        <v>3526</v>
      </c>
      <c r="O75" t="s">
        <v>3103</v>
      </c>
      <c r="P75" t="s">
        <v>3104</v>
      </c>
      <c r="Q75" t="s">
        <v>3678</v>
      </c>
      <c r="R75" t="s">
        <v>162</v>
      </c>
      <c r="S75" t="s">
        <v>163</v>
      </c>
      <c r="T75" t="s">
        <v>164</v>
      </c>
      <c r="U75" s="1">
        <v>46078.391273148147</v>
      </c>
      <c r="V75" t="s">
        <v>31</v>
      </c>
      <c r="W75" t="s">
        <v>33</v>
      </c>
      <c r="X75" t="s">
        <v>3536</v>
      </c>
      <c r="Y75" t="e">
        <f>- cleared credential manager for old password. - Removed unwanted PDF Architect software as per user confirmation.</f>
        <v>#NAME?</v>
      </c>
      <c r="Z75" t="s">
        <v>38</v>
      </c>
      <c r="AA75" t="s">
        <v>31</v>
      </c>
      <c r="AB75" t="s">
        <v>104</v>
      </c>
      <c r="AC75" t="s">
        <v>86</v>
      </c>
      <c r="AD75" t="s">
        <v>46</v>
      </c>
      <c r="AE75" t="s">
        <v>374</v>
      </c>
      <c r="AF75" t="s">
        <v>618</v>
      </c>
      <c r="AG75" t="s">
        <v>38</v>
      </c>
      <c r="AH75">
        <v>14755</v>
      </c>
      <c r="AK75">
        <v>4</v>
      </c>
      <c r="AL75" t="s">
        <v>32</v>
      </c>
      <c r="AM75" t="s">
        <v>1025</v>
      </c>
      <c r="AN75" t="s">
        <v>1026</v>
      </c>
    </row>
    <row r="76" spans="1:40">
      <c r="A76" t="s">
        <v>1031</v>
      </c>
      <c r="B76" t="s">
        <v>34</v>
      </c>
      <c r="C76" t="s">
        <v>97</v>
      </c>
      <c r="D76" t="s">
        <v>1032</v>
      </c>
      <c r="E76" s="1">
        <v>46077.420497685183</v>
      </c>
      <c r="F76" t="s">
        <v>426</v>
      </c>
      <c r="G76" t="s">
        <v>776</v>
      </c>
      <c r="H76" t="s">
        <v>3672</v>
      </c>
      <c r="I76" t="s">
        <v>535</v>
      </c>
      <c r="J76" t="s">
        <v>300</v>
      </c>
      <c r="K76" t="s">
        <v>44</v>
      </c>
      <c r="M76" t="s">
        <v>3526</v>
      </c>
      <c r="O76" t="s">
        <v>3099</v>
      </c>
      <c r="P76" t="s">
        <v>3100</v>
      </c>
      <c r="Q76" t="s">
        <v>3678</v>
      </c>
      <c r="R76" t="s">
        <v>46</v>
      </c>
      <c r="S76" t="s">
        <v>188</v>
      </c>
      <c r="T76" t="s">
        <v>431</v>
      </c>
      <c r="U76" s="1">
        <v>46077.420902777776</v>
      </c>
      <c r="V76" t="s">
        <v>31</v>
      </c>
      <c r="W76" t="s">
        <v>33</v>
      </c>
      <c r="X76" t="s">
        <v>3530</v>
      </c>
      <c r="Y76" t="s">
        <v>3178</v>
      </c>
      <c r="Z76" t="s">
        <v>38</v>
      </c>
      <c r="AA76" t="s">
        <v>31</v>
      </c>
      <c r="AB76" t="s">
        <v>399</v>
      </c>
      <c r="AC76" t="s">
        <v>30</v>
      </c>
      <c r="AD76" t="s">
        <v>46</v>
      </c>
      <c r="AE76" t="s">
        <v>188</v>
      </c>
      <c r="AF76" t="s">
        <v>431</v>
      </c>
      <c r="AG76" t="s">
        <v>38</v>
      </c>
      <c r="AH76">
        <v>14633</v>
      </c>
      <c r="AK76">
        <v>0</v>
      </c>
      <c r="AL76" t="s">
        <v>32</v>
      </c>
      <c r="AM76" t="s">
        <v>1033</v>
      </c>
      <c r="AN76" t="s">
        <v>1034</v>
      </c>
    </row>
    <row r="77" spans="1:40">
      <c r="A77" t="s">
        <v>1035</v>
      </c>
      <c r="B77" t="s">
        <v>34</v>
      </c>
      <c r="C77" t="s">
        <v>123</v>
      </c>
      <c r="D77" t="s">
        <v>990</v>
      </c>
      <c r="E77" s="1">
        <v>46077.420856481483</v>
      </c>
      <c r="F77" t="s">
        <v>555</v>
      </c>
      <c r="G77" t="s">
        <v>776</v>
      </c>
      <c r="H77" t="s">
        <v>3666</v>
      </c>
      <c r="I77" t="s">
        <v>109</v>
      </c>
      <c r="J77" t="s">
        <v>205</v>
      </c>
      <c r="K77" t="s">
        <v>44</v>
      </c>
      <c r="M77" t="s">
        <v>3526</v>
      </c>
      <c r="O77" t="s">
        <v>3099</v>
      </c>
      <c r="P77" t="s">
        <v>3100</v>
      </c>
      <c r="Q77" t="s">
        <v>3689</v>
      </c>
      <c r="R77" t="s">
        <v>46</v>
      </c>
      <c r="S77" t="s">
        <v>110</v>
      </c>
      <c r="T77" t="s">
        <v>111</v>
      </c>
      <c r="U77" s="1">
        <v>46077.421076388891</v>
      </c>
      <c r="V77" t="s">
        <v>31</v>
      </c>
      <c r="W77" t="s">
        <v>33</v>
      </c>
      <c r="X77" t="s">
        <v>3530</v>
      </c>
      <c r="Y77" t="s">
        <v>3134</v>
      </c>
      <c r="Z77" t="s">
        <v>38</v>
      </c>
      <c r="AA77" t="s">
        <v>31</v>
      </c>
      <c r="AB77" t="s">
        <v>206</v>
      </c>
      <c r="AC77" t="s">
        <v>30</v>
      </c>
      <c r="AD77" t="s">
        <v>46</v>
      </c>
      <c r="AE77" t="s">
        <v>110</v>
      </c>
      <c r="AF77" t="s">
        <v>111</v>
      </c>
      <c r="AG77" t="s">
        <v>38</v>
      </c>
      <c r="AH77">
        <v>6650</v>
      </c>
      <c r="AK77">
        <v>0</v>
      </c>
      <c r="AL77" t="s">
        <v>181</v>
      </c>
      <c r="AM77" t="s">
        <v>991</v>
      </c>
      <c r="AN77" t="s">
        <v>992</v>
      </c>
    </row>
    <row r="78" spans="1:40">
      <c r="A78" t="s">
        <v>1036</v>
      </c>
      <c r="B78" t="s">
        <v>34</v>
      </c>
      <c r="C78" t="s">
        <v>159</v>
      </c>
      <c r="D78" t="s">
        <v>160</v>
      </c>
      <c r="E78" s="1">
        <v>46077.413854166669</v>
      </c>
      <c r="F78" t="s">
        <v>161</v>
      </c>
      <c r="G78" t="s">
        <v>776</v>
      </c>
      <c r="H78" t="s">
        <v>3667</v>
      </c>
      <c r="I78" t="s">
        <v>1037</v>
      </c>
      <c r="J78" t="s">
        <v>290</v>
      </c>
      <c r="K78" t="s">
        <v>44</v>
      </c>
      <c r="M78" t="s">
        <v>3526</v>
      </c>
      <c r="O78" t="s">
        <v>3099</v>
      </c>
      <c r="P78" t="s">
        <v>3100</v>
      </c>
      <c r="Q78" t="s">
        <v>3707</v>
      </c>
      <c r="R78" t="s">
        <v>46</v>
      </c>
      <c r="S78" t="s">
        <v>188</v>
      </c>
      <c r="T78" t="s">
        <v>431</v>
      </c>
      <c r="U78" s="1">
        <v>46077.419895833336</v>
      </c>
      <c r="V78" t="s">
        <v>31</v>
      </c>
      <c r="W78" t="s">
        <v>33</v>
      </c>
      <c r="X78" t="s">
        <v>3530</v>
      </c>
      <c r="Y78" t="s">
        <v>3179</v>
      </c>
      <c r="Z78" t="s">
        <v>38</v>
      </c>
      <c r="AA78" t="s">
        <v>31</v>
      </c>
      <c r="AB78" t="s">
        <v>190</v>
      </c>
      <c r="AC78" t="s">
        <v>30</v>
      </c>
      <c r="AD78" t="s">
        <v>46</v>
      </c>
      <c r="AE78" t="s">
        <v>188</v>
      </c>
      <c r="AF78" t="s">
        <v>431</v>
      </c>
      <c r="AG78" t="s">
        <v>38</v>
      </c>
      <c r="AH78">
        <v>5505</v>
      </c>
      <c r="AK78">
        <v>0</v>
      </c>
      <c r="AL78" t="s">
        <v>32</v>
      </c>
      <c r="AM78" t="s">
        <v>165</v>
      </c>
      <c r="AN78" t="s">
        <v>166</v>
      </c>
    </row>
    <row r="79" spans="1:40">
      <c r="A79" t="s">
        <v>1042</v>
      </c>
      <c r="B79" t="s">
        <v>24</v>
      </c>
      <c r="C79" t="s">
        <v>916</v>
      </c>
      <c r="D79" t="s">
        <v>917</v>
      </c>
      <c r="E79" s="1">
        <v>46077.410104166665</v>
      </c>
      <c r="F79" t="s">
        <v>353</v>
      </c>
      <c r="G79" t="s">
        <v>776</v>
      </c>
      <c r="H79" t="s">
        <v>3671</v>
      </c>
      <c r="I79" t="s">
        <v>1043</v>
      </c>
      <c r="J79" t="s">
        <v>477</v>
      </c>
      <c r="K79" t="s">
        <v>134</v>
      </c>
      <c r="M79" t="s">
        <v>3529</v>
      </c>
      <c r="O79" t="s">
        <v>3103</v>
      </c>
      <c r="P79" t="s">
        <v>3104</v>
      </c>
      <c r="Q79" t="s">
        <v>3708</v>
      </c>
      <c r="R79" t="s">
        <v>162</v>
      </c>
      <c r="S79" t="s">
        <v>163</v>
      </c>
      <c r="T79" t="s">
        <v>164</v>
      </c>
      <c r="U79" s="1">
        <v>46077.480324074073</v>
      </c>
      <c r="V79" t="s">
        <v>31</v>
      </c>
      <c r="W79" t="s">
        <v>33</v>
      </c>
      <c r="X79" t="s">
        <v>3536</v>
      </c>
      <c r="Y79" t="s">
        <v>3180</v>
      </c>
      <c r="Z79" t="s">
        <v>38</v>
      </c>
      <c r="AA79" t="s">
        <v>31</v>
      </c>
      <c r="AB79" t="s">
        <v>104</v>
      </c>
      <c r="AC79" t="s">
        <v>86</v>
      </c>
      <c r="AD79" t="s">
        <v>46</v>
      </c>
      <c r="AE79" t="s">
        <v>110</v>
      </c>
      <c r="AF79" t="s">
        <v>3181</v>
      </c>
      <c r="AG79" t="s">
        <v>38</v>
      </c>
      <c r="AH79">
        <v>4497</v>
      </c>
      <c r="AK79">
        <v>2</v>
      </c>
      <c r="AL79" t="s">
        <v>32</v>
      </c>
      <c r="AM79" t="s">
        <v>918</v>
      </c>
      <c r="AN79" t="s">
        <v>919</v>
      </c>
    </row>
    <row r="80" spans="1:40">
      <c r="A80" t="s">
        <v>1044</v>
      </c>
      <c r="B80" t="s">
        <v>34</v>
      </c>
      <c r="C80" t="s">
        <v>984</v>
      </c>
      <c r="D80" t="s">
        <v>598</v>
      </c>
      <c r="E80" s="1">
        <v>46077.409884259258</v>
      </c>
      <c r="F80" t="s">
        <v>333</v>
      </c>
      <c r="G80" t="s">
        <v>776</v>
      </c>
      <c r="H80" t="s">
        <v>3671</v>
      </c>
      <c r="I80" t="s">
        <v>109</v>
      </c>
      <c r="J80" t="s">
        <v>179</v>
      </c>
      <c r="K80" t="s">
        <v>44</v>
      </c>
      <c r="M80" t="s">
        <v>3526</v>
      </c>
      <c r="O80" t="s">
        <v>3099</v>
      </c>
      <c r="P80" t="s">
        <v>3100</v>
      </c>
      <c r="R80" t="s">
        <v>46</v>
      </c>
      <c r="S80" t="s">
        <v>110</v>
      </c>
      <c r="T80" t="s">
        <v>111</v>
      </c>
      <c r="U80" s="1">
        <v>46077.410405092596</v>
      </c>
      <c r="V80" t="s">
        <v>31</v>
      </c>
      <c r="W80" t="s">
        <v>33</v>
      </c>
      <c r="X80" t="s">
        <v>3530</v>
      </c>
      <c r="Y80" t="s">
        <v>3182</v>
      </c>
      <c r="Z80" t="s">
        <v>38</v>
      </c>
      <c r="AA80" t="s">
        <v>31</v>
      </c>
      <c r="AB80" t="s">
        <v>350</v>
      </c>
      <c r="AC80" t="s">
        <v>30</v>
      </c>
      <c r="AD80" t="s">
        <v>46</v>
      </c>
      <c r="AE80" t="s">
        <v>110</v>
      </c>
      <c r="AF80" t="s">
        <v>111</v>
      </c>
      <c r="AG80" t="s">
        <v>38</v>
      </c>
      <c r="AH80">
        <v>11680</v>
      </c>
      <c r="AK80">
        <v>0</v>
      </c>
      <c r="AL80" t="s">
        <v>32</v>
      </c>
      <c r="AM80" t="s">
        <v>1045</v>
      </c>
      <c r="AN80" t="s">
        <v>1046</v>
      </c>
    </row>
    <row r="81" spans="1:40">
      <c r="A81" t="s">
        <v>1047</v>
      </c>
      <c r="B81" t="s">
        <v>24</v>
      </c>
      <c r="C81" t="s">
        <v>1048</v>
      </c>
      <c r="D81" t="s">
        <v>691</v>
      </c>
      <c r="E81" s="1">
        <v>46077.40829861111</v>
      </c>
      <c r="F81" t="s">
        <v>161</v>
      </c>
      <c r="G81" t="s">
        <v>776</v>
      </c>
      <c r="H81" t="s">
        <v>3667</v>
      </c>
      <c r="I81" t="s">
        <v>1049</v>
      </c>
      <c r="J81" t="s">
        <v>300</v>
      </c>
      <c r="K81" t="s">
        <v>44</v>
      </c>
      <c r="M81" t="s">
        <v>3526</v>
      </c>
      <c r="O81" t="s">
        <v>3103</v>
      </c>
      <c r="P81" t="s">
        <v>3104</v>
      </c>
      <c r="Q81" t="s">
        <v>3678</v>
      </c>
      <c r="R81" t="s">
        <v>46</v>
      </c>
      <c r="S81" t="s">
        <v>443</v>
      </c>
      <c r="T81" t="s">
        <v>444</v>
      </c>
      <c r="U81" s="1">
        <v>46077.409074074072</v>
      </c>
      <c r="V81" t="s">
        <v>31</v>
      </c>
      <c r="W81" t="s">
        <v>33</v>
      </c>
      <c r="X81" t="s">
        <v>3530</v>
      </c>
      <c r="Y81" t="s">
        <v>3111</v>
      </c>
      <c r="Z81" t="s">
        <v>38</v>
      </c>
      <c r="AA81" t="s">
        <v>31</v>
      </c>
      <c r="AB81" t="s">
        <v>399</v>
      </c>
      <c r="AC81" t="s">
        <v>86</v>
      </c>
      <c r="AD81" t="s">
        <v>46</v>
      </c>
      <c r="AE81" t="s">
        <v>3113</v>
      </c>
      <c r="AF81" t="s">
        <v>3112</v>
      </c>
      <c r="AG81" t="s">
        <v>38</v>
      </c>
      <c r="AH81">
        <v>13359</v>
      </c>
      <c r="AK81">
        <v>0</v>
      </c>
      <c r="AL81" t="s">
        <v>32</v>
      </c>
      <c r="AM81" t="s">
        <v>1050</v>
      </c>
      <c r="AN81" t="s">
        <v>1051</v>
      </c>
    </row>
    <row r="82" spans="1:40">
      <c r="A82" t="s">
        <v>1052</v>
      </c>
      <c r="B82" t="s">
        <v>34</v>
      </c>
      <c r="C82" t="s">
        <v>1053</v>
      </c>
      <c r="D82" t="s">
        <v>1054</v>
      </c>
      <c r="E82" s="1">
        <v>46077.400289351855</v>
      </c>
      <c r="F82" t="s">
        <v>353</v>
      </c>
      <c r="G82" t="s">
        <v>776</v>
      </c>
      <c r="H82" t="s">
        <v>3671</v>
      </c>
      <c r="I82" t="s">
        <v>1055</v>
      </c>
      <c r="J82" t="s">
        <v>179</v>
      </c>
      <c r="K82" t="s">
        <v>44</v>
      </c>
      <c r="M82" t="s">
        <v>3526</v>
      </c>
      <c r="O82" t="s">
        <v>3099</v>
      </c>
      <c r="P82" t="s">
        <v>3100</v>
      </c>
      <c r="Q82" t="s">
        <v>3678</v>
      </c>
      <c r="R82" t="s">
        <v>46</v>
      </c>
      <c r="S82" t="s">
        <v>188</v>
      </c>
      <c r="T82" t="s">
        <v>431</v>
      </c>
      <c r="U82" s="1">
        <v>46077.491261574076</v>
      </c>
      <c r="V82" t="s">
        <v>31</v>
      </c>
      <c r="W82" t="s">
        <v>33</v>
      </c>
      <c r="X82" t="s">
        <v>3530</v>
      </c>
      <c r="Y82" t="s">
        <v>3183</v>
      </c>
      <c r="Z82" t="s">
        <v>38</v>
      </c>
      <c r="AA82" t="s">
        <v>31</v>
      </c>
      <c r="AB82" t="s">
        <v>350</v>
      </c>
      <c r="AC82" t="s">
        <v>30</v>
      </c>
      <c r="AD82" t="s">
        <v>46</v>
      </c>
      <c r="AE82" t="s">
        <v>188</v>
      </c>
      <c r="AF82" t="s">
        <v>431</v>
      </c>
      <c r="AG82" t="s">
        <v>38</v>
      </c>
      <c r="AH82">
        <v>15874</v>
      </c>
      <c r="AK82">
        <v>2</v>
      </c>
      <c r="AL82" t="s">
        <v>32</v>
      </c>
      <c r="AM82" t="s">
        <v>1056</v>
      </c>
      <c r="AN82" t="s">
        <v>1057</v>
      </c>
    </row>
    <row r="83" spans="1:40">
      <c r="A83" t="s">
        <v>1058</v>
      </c>
      <c r="B83" t="s">
        <v>24</v>
      </c>
      <c r="C83" t="s">
        <v>53</v>
      </c>
      <c r="D83" t="s">
        <v>873</v>
      </c>
      <c r="E83" s="1">
        <v>46077.394907407404</v>
      </c>
      <c r="F83" t="s">
        <v>74</v>
      </c>
      <c r="G83" t="s">
        <v>776</v>
      </c>
      <c r="H83" t="s">
        <v>3665</v>
      </c>
      <c r="I83" t="s">
        <v>1059</v>
      </c>
      <c r="J83" t="s">
        <v>514</v>
      </c>
      <c r="K83" t="s">
        <v>44</v>
      </c>
      <c r="M83" t="s">
        <v>3526</v>
      </c>
      <c r="O83" t="s">
        <v>3103</v>
      </c>
      <c r="P83" t="s">
        <v>3104</v>
      </c>
      <c r="Q83" t="s">
        <v>3678</v>
      </c>
      <c r="R83" t="s">
        <v>46</v>
      </c>
      <c r="S83" t="s">
        <v>374</v>
      </c>
      <c r="T83" t="s">
        <v>618</v>
      </c>
      <c r="U83" s="1">
        <v>46077.417071759257</v>
      </c>
      <c r="V83" t="s">
        <v>31</v>
      </c>
      <c r="W83" t="s">
        <v>33</v>
      </c>
      <c r="X83" t="s">
        <v>3530</v>
      </c>
      <c r="Y83" t="s">
        <v>3184</v>
      </c>
      <c r="Z83" t="s">
        <v>38</v>
      </c>
      <c r="AA83" t="s">
        <v>31</v>
      </c>
      <c r="AB83" t="s">
        <v>266</v>
      </c>
      <c r="AC83" t="s">
        <v>86</v>
      </c>
      <c r="AD83" t="s">
        <v>46</v>
      </c>
      <c r="AE83" t="s">
        <v>374</v>
      </c>
      <c r="AF83" t="s">
        <v>618</v>
      </c>
      <c r="AG83" t="s">
        <v>38</v>
      </c>
      <c r="AH83">
        <v>11990</v>
      </c>
      <c r="AK83">
        <v>0</v>
      </c>
      <c r="AL83" t="s">
        <v>32</v>
      </c>
      <c r="AM83" t="s">
        <v>1060</v>
      </c>
      <c r="AN83" t="s">
        <v>1061</v>
      </c>
    </row>
    <row r="84" spans="1:40">
      <c r="A84" t="s">
        <v>1063</v>
      </c>
      <c r="B84" t="s">
        <v>34</v>
      </c>
      <c r="C84" t="s">
        <v>73</v>
      </c>
      <c r="D84" t="s">
        <v>1064</v>
      </c>
      <c r="E84" s="1">
        <v>46077.38417824074</v>
      </c>
      <c r="H84" t="s">
        <v>3672</v>
      </c>
      <c r="I84" t="s">
        <v>590</v>
      </c>
      <c r="J84" t="s">
        <v>205</v>
      </c>
      <c r="K84" t="s">
        <v>44</v>
      </c>
      <c r="M84" t="s">
        <v>3526</v>
      </c>
      <c r="O84" t="s">
        <v>3099</v>
      </c>
      <c r="P84" t="s">
        <v>3100</v>
      </c>
      <c r="Q84" t="s">
        <v>3678</v>
      </c>
      <c r="R84" t="s">
        <v>46</v>
      </c>
      <c r="S84" t="s">
        <v>379</v>
      </c>
      <c r="T84" t="s">
        <v>379</v>
      </c>
      <c r="U84" s="1">
        <v>46077.387048611112</v>
      </c>
      <c r="V84" t="s">
        <v>31</v>
      </c>
      <c r="W84" t="s">
        <v>33</v>
      </c>
      <c r="X84" t="s">
        <v>3530</v>
      </c>
      <c r="Y84" t="s">
        <v>3132</v>
      </c>
      <c r="Z84" t="s">
        <v>38</v>
      </c>
      <c r="AA84" t="s">
        <v>31</v>
      </c>
      <c r="AB84" t="s">
        <v>206</v>
      </c>
      <c r="AC84" t="s">
        <v>30</v>
      </c>
      <c r="AD84" t="s">
        <v>46</v>
      </c>
      <c r="AE84" t="s">
        <v>379</v>
      </c>
      <c r="AF84" t="s">
        <v>379</v>
      </c>
      <c r="AG84" t="s">
        <v>38</v>
      </c>
      <c r="AH84">
        <v>15935</v>
      </c>
      <c r="AK84">
        <v>0</v>
      </c>
      <c r="AL84" t="s">
        <v>32</v>
      </c>
      <c r="AM84" t="s">
        <v>1065</v>
      </c>
      <c r="AN84" t="s">
        <v>1066</v>
      </c>
    </row>
    <row r="85" spans="1:40">
      <c r="A85" t="s">
        <v>1067</v>
      </c>
      <c r="B85" t="s">
        <v>24</v>
      </c>
      <c r="C85" t="s">
        <v>65</v>
      </c>
      <c r="D85" t="s">
        <v>1068</v>
      </c>
      <c r="E85" s="1">
        <v>46077.382141203707</v>
      </c>
      <c r="F85" t="s">
        <v>238</v>
      </c>
      <c r="G85" t="s">
        <v>776</v>
      </c>
      <c r="H85" t="s">
        <v>3665</v>
      </c>
      <c r="I85" t="s">
        <v>1069</v>
      </c>
      <c r="J85" t="s">
        <v>411</v>
      </c>
      <c r="K85" t="s">
        <v>44</v>
      </c>
      <c r="M85" t="s">
        <v>3526</v>
      </c>
      <c r="O85" t="s">
        <v>3103</v>
      </c>
      <c r="P85" t="s">
        <v>3104</v>
      </c>
      <c r="Q85" t="s">
        <v>3709</v>
      </c>
      <c r="R85" t="s">
        <v>46</v>
      </c>
      <c r="S85" t="s">
        <v>374</v>
      </c>
      <c r="T85" t="s">
        <v>618</v>
      </c>
      <c r="U85" s="1">
        <v>46077.384004629632</v>
      </c>
      <c r="V85" t="s">
        <v>31</v>
      </c>
      <c r="W85" t="s">
        <v>33</v>
      </c>
      <c r="X85" t="s">
        <v>3530</v>
      </c>
      <c r="Y85" t="s">
        <v>3185</v>
      </c>
      <c r="Z85" t="s">
        <v>38</v>
      </c>
      <c r="AA85" t="s">
        <v>31</v>
      </c>
      <c r="AB85" t="s">
        <v>413</v>
      </c>
      <c r="AC85" t="s">
        <v>86</v>
      </c>
      <c r="AD85" t="s">
        <v>46</v>
      </c>
      <c r="AE85" t="s">
        <v>374</v>
      </c>
      <c r="AF85" t="s">
        <v>618</v>
      </c>
      <c r="AG85" t="s">
        <v>38</v>
      </c>
      <c r="AH85">
        <v>5679</v>
      </c>
      <c r="AK85">
        <v>0</v>
      </c>
      <c r="AL85" t="s">
        <v>32</v>
      </c>
      <c r="AM85" t="s">
        <v>1070</v>
      </c>
      <c r="AN85" t="s">
        <v>1071</v>
      </c>
    </row>
    <row r="86" spans="1:40">
      <c r="A86" t="s">
        <v>1072</v>
      </c>
      <c r="B86" t="s">
        <v>24</v>
      </c>
      <c r="C86" t="s">
        <v>261</v>
      </c>
      <c r="D86" t="s">
        <v>1073</v>
      </c>
      <c r="E86" s="1">
        <v>46077.38144675926</v>
      </c>
      <c r="F86" t="s">
        <v>171</v>
      </c>
      <c r="G86" t="s">
        <v>776</v>
      </c>
      <c r="H86" t="s">
        <v>3665</v>
      </c>
      <c r="I86" t="s">
        <v>1074</v>
      </c>
      <c r="J86" t="s">
        <v>179</v>
      </c>
      <c r="K86" t="s">
        <v>44</v>
      </c>
      <c r="M86" t="s">
        <v>3526</v>
      </c>
      <c r="O86" t="s">
        <v>3103</v>
      </c>
      <c r="P86" t="s">
        <v>3104</v>
      </c>
      <c r="Q86" t="s">
        <v>3678</v>
      </c>
      <c r="R86" t="s">
        <v>46</v>
      </c>
      <c r="S86" t="s">
        <v>559</v>
      </c>
      <c r="T86" t="s">
        <v>48</v>
      </c>
      <c r="U86" s="1">
        <v>46077.382708333331</v>
      </c>
      <c r="V86" t="s">
        <v>31</v>
      </c>
      <c r="W86" t="s">
        <v>33</v>
      </c>
      <c r="X86" t="s">
        <v>3530</v>
      </c>
      <c r="Y86" t="s">
        <v>3186</v>
      </c>
      <c r="Z86" t="s">
        <v>38</v>
      </c>
      <c r="AA86" t="s">
        <v>31</v>
      </c>
      <c r="AB86" t="s">
        <v>350</v>
      </c>
      <c r="AC86" t="s">
        <v>86</v>
      </c>
      <c r="AD86" t="s">
        <v>46</v>
      </c>
      <c r="AE86" t="s">
        <v>559</v>
      </c>
      <c r="AF86" t="s">
        <v>48</v>
      </c>
      <c r="AG86" t="s">
        <v>38</v>
      </c>
      <c r="AH86">
        <v>14077</v>
      </c>
      <c r="AK86">
        <v>0</v>
      </c>
      <c r="AL86" t="s">
        <v>32</v>
      </c>
      <c r="AM86" t="s">
        <v>1075</v>
      </c>
      <c r="AN86" t="s">
        <v>1076</v>
      </c>
    </row>
    <row r="87" spans="1:40">
      <c r="A87" t="s">
        <v>1077</v>
      </c>
      <c r="B87" t="s">
        <v>34</v>
      </c>
      <c r="C87" t="s">
        <v>229</v>
      </c>
      <c r="D87" t="s">
        <v>1078</v>
      </c>
      <c r="E87" s="1">
        <v>46077.377650462964</v>
      </c>
      <c r="F87" t="s">
        <v>132</v>
      </c>
      <c r="G87" t="s">
        <v>776</v>
      </c>
      <c r="H87" t="s">
        <v>3665</v>
      </c>
      <c r="I87" t="s">
        <v>1079</v>
      </c>
      <c r="J87" t="s">
        <v>300</v>
      </c>
      <c r="K87" t="s">
        <v>44</v>
      </c>
      <c r="M87" t="s">
        <v>3526</v>
      </c>
      <c r="O87" t="s">
        <v>3099</v>
      </c>
      <c r="P87" t="s">
        <v>3100</v>
      </c>
      <c r="Q87" t="s">
        <v>3698</v>
      </c>
      <c r="R87" t="s">
        <v>46</v>
      </c>
      <c r="S87" t="s">
        <v>379</v>
      </c>
      <c r="T87" t="s">
        <v>379</v>
      </c>
      <c r="U87" s="1">
        <v>46077.377835648149</v>
      </c>
      <c r="V87" t="s">
        <v>180</v>
      </c>
      <c r="W87" t="s">
        <v>33</v>
      </c>
      <c r="X87" t="s">
        <v>3530</v>
      </c>
      <c r="Y87" t="s">
        <v>3187</v>
      </c>
      <c r="Z87" t="s">
        <v>38</v>
      </c>
      <c r="AA87" t="s">
        <v>180</v>
      </c>
      <c r="AB87" t="s">
        <v>399</v>
      </c>
      <c r="AC87" t="s">
        <v>30</v>
      </c>
      <c r="AD87" t="s">
        <v>46</v>
      </c>
      <c r="AE87" t="s">
        <v>379</v>
      </c>
      <c r="AF87" t="s">
        <v>379</v>
      </c>
      <c r="AG87" t="s">
        <v>38</v>
      </c>
      <c r="AH87">
        <v>9946</v>
      </c>
      <c r="AK87">
        <v>0</v>
      </c>
      <c r="AL87" t="s">
        <v>181</v>
      </c>
      <c r="AM87" t="s">
        <v>1080</v>
      </c>
      <c r="AN87" t="s">
        <v>1081</v>
      </c>
    </row>
    <row r="88" spans="1:40">
      <c r="A88" t="s">
        <v>1084</v>
      </c>
      <c r="B88" t="s">
        <v>34</v>
      </c>
      <c r="C88" t="s">
        <v>914</v>
      </c>
      <c r="D88" t="s">
        <v>235</v>
      </c>
      <c r="E88" s="1">
        <v>46077.3827662037</v>
      </c>
      <c r="F88" t="s">
        <v>555</v>
      </c>
      <c r="G88" t="s">
        <v>776</v>
      </c>
      <c r="H88" t="s">
        <v>3666</v>
      </c>
      <c r="I88" t="s">
        <v>608</v>
      </c>
      <c r="J88" t="s">
        <v>205</v>
      </c>
      <c r="K88" t="s">
        <v>44</v>
      </c>
      <c r="M88" t="s">
        <v>3526</v>
      </c>
      <c r="O88" t="s">
        <v>3099</v>
      </c>
      <c r="P88" t="s">
        <v>3100</v>
      </c>
      <c r="Q88" t="s">
        <v>3678</v>
      </c>
      <c r="R88" t="s">
        <v>46</v>
      </c>
      <c r="S88" t="s">
        <v>379</v>
      </c>
      <c r="T88" t="s">
        <v>379</v>
      </c>
      <c r="U88" s="1">
        <v>46077.382997685185</v>
      </c>
      <c r="V88" t="s">
        <v>31</v>
      </c>
      <c r="W88" t="s">
        <v>33</v>
      </c>
      <c r="X88" t="s">
        <v>3530</v>
      </c>
      <c r="Y88" t="s">
        <v>3134</v>
      </c>
      <c r="Z88" t="s">
        <v>38</v>
      </c>
      <c r="AA88" t="s">
        <v>31</v>
      </c>
      <c r="AB88" t="s">
        <v>206</v>
      </c>
      <c r="AC88" t="s">
        <v>30</v>
      </c>
      <c r="AD88" t="s">
        <v>46</v>
      </c>
      <c r="AE88" t="s">
        <v>379</v>
      </c>
      <c r="AF88" t="s">
        <v>379</v>
      </c>
      <c r="AG88" t="s">
        <v>38</v>
      </c>
      <c r="AH88">
        <v>12083</v>
      </c>
      <c r="AK88">
        <v>0</v>
      </c>
      <c r="AL88" t="s">
        <v>32</v>
      </c>
      <c r="AM88" t="s">
        <v>1085</v>
      </c>
      <c r="AN88" t="s">
        <v>1086</v>
      </c>
    </row>
    <row r="89" spans="1:40">
      <c r="A89" t="s">
        <v>1087</v>
      </c>
      <c r="B89" t="s">
        <v>34</v>
      </c>
      <c r="C89" t="s">
        <v>53</v>
      </c>
      <c r="D89" t="s">
        <v>261</v>
      </c>
      <c r="E89" s="1">
        <v>46077.371377314812</v>
      </c>
      <c r="F89" t="s">
        <v>702</v>
      </c>
      <c r="G89" t="s">
        <v>776</v>
      </c>
      <c r="H89" t="s">
        <v>3670</v>
      </c>
      <c r="I89" t="s">
        <v>535</v>
      </c>
      <c r="J89" t="s">
        <v>205</v>
      </c>
      <c r="K89" t="s">
        <v>44</v>
      </c>
      <c r="M89" t="s">
        <v>3526</v>
      </c>
      <c r="O89" t="s">
        <v>3099</v>
      </c>
      <c r="P89" t="s">
        <v>3100</v>
      </c>
      <c r="Q89" t="s">
        <v>3678</v>
      </c>
      <c r="R89" t="s">
        <v>46</v>
      </c>
      <c r="S89" t="s">
        <v>188</v>
      </c>
      <c r="T89" t="s">
        <v>431</v>
      </c>
      <c r="U89" s="1">
        <v>46077.371562499997</v>
      </c>
      <c r="V89" t="s">
        <v>31</v>
      </c>
      <c r="W89" t="s">
        <v>33</v>
      </c>
      <c r="X89" t="s">
        <v>3530</v>
      </c>
      <c r="Y89" t="s">
        <v>3188</v>
      </c>
      <c r="Z89" t="s">
        <v>38</v>
      </c>
      <c r="AA89" t="s">
        <v>31</v>
      </c>
      <c r="AB89" t="s">
        <v>206</v>
      </c>
      <c r="AC89" t="s">
        <v>30</v>
      </c>
      <c r="AD89" t="s">
        <v>46</v>
      </c>
      <c r="AE89" t="s">
        <v>188</v>
      </c>
      <c r="AF89" t="s">
        <v>431</v>
      </c>
      <c r="AG89" t="s">
        <v>38</v>
      </c>
      <c r="AH89">
        <v>15926</v>
      </c>
      <c r="AK89">
        <v>0</v>
      </c>
      <c r="AL89" t="s">
        <v>32</v>
      </c>
      <c r="AM89" t="s">
        <v>1088</v>
      </c>
      <c r="AN89" t="s">
        <v>1089</v>
      </c>
    </row>
    <row r="90" spans="1:40">
      <c r="A90" t="s">
        <v>1090</v>
      </c>
      <c r="B90" t="s">
        <v>34</v>
      </c>
      <c r="C90" t="s">
        <v>1091</v>
      </c>
      <c r="D90" t="s">
        <v>1083</v>
      </c>
      <c r="E90" s="1">
        <v>46077.367638888885</v>
      </c>
      <c r="F90" t="s">
        <v>161</v>
      </c>
      <c r="G90" t="s">
        <v>776</v>
      </c>
      <c r="H90" t="s">
        <v>3667</v>
      </c>
      <c r="I90" t="s">
        <v>1092</v>
      </c>
      <c r="J90" t="s">
        <v>179</v>
      </c>
      <c r="K90" t="s">
        <v>44</v>
      </c>
      <c r="M90" t="s">
        <v>3526</v>
      </c>
      <c r="O90" t="s">
        <v>3099</v>
      </c>
      <c r="P90" t="s">
        <v>3100</v>
      </c>
      <c r="Q90" t="s">
        <v>3678</v>
      </c>
      <c r="R90" t="s">
        <v>46</v>
      </c>
      <c r="S90" t="s">
        <v>188</v>
      </c>
      <c r="T90" t="s">
        <v>431</v>
      </c>
      <c r="U90" s="1">
        <v>46077.368425925924</v>
      </c>
      <c r="V90" t="s">
        <v>31</v>
      </c>
      <c r="W90" t="s">
        <v>33</v>
      </c>
      <c r="X90" t="s">
        <v>3530</v>
      </c>
      <c r="Y90" t="s">
        <v>3189</v>
      </c>
      <c r="Z90" t="s">
        <v>38</v>
      </c>
      <c r="AA90" t="s">
        <v>31</v>
      </c>
      <c r="AB90" t="s">
        <v>350</v>
      </c>
      <c r="AC90" t="s">
        <v>30</v>
      </c>
      <c r="AD90" t="s">
        <v>46</v>
      </c>
      <c r="AE90" t="s">
        <v>188</v>
      </c>
      <c r="AF90" t="s">
        <v>431</v>
      </c>
      <c r="AG90" t="s">
        <v>38</v>
      </c>
      <c r="AH90">
        <v>15903</v>
      </c>
      <c r="AK90">
        <v>0</v>
      </c>
      <c r="AL90" t="s">
        <v>32</v>
      </c>
      <c r="AM90" t="s">
        <v>1093</v>
      </c>
      <c r="AN90" t="s">
        <v>1094</v>
      </c>
    </row>
    <row r="91" spans="1:40">
      <c r="A91" t="s">
        <v>1095</v>
      </c>
      <c r="B91" t="s">
        <v>34</v>
      </c>
      <c r="C91" t="s">
        <v>1096</v>
      </c>
      <c r="D91" t="s">
        <v>1096</v>
      </c>
      <c r="E91" s="1">
        <v>46077.36991898148</v>
      </c>
      <c r="F91" t="s">
        <v>35</v>
      </c>
      <c r="G91" t="s">
        <v>776</v>
      </c>
      <c r="H91" t="s">
        <v>3672</v>
      </c>
      <c r="I91" t="s">
        <v>1097</v>
      </c>
      <c r="J91" t="s">
        <v>205</v>
      </c>
      <c r="K91" t="s">
        <v>44</v>
      </c>
      <c r="M91" t="s">
        <v>3526</v>
      </c>
      <c r="O91" t="s">
        <v>3103</v>
      </c>
      <c r="P91" t="s">
        <v>3100</v>
      </c>
      <c r="Q91" t="s">
        <v>3678</v>
      </c>
      <c r="R91" t="s">
        <v>46</v>
      </c>
      <c r="S91" t="s">
        <v>515</v>
      </c>
      <c r="T91" t="s">
        <v>375</v>
      </c>
      <c r="U91" s="1">
        <v>46077.370775462965</v>
      </c>
      <c r="V91" t="s">
        <v>31</v>
      </c>
      <c r="W91" t="s">
        <v>33</v>
      </c>
      <c r="X91" t="s">
        <v>3530</v>
      </c>
      <c r="Y91" t="s">
        <v>3190</v>
      </c>
      <c r="Z91" t="s">
        <v>38</v>
      </c>
      <c r="AA91" t="s">
        <v>31</v>
      </c>
      <c r="AB91" t="s">
        <v>206</v>
      </c>
      <c r="AC91" t="s">
        <v>30</v>
      </c>
      <c r="AD91" t="s">
        <v>46</v>
      </c>
      <c r="AE91" t="s">
        <v>515</v>
      </c>
      <c r="AF91" t="s">
        <v>375</v>
      </c>
      <c r="AG91" t="s">
        <v>38</v>
      </c>
      <c r="AH91" t="s">
        <v>3593</v>
      </c>
      <c r="AK91">
        <v>0</v>
      </c>
      <c r="AL91" t="s">
        <v>32</v>
      </c>
      <c r="AM91" t="s">
        <v>1098</v>
      </c>
      <c r="AN91" t="s">
        <v>1099</v>
      </c>
    </row>
    <row r="92" spans="1:40">
      <c r="A92" t="s">
        <v>1100</v>
      </c>
      <c r="B92" t="s">
        <v>34</v>
      </c>
      <c r="C92" t="s">
        <v>25</v>
      </c>
      <c r="D92" t="s">
        <v>99</v>
      </c>
      <c r="E92" s="1">
        <v>46077.363668981481</v>
      </c>
      <c r="F92" t="s">
        <v>226</v>
      </c>
      <c r="G92" t="s">
        <v>776</v>
      </c>
      <c r="H92" t="s">
        <v>3665</v>
      </c>
      <c r="I92" t="s">
        <v>692</v>
      </c>
      <c r="J92" t="s">
        <v>300</v>
      </c>
      <c r="K92" t="s">
        <v>44</v>
      </c>
      <c r="M92" t="s">
        <v>3526</v>
      </c>
      <c r="O92" t="s">
        <v>3099</v>
      </c>
      <c r="P92" t="s">
        <v>3100</v>
      </c>
      <c r="Q92" t="s">
        <v>3678</v>
      </c>
      <c r="R92" t="s">
        <v>46</v>
      </c>
      <c r="S92" t="s">
        <v>379</v>
      </c>
      <c r="T92" t="s">
        <v>379</v>
      </c>
      <c r="U92" s="1">
        <v>46077.363749999997</v>
      </c>
      <c r="V92" t="s">
        <v>31</v>
      </c>
      <c r="W92" t="s">
        <v>33</v>
      </c>
      <c r="X92" t="s">
        <v>3530</v>
      </c>
      <c r="Y92" t="s">
        <v>3140</v>
      </c>
      <c r="Z92" t="s">
        <v>38</v>
      </c>
      <c r="AA92" t="s">
        <v>31</v>
      </c>
      <c r="AB92" t="s">
        <v>399</v>
      </c>
      <c r="AC92" t="s">
        <v>30</v>
      </c>
      <c r="AD92" t="s">
        <v>46</v>
      </c>
      <c r="AE92" t="s">
        <v>379</v>
      </c>
      <c r="AF92" t="s">
        <v>379</v>
      </c>
      <c r="AG92" t="s">
        <v>38</v>
      </c>
      <c r="AH92">
        <v>15741</v>
      </c>
      <c r="AK92">
        <v>0</v>
      </c>
      <c r="AL92" t="s">
        <v>32</v>
      </c>
      <c r="AM92" t="s">
        <v>1101</v>
      </c>
      <c r="AN92" t="s">
        <v>1102</v>
      </c>
    </row>
    <row r="93" spans="1:40">
      <c r="A93" t="s">
        <v>1103</v>
      </c>
      <c r="B93" t="s">
        <v>34</v>
      </c>
      <c r="C93" t="s">
        <v>285</v>
      </c>
      <c r="D93" t="s">
        <v>1104</v>
      </c>
      <c r="E93" s="1">
        <v>46077.362384259257</v>
      </c>
      <c r="F93" t="s">
        <v>101</v>
      </c>
      <c r="G93" t="s">
        <v>776</v>
      </c>
      <c r="H93" t="s">
        <v>3667</v>
      </c>
      <c r="I93" t="s">
        <v>590</v>
      </c>
      <c r="J93" t="s">
        <v>300</v>
      </c>
      <c r="K93" t="s">
        <v>44</v>
      </c>
      <c r="M93" t="s">
        <v>3526</v>
      </c>
      <c r="O93" t="s">
        <v>3099</v>
      </c>
      <c r="P93" t="s">
        <v>3100</v>
      </c>
      <c r="Q93" t="s">
        <v>3684</v>
      </c>
      <c r="R93" t="s">
        <v>46</v>
      </c>
      <c r="S93" t="s">
        <v>379</v>
      </c>
      <c r="T93" t="s">
        <v>379</v>
      </c>
      <c r="U93" s="1">
        <v>46077.362743055557</v>
      </c>
      <c r="V93" t="s">
        <v>31</v>
      </c>
      <c r="W93" t="s">
        <v>33</v>
      </c>
      <c r="X93" t="s">
        <v>3530</v>
      </c>
      <c r="Y93" t="s">
        <v>3191</v>
      </c>
      <c r="Z93" t="s">
        <v>38</v>
      </c>
      <c r="AA93" t="s">
        <v>31</v>
      </c>
      <c r="AB93" t="s">
        <v>399</v>
      </c>
      <c r="AC93" t="s">
        <v>30</v>
      </c>
      <c r="AD93" t="s">
        <v>46</v>
      </c>
      <c r="AE93" t="s">
        <v>379</v>
      </c>
      <c r="AF93" t="s">
        <v>379</v>
      </c>
      <c r="AG93" t="s">
        <v>38</v>
      </c>
      <c r="AH93">
        <v>10568</v>
      </c>
      <c r="AK93">
        <v>0</v>
      </c>
      <c r="AL93" t="s">
        <v>32</v>
      </c>
      <c r="AM93" t="s">
        <v>1105</v>
      </c>
      <c r="AN93" t="s">
        <v>1106</v>
      </c>
    </row>
    <row r="94" spans="1:40">
      <c r="A94" t="s">
        <v>1115</v>
      </c>
      <c r="B94" t="s">
        <v>24</v>
      </c>
      <c r="C94" t="s">
        <v>1116</v>
      </c>
      <c r="D94" t="s">
        <v>1117</v>
      </c>
      <c r="E94" s="1">
        <v>46077.353437500002</v>
      </c>
      <c r="F94" t="s">
        <v>238</v>
      </c>
      <c r="G94" t="s">
        <v>776</v>
      </c>
      <c r="H94" t="s">
        <v>3665</v>
      </c>
      <c r="I94" t="s">
        <v>347</v>
      </c>
      <c r="J94" t="s">
        <v>179</v>
      </c>
      <c r="K94" t="s">
        <v>44</v>
      </c>
      <c r="M94" t="s">
        <v>3526</v>
      </c>
      <c r="O94" t="s">
        <v>3103</v>
      </c>
      <c r="P94" t="s">
        <v>3104</v>
      </c>
      <c r="Q94" t="s">
        <v>3678</v>
      </c>
      <c r="R94" t="s">
        <v>46</v>
      </c>
      <c r="S94" t="s">
        <v>348</v>
      </c>
      <c r="T94" t="s">
        <v>349</v>
      </c>
      <c r="U94" s="1">
        <v>46077.354548611111</v>
      </c>
      <c r="V94" t="s">
        <v>31</v>
      </c>
      <c r="W94" t="s">
        <v>33</v>
      </c>
      <c r="X94" t="s">
        <v>3530</v>
      </c>
      <c r="Y94" t="e">
        <f>- EV has been reinstalled - issue has been resolved</f>
        <v>#NAME?</v>
      </c>
      <c r="Z94" t="s">
        <v>38</v>
      </c>
      <c r="AA94" t="s">
        <v>31</v>
      </c>
      <c r="AB94" t="s">
        <v>350</v>
      </c>
      <c r="AC94" t="s">
        <v>86</v>
      </c>
      <c r="AD94" t="s">
        <v>46</v>
      </c>
      <c r="AE94" t="s">
        <v>454</v>
      </c>
      <c r="AF94" t="s">
        <v>488</v>
      </c>
      <c r="AG94" t="s">
        <v>38</v>
      </c>
      <c r="AH94" t="s">
        <v>3595</v>
      </c>
      <c r="AK94">
        <v>0</v>
      </c>
      <c r="AL94" t="s">
        <v>32</v>
      </c>
      <c r="AM94" t="s">
        <v>1118</v>
      </c>
      <c r="AN94" t="s">
        <v>1119</v>
      </c>
    </row>
    <row r="95" spans="1:40">
      <c r="A95" t="s">
        <v>1130</v>
      </c>
      <c r="B95" t="s">
        <v>34</v>
      </c>
      <c r="C95" t="s">
        <v>469</v>
      </c>
      <c r="D95" t="s">
        <v>1131</v>
      </c>
      <c r="E95" s="1">
        <v>46077.480474537035</v>
      </c>
      <c r="F95" t="s">
        <v>26</v>
      </c>
      <c r="G95" t="s">
        <v>776</v>
      </c>
      <c r="H95" t="s">
        <v>3665</v>
      </c>
      <c r="I95" t="s">
        <v>926</v>
      </c>
      <c r="J95" t="s">
        <v>320</v>
      </c>
      <c r="K95" t="s">
        <v>134</v>
      </c>
      <c r="M95" t="s">
        <v>3526</v>
      </c>
      <c r="O95" t="s">
        <v>3099</v>
      </c>
      <c r="P95" t="s">
        <v>3100</v>
      </c>
      <c r="Q95" t="s">
        <v>3678</v>
      </c>
      <c r="R95" t="s">
        <v>46</v>
      </c>
      <c r="S95" t="s">
        <v>188</v>
      </c>
      <c r="T95" t="s">
        <v>521</v>
      </c>
      <c r="U95" s="1">
        <v>46077.495810185188</v>
      </c>
      <c r="V95" t="s">
        <v>31</v>
      </c>
      <c r="W95" t="s">
        <v>33</v>
      </c>
      <c r="X95" t="s">
        <v>3531</v>
      </c>
      <c r="Y95" t="s">
        <v>3192</v>
      </c>
      <c r="Z95" t="s">
        <v>38</v>
      </c>
      <c r="AA95" t="s">
        <v>31</v>
      </c>
      <c r="AB95" t="s">
        <v>923</v>
      </c>
      <c r="AC95" t="s">
        <v>30</v>
      </c>
      <c r="AD95" t="s">
        <v>46</v>
      </c>
      <c r="AE95" t="s">
        <v>188</v>
      </c>
      <c r="AF95" t="s">
        <v>521</v>
      </c>
      <c r="AG95" t="s">
        <v>38</v>
      </c>
      <c r="AH95">
        <v>11777</v>
      </c>
      <c r="AK95">
        <v>0</v>
      </c>
      <c r="AL95" t="s">
        <v>32</v>
      </c>
      <c r="AM95" t="s">
        <v>1132</v>
      </c>
      <c r="AN95" t="s">
        <v>1133</v>
      </c>
    </row>
    <row r="96" spans="1:40">
      <c r="A96" t="s">
        <v>1146</v>
      </c>
      <c r="B96" t="s">
        <v>34</v>
      </c>
      <c r="C96" t="s">
        <v>1147</v>
      </c>
      <c r="D96" t="s">
        <v>1148</v>
      </c>
      <c r="E96" s="1">
        <v>46077.336921296293</v>
      </c>
      <c r="F96" t="s">
        <v>153</v>
      </c>
      <c r="G96" t="s">
        <v>776</v>
      </c>
      <c r="H96" t="s">
        <v>3669</v>
      </c>
      <c r="I96" t="s">
        <v>109</v>
      </c>
      <c r="J96" t="s">
        <v>1149</v>
      </c>
      <c r="K96" t="s">
        <v>44</v>
      </c>
      <c r="M96" t="s">
        <v>3526</v>
      </c>
      <c r="O96" t="s">
        <v>3099</v>
      </c>
      <c r="P96" t="s">
        <v>3100</v>
      </c>
      <c r="Q96" t="s">
        <v>3678</v>
      </c>
      <c r="R96" t="s">
        <v>46</v>
      </c>
      <c r="S96" t="s">
        <v>110</v>
      </c>
      <c r="T96" t="s">
        <v>111</v>
      </c>
      <c r="U96" s="1">
        <v>46077.337060185186</v>
      </c>
      <c r="V96" t="s">
        <v>31</v>
      </c>
      <c r="W96" t="s">
        <v>33</v>
      </c>
      <c r="X96" t="s">
        <v>3530</v>
      </c>
      <c r="Y96" t="s">
        <v>3193</v>
      </c>
      <c r="Z96" t="s">
        <v>38</v>
      </c>
      <c r="AA96" t="s">
        <v>31</v>
      </c>
      <c r="AB96" t="s">
        <v>1150</v>
      </c>
      <c r="AC96" t="s">
        <v>30</v>
      </c>
      <c r="AD96" t="s">
        <v>46</v>
      </c>
      <c r="AE96" t="s">
        <v>110</v>
      </c>
      <c r="AF96" t="s">
        <v>111</v>
      </c>
      <c r="AG96" t="s">
        <v>38</v>
      </c>
      <c r="AK96">
        <v>0</v>
      </c>
      <c r="AL96" t="s">
        <v>32</v>
      </c>
      <c r="AM96" t="s">
        <v>739</v>
      </c>
      <c r="AN96" t="s">
        <v>1151</v>
      </c>
    </row>
    <row r="97" spans="1:40">
      <c r="A97" t="s">
        <v>1152</v>
      </c>
      <c r="B97" t="s">
        <v>34</v>
      </c>
      <c r="C97" t="s">
        <v>79</v>
      </c>
      <c r="D97" t="s">
        <v>1153</v>
      </c>
      <c r="E97" s="1">
        <v>46077.336365740739</v>
      </c>
      <c r="F97" t="s">
        <v>470</v>
      </c>
      <c r="G97" t="s">
        <v>776</v>
      </c>
      <c r="H97" t="s">
        <v>3671</v>
      </c>
      <c r="I97" t="s">
        <v>95</v>
      </c>
      <c r="J97" t="s">
        <v>320</v>
      </c>
      <c r="K97" t="s">
        <v>134</v>
      </c>
      <c r="M97" t="s">
        <v>3526</v>
      </c>
      <c r="O97" t="s">
        <v>3099</v>
      </c>
      <c r="P97" t="s">
        <v>3100</v>
      </c>
      <c r="Q97" t="s">
        <v>3678</v>
      </c>
      <c r="R97" t="s">
        <v>162</v>
      </c>
      <c r="S97" t="s">
        <v>163</v>
      </c>
      <c r="T97" t="s">
        <v>164</v>
      </c>
      <c r="U97" s="1">
        <v>46078.454710648148</v>
      </c>
      <c r="V97" t="s">
        <v>31</v>
      </c>
      <c r="W97" t="s">
        <v>33</v>
      </c>
      <c r="X97" t="s">
        <v>3536</v>
      </c>
      <c r="Y97" t="s">
        <v>3194</v>
      </c>
      <c r="Z97" t="s">
        <v>38</v>
      </c>
      <c r="AA97" t="s">
        <v>31</v>
      </c>
      <c r="AB97" t="s">
        <v>104</v>
      </c>
      <c r="AC97" t="s">
        <v>30</v>
      </c>
      <c r="AD97" t="s">
        <v>46</v>
      </c>
      <c r="AE97" t="s">
        <v>197</v>
      </c>
      <c r="AF97" t="s">
        <v>875</v>
      </c>
      <c r="AG97" t="s">
        <v>38</v>
      </c>
      <c r="AH97">
        <v>15620</v>
      </c>
      <c r="AK97">
        <v>2</v>
      </c>
      <c r="AL97" t="s">
        <v>32</v>
      </c>
      <c r="AM97" t="s">
        <v>1154</v>
      </c>
      <c r="AN97" t="s">
        <v>1155</v>
      </c>
    </row>
    <row r="98" spans="1:40">
      <c r="A98" t="s">
        <v>1156</v>
      </c>
      <c r="B98" t="s">
        <v>34</v>
      </c>
      <c r="C98" t="s">
        <v>66</v>
      </c>
      <c r="D98" t="s">
        <v>1157</v>
      </c>
      <c r="E98" s="1">
        <v>46077.329618055555</v>
      </c>
      <c r="F98" t="s">
        <v>470</v>
      </c>
      <c r="G98" t="s">
        <v>776</v>
      </c>
      <c r="H98" t="s">
        <v>3671</v>
      </c>
      <c r="I98" t="s">
        <v>1158</v>
      </c>
      <c r="J98" t="s">
        <v>1149</v>
      </c>
      <c r="K98" t="s">
        <v>44</v>
      </c>
      <c r="M98" t="s">
        <v>3526</v>
      </c>
      <c r="O98" t="s">
        <v>3099</v>
      </c>
      <c r="P98" t="s">
        <v>3100</v>
      </c>
      <c r="Q98" t="s">
        <v>3690</v>
      </c>
      <c r="R98" t="s">
        <v>46</v>
      </c>
      <c r="S98" t="s">
        <v>379</v>
      </c>
      <c r="T98" t="s">
        <v>379</v>
      </c>
      <c r="U98" s="1">
        <v>46077.337372685186</v>
      </c>
      <c r="V98" t="s">
        <v>31</v>
      </c>
      <c r="W98" t="s">
        <v>33</v>
      </c>
      <c r="X98" t="s">
        <v>3530</v>
      </c>
      <c r="Y98" t="s">
        <v>3195</v>
      </c>
      <c r="Z98" t="s">
        <v>38</v>
      </c>
      <c r="AA98" t="s">
        <v>31</v>
      </c>
      <c r="AB98" t="s">
        <v>1150</v>
      </c>
      <c r="AC98" t="s">
        <v>30</v>
      </c>
      <c r="AD98" t="s">
        <v>46</v>
      </c>
      <c r="AE98" t="s">
        <v>379</v>
      </c>
      <c r="AF98" t="s">
        <v>379</v>
      </c>
      <c r="AG98" t="s">
        <v>38</v>
      </c>
      <c r="AH98">
        <v>5860</v>
      </c>
      <c r="AK98">
        <v>0</v>
      </c>
      <c r="AL98" t="s">
        <v>32</v>
      </c>
      <c r="AM98" t="s">
        <v>1159</v>
      </c>
      <c r="AN98" t="s">
        <v>1160</v>
      </c>
    </row>
    <row r="99" spans="1:40">
      <c r="A99" t="s">
        <v>1165</v>
      </c>
      <c r="B99" t="s">
        <v>34</v>
      </c>
      <c r="C99" t="s">
        <v>66</v>
      </c>
      <c r="D99" t="s">
        <v>805</v>
      </c>
      <c r="E99" s="1">
        <v>46077.312303240738</v>
      </c>
      <c r="F99" t="s">
        <v>424</v>
      </c>
      <c r="G99" t="s">
        <v>776</v>
      </c>
      <c r="H99" t="s">
        <v>3668</v>
      </c>
      <c r="I99" t="s">
        <v>109</v>
      </c>
      <c r="J99" t="s">
        <v>1149</v>
      </c>
      <c r="K99" t="s">
        <v>44</v>
      </c>
      <c r="M99" t="s">
        <v>3526</v>
      </c>
      <c r="O99" t="s">
        <v>3099</v>
      </c>
      <c r="P99" t="s">
        <v>3100</v>
      </c>
      <c r="Q99" t="s">
        <v>3681</v>
      </c>
      <c r="R99" t="s">
        <v>46</v>
      </c>
      <c r="S99" t="s">
        <v>110</v>
      </c>
      <c r="T99" t="s">
        <v>111</v>
      </c>
      <c r="U99" s="1">
        <v>46077.312442129631</v>
      </c>
      <c r="V99" t="s">
        <v>31</v>
      </c>
      <c r="W99" t="s">
        <v>33</v>
      </c>
      <c r="X99" t="s">
        <v>3530</v>
      </c>
      <c r="Y99" t="s">
        <v>3193</v>
      </c>
      <c r="Z99" t="s">
        <v>38</v>
      </c>
      <c r="AA99" t="s">
        <v>31</v>
      </c>
      <c r="AB99" t="s">
        <v>1150</v>
      </c>
      <c r="AC99" t="s">
        <v>30</v>
      </c>
      <c r="AD99" t="s">
        <v>46</v>
      </c>
      <c r="AE99" t="s">
        <v>110</v>
      </c>
      <c r="AF99" t="s">
        <v>111</v>
      </c>
      <c r="AG99" t="s">
        <v>38</v>
      </c>
      <c r="AH99">
        <v>5736</v>
      </c>
      <c r="AK99">
        <v>0</v>
      </c>
      <c r="AL99" t="s">
        <v>32</v>
      </c>
      <c r="AM99" t="s">
        <v>806</v>
      </c>
      <c r="AN99" t="s">
        <v>807</v>
      </c>
    </row>
    <row r="100" spans="1:40">
      <c r="A100" t="s">
        <v>1166</v>
      </c>
      <c r="B100" t="s">
        <v>34</v>
      </c>
      <c r="C100" t="s">
        <v>124</v>
      </c>
      <c r="D100" t="s">
        <v>125</v>
      </c>
      <c r="E100" s="1">
        <v>46077.300023148149</v>
      </c>
      <c r="F100" t="s">
        <v>118</v>
      </c>
      <c r="G100" t="s">
        <v>776</v>
      </c>
      <c r="H100" t="s">
        <v>3666</v>
      </c>
      <c r="I100" t="s">
        <v>1158</v>
      </c>
      <c r="J100" t="s">
        <v>1149</v>
      </c>
      <c r="K100" t="s">
        <v>44</v>
      </c>
      <c r="M100" t="s">
        <v>3526</v>
      </c>
      <c r="O100" t="s">
        <v>3099</v>
      </c>
      <c r="P100" t="s">
        <v>3100</v>
      </c>
      <c r="R100" t="s">
        <v>46</v>
      </c>
      <c r="S100" t="s">
        <v>379</v>
      </c>
      <c r="T100" t="s">
        <v>379</v>
      </c>
      <c r="U100" s="1">
        <v>46077.30064814815</v>
      </c>
      <c r="V100" t="s">
        <v>31</v>
      </c>
      <c r="W100" t="s">
        <v>33</v>
      </c>
      <c r="X100" t="s">
        <v>3530</v>
      </c>
      <c r="Y100" t="s">
        <v>3195</v>
      </c>
      <c r="Z100" t="s">
        <v>38</v>
      </c>
      <c r="AA100" t="s">
        <v>31</v>
      </c>
      <c r="AB100" t="s">
        <v>1150</v>
      </c>
      <c r="AC100" t="s">
        <v>30</v>
      </c>
      <c r="AD100" t="s">
        <v>46</v>
      </c>
      <c r="AE100" t="s">
        <v>379</v>
      </c>
      <c r="AF100" t="s">
        <v>379</v>
      </c>
      <c r="AG100" t="s">
        <v>38</v>
      </c>
      <c r="AH100">
        <v>15016</v>
      </c>
      <c r="AK100">
        <v>0</v>
      </c>
      <c r="AL100" t="s">
        <v>32</v>
      </c>
      <c r="AM100" t="s">
        <v>126</v>
      </c>
      <c r="AN100" t="s">
        <v>127</v>
      </c>
    </row>
    <row r="101" spans="1:40">
      <c r="A101" t="s">
        <v>1167</v>
      </c>
      <c r="B101" t="s">
        <v>34</v>
      </c>
      <c r="C101" t="s">
        <v>825</v>
      </c>
      <c r="D101" t="s">
        <v>172</v>
      </c>
      <c r="E101" s="1">
        <v>46077.299317129633</v>
      </c>
      <c r="F101" t="s">
        <v>62</v>
      </c>
      <c r="G101" t="s">
        <v>776</v>
      </c>
      <c r="H101" t="s">
        <v>3668</v>
      </c>
      <c r="I101" t="s">
        <v>109</v>
      </c>
      <c r="J101" t="s">
        <v>1149</v>
      </c>
      <c r="K101" t="s">
        <v>44</v>
      </c>
      <c r="M101" t="s">
        <v>3526</v>
      </c>
      <c r="O101" t="s">
        <v>3099</v>
      </c>
      <c r="P101" t="s">
        <v>3100</v>
      </c>
      <c r="Q101" t="s">
        <v>3678</v>
      </c>
      <c r="R101" t="s">
        <v>46</v>
      </c>
      <c r="S101" t="s">
        <v>110</v>
      </c>
      <c r="T101" t="s">
        <v>111</v>
      </c>
      <c r="U101" s="1">
        <v>46077.30028935185</v>
      </c>
      <c r="V101" t="s">
        <v>31</v>
      </c>
      <c r="W101" t="s">
        <v>33</v>
      </c>
      <c r="X101" t="s">
        <v>3530</v>
      </c>
      <c r="Y101" t="s">
        <v>3193</v>
      </c>
      <c r="Z101" t="s">
        <v>38</v>
      </c>
      <c r="AA101" t="s">
        <v>31</v>
      </c>
      <c r="AB101" t="s">
        <v>1150</v>
      </c>
      <c r="AC101" t="s">
        <v>30</v>
      </c>
      <c r="AD101" t="s">
        <v>46</v>
      </c>
      <c r="AE101" t="s">
        <v>110</v>
      </c>
      <c r="AF101" t="s">
        <v>111</v>
      </c>
      <c r="AG101" t="s">
        <v>38</v>
      </c>
      <c r="AH101" t="s">
        <v>3597</v>
      </c>
      <c r="AK101">
        <v>0</v>
      </c>
      <c r="AL101" t="s">
        <v>32</v>
      </c>
      <c r="AM101" t="s">
        <v>1168</v>
      </c>
      <c r="AN101" t="s">
        <v>1169</v>
      </c>
    </row>
    <row r="102" spans="1:40">
      <c r="A102" t="s">
        <v>1170</v>
      </c>
      <c r="B102" t="s">
        <v>34</v>
      </c>
      <c r="C102" t="s">
        <v>1027</v>
      </c>
      <c r="D102" t="s">
        <v>1028</v>
      </c>
      <c r="E102" s="1">
        <v>46077.286874999998</v>
      </c>
      <c r="F102" t="s">
        <v>186</v>
      </c>
      <c r="G102" t="s">
        <v>776</v>
      </c>
      <c r="H102" t="s">
        <v>3667</v>
      </c>
      <c r="I102" t="s">
        <v>109</v>
      </c>
      <c r="J102" t="s">
        <v>1149</v>
      </c>
      <c r="K102" t="s">
        <v>44</v>
      </c>
      <c r="M102" t="s">
        <v>3526</v>
      </c>
      <c r="O102" t="s">
        <v>3099</v>
      </c>
      <c r="P102" t="s">
        <v>3100</v>
      </c>
      <c r="Q102" t="s">
        <v>3698</v>
      </c>
      <c r="R102" t="s">
        <v>46</v>
      </c>
      <c r="S102" t="s">
        <v>110</v>
      </c>
      <c r="T102" t="s">
        <v>111</v>
      </c>
      <c r="U102" s="1">
        <v>46077.294571759259</v>
      </c>
      <c r="V102" t="s">
        <v>31</v>
      </c>
      <c r="W102" t="s">
        <v>33</v>
      </c>
      <c r="X102" t="s">
        <v>3530</v>
      </c>
      <c r="Y102" t="s">
        <v>3193</v>
      </c>
      <c r="Z102" t="s">
        <v>38</v>
      </c>
      <c r="AA102" t="s">
        <v>31</v>
      </c>
      <c r="AB102" t="s">
        <v>1150</v>
      </c>
      <c r="AC102" t="s">
        <v>30</v>
      </c>
      <c r="AD102" t="s">
        <v>46</v>
      </c>
      <c r="AE102" t="s">
        <v>110</v>
      </c>
      <c r="AF102" t="s">
        <v>111</v>
      </c>
      <c r="AG102" t="s">
        <v>38</v>
      </c>
      <c r="AH102">
        <v>6231</v>
      </c>
      <c r="AK102">
        <v>0</v>
      </c>
      <c r="AL102" t="s">
        <v>32</v>
      </c>
      <c r="AM102" t="s">
        <v>1029</v>
      </c>
      <c r="AN102" t="s">
        <v>1030</v>
      </c>
    </row>
    <row r="103" spans="1:40">
      <c r="A103" t="s">
        <v>1175</v>
      </c>
      <c r="B103" t="s">
        <v>34</v>
      </c>
      <c r="C103" t="s">
        <v>509</v>
      </c>
      <c r="D103" t="s">
        <v>1176</v>
      </c>
      <c r="E103" s="1">
        <v>46077.145266203705</v>
      </c>
      <c r="F103" t="s">
        <v>26</v>
      </c>
      <c r="G103" t="s">
        <v>776</v>
      </c>
      <c r="H103" t="s">
        <v>3665</v>
      </c>
      <c r="I103" t="s">
        <v>1082</v>
      </c>
      <c r="J103" t="s">
        <v>320</v>
      </c>
      <c r="K103" t="s">
        <v>134</v>
      </c>
      <c r="M103" t="s">
        <v>3526</v>
      </c>
      <c r="O103" t="s">
        <v>3099</v>
      </c>
      <c r="P103" t="s">
        <v>3100</v>
      </c>
      <c r="Q103" t="s">
        <v>3678</v>
      </c>
      <c r="R103" t="s">
        <v>46</v>
      </c>
      <c r="S103" t="s">
        <v>751</v>
      </c>
      <c r="T103" t="s">
        <v>752</v>
      </c>
      <c r="U103" s="1">
        <v>46077.476724537039</v>
      </c>
      <c r="V103" t="s">
        <v>31</v>
      </c>
      <c r="W103" t="s">
        <v>33</v>
      </c>
      <c r="X103" t="s">
        <v>3525</v>
      </c>
      <c r="Y103" t="e">
        <f>- Cleaned / deleted Quarantined items. - deleted temporary files, temporary internet files and cookies. - Ran SEP Active scan. - Completed successfully</f>
        <v>#NAME?</v>
      </c>
      <c r="Z103" t="s">
        <v>38</v>
      </c>
      <c r="AA103" t="s">
        <v>31</v>
      </c>
      <c r="AB103" t="s">
        <v>1150</v>
      </c>
      <c r="AC103" t="s">
        <v>30</v>
      </c>
      <c r="AD103" t="s">
        <v>46</v>
      </c>
      <c r="AE103" t="s">
        <v>751</v>
      </c>
      <c r="AF103" t="s">
        <v>752</v>
      </c>
      <c r="AG103" t="s">
        <v>38</v>
      </c>
      <c r="AH103" t="s">
        <v>3598</v>
      </c>
      <c r="AK103">
        <v>1</v>
      </c>
      <c r="AL103" t="s">
        <v>32</v>
      </c>
      <c r="AM103" t="s">
        <v>1177</v>
      </c>
      <c r="AN103" t="s">
        <v>1178</v>
      </c>
    </row>
    <row r="104" spans="1:40">
      <c r="A104" t="s">
        <v>1179</v>
      </c>
      <c r="B104" t="s">
        <v>34</v>
      </c>
      <c r="C104" t="s">
        <v>115</v>
      </c>
      <c r="D104" t="s">
        <v>115</v>
      </c>
      <c r="E104" s="1">
        <v>46077.143171296295</v>
      </c>
      <c r="F104" t="s">
        <v>96</v>
      </c>
      <c r="G104" t="s">
        <v>776</v>
      </c>
      <c r="H104" t="s">
        <v>96</v>
      </c>
      <c r="I104" t="s">
        <v>109</v>
      </c>
      <c r="J104" t="s">
        <v>1149</v>
      </c>
      <c r="K104" t="s">
        <v>44</v>
      </c>
      <c r="M104" t="s">
        <v>3526</v>
      </c>
      <c r="O104" t="s">
        <v>3099</v>
      </c>
      <c r="P104" t="s">
        <v>3100</v>
      </c>
      <c r="Q104" t="s">
        <v>3688</v>
      </c>
      <c r="R104" t="s">
        <v>46</v>
      </c>
      <c r="S104" t="s">
        <v>110</v>
      </c>
      <c r="T104" t="s">
        <v>111</v>
      </c>
      <c r="U104" s="1">
        <v>46077.150787037041</v>
      </c>
      <c r="V104" t="s">
        <v>31</v>
      </c>
      <c r="W104" t="s">
        <v>33</v>
      </c>
      <c r="X104" t="s">
        <v>3530</v>
      </c>
      <c r="Y104" t="s">
        <v>3193</v>
      </c>
      <c r="Z104" t="s">
        <v>38</v>
      </c>
      <c r="AA104" t="s">
        <v>31</v>
      </c>
      <c r="AB104" t="s">
        <v>1150</v>
      </c>
      <c r="AC104" t="s">
        <v>30</v>
      </c>
      <c r="AD104" t="s">
        <v>46</v>
      </c>
      <c r="AE104" t="s">
        <v>110</v>
      </c>
      <c r="AF104" t="s">
        <v>111</v>
      </c>
      <c r="AG104" t="s">
        <v>38</v>
      </c>
      <c r="AH104">
        <v>871</v>
      </c>
      <c r="AK104">
        <v>0</v>
      </c>
      <c r="AL104" t="s">
        <v>32</v>
      </c>
      <c r="AM104" t="s">
        <v>1180</v>
      </c>
      <c r="AN104" t="s">
        <v>1181</v>
      </c>
    </row>
    <row r="105" spans="1:40">
      <c r="A105" t="s">
        <v>1182</v>
      </c>
      <c r="B105" t="s">
        <v>34</v>
      </c>
      <c r="C105" t="s">
        <v>154</v>
      </c>
      <c r="D105" t="s">
        <v>261</v>
      </c>
      <c r="E105" s="1">
        <v>46077.084606481483</v>
      </c>
      <c r="F105" t="s">
        <v>186</v>
      </c>
      <c r="G105" t="s">
        <v>776</v>
      </c>
      <c r="H105" t="s">
        <v>3667</v>
      </c>
      <c r="I105" t="s">
        <v>109</v>
      </c>
      <c r="J105" t="s">
        <v>1149</v>
      </c>
      <c r="K105" t="s">
        <v>44</v>
      </c>
      <c r="M105" t="s">
        <v>3526</v>
      </c>
      <c r="O105" t="s">
        <v>3099</v>
      </c>
      <c r="P105" t="s">
        <v>3100</v>
      </c>
      <c r="Q105" t="s">
        <v>3687</v>
      </c>
      <c r="R105" t="s">
        <v>46</v>
      </c>
      <c r="S105" t="s">
        <v>110</v>
      </c>
      <c r="T105" t="s">
        <v>111</v>
      </c>
      <c r="U105" s="1">
        <v>46077.150659722225</v>
      </c>
      <c r="V105" t="s">
        <v>31</v>
      </c>
      <c r="W105" t="s">
        <v>33</v>
      </c>
      <c r="X105" t="s">
        <v>3530</v>
      </c>
      <c r="Y105" t="s">
        <v>3193</v>
      </c>
      <c r="Z105" t="s">
        <v>38</v>
      </c>
      <c r="AA105" t="s">
        <v>31</v>
      </c>
      <c r="AB105" t="s">
        <v>1150</v>
      </c>
      <c r="AC105" t="s">
        <v>30</v>
      </c>
      <c r="AD105" t="s">
        <v>46</v>
      </c>
      <c r="AE105" t="s">
        <v>110</v>
      </c>
      <c r="AF105" t="s">
        <v>111</v>
      </c>
      <c r="AG105" t="s">
        <v>38</v>
      </c>
      <c r="AH105">
        <v>1927</v>
      </c>
      <c r="AK105">
        <v>0</v>
      </c>
      <c r="AL105" t="s">
        <v>32</v>
      </c>
      <c r="AM105" t="s">
        <v>1183</v>
      </c>
      <c r="AN105" t="s">
        <v>1184</v>
      </c>
    </row>
    <row r="106" spans="1:40">
      <c r="A106" t="s">
        <v>1185</v>
      </c>
      <c r="B106" t="s">
        <v>34</v>
      </c>
      <c r="C106" t="s">
        <v>1186</v>
      </c>
      <c r="D106" t="s">
        <v>1187</v>
      </c>
      <c r="E106" s="1">
        <v>46077.083425925928</v>
      </c>
      <c r="F106" t="s">
        <v>755</v>
      </c>
      <c r="G106" t="s">
        <v>776</v>
      </c>
      <c r="H106" t="s">
        <v>3669</v>
      </c>
      <c r="I106" t="s">
        <v>1188</v>
      </c>
      <c r="J106" t="s">
        <v>1149</v>
      </c>
      <c r="K106" t="s">
        <v>44</v>
      </c>
      <c r="M106" t="s">
        <v>3526</v>
      </c>
      <c r="O106" t="s">
        <v>3099</v>
      </c>
      <c r="P106" t="s">
        <v>3100</v>
      </c>
      <c r="Q106" t="s">
        <v>3700</v>
      </c>
      <c r="R106" t="s">
        <v>46</v>
      </c>
      <c r="S106" t="s">
        <v>348</v>
      </c>
      <c r="T106" t="s">
        <v>506</v>
      </c>
      <c r="U106" s="1">
        <v>46077.152268518519</v>
      </c>
      <c r="V106" t="s">
        <v>31</v>
      </c>
      <c r="W106" t="s">
        <v>33</v>
      </c>
      <c r="X106" t="s">
        <v>3530</v>
      </c>
      <c r="Y106" t="s">
        <v>3196</v>
      </c>
      <c r="Z106" t="s">
        <v>38</v>
      </c>
      <c r="AA106" t="s">
        <v>31</v>
      </c>
      <c r="AB106" t="s">
        <v>1150</v>
      </c>
      <c r="AC106" t="s">
        <v>30</v>
      </c>
      <c r="AD106" t="s">
        <v>46</v>
      </c>
      <c r="AE106" t="s">
        <v>348</v>
      </c>
      <c r="AF106" t="s">
        <v>3197</v>
      </c>
      <c r="AG106" t="s">
        <v>38</v>
      </c>
      <c r="AH106">
        <v>11097</v>
      </c>
      <c r="AK106">
        <v>0</v>
      </c>
      <c r="AL106" t="s">
        <v>32</v>
      </c>
      <c r="AM106" t="s">
        <v>1189</v>
      </c>
      <c r="AN106" t="s">
        <v>1190</v>
      </c>
    </row>
    <row r="107" spans="1:40">
      <c r="A107" t="s">
        <v>1191</v>
      </c>
      <c r="B107" t="s">
        <v>34</v>
      </c>
      <c r="C107" t="s">
        <v>1192</v>
      </c>
      <c r="D107" t="s">
        <v>1153</v>
      </c>
      <c r="E107" s="1">
        <v>46077.076493055552</v>
      </c>
      <c r="F107" t="s">
        <v>67</v>
      </c>
      <c r="G107" t="s">
        <v>776</v>
      </c>
      <c r="H107" t="s">
        <v>3671</v>
      </c>
      <c r="I107" t="s">
        <v>1158</v>
      </c>
      <c r="J107" t="s">
        <v>1149</v>
      </c>
      <c r="K107" t="s">
        <v>44</v>
      </c>
      <c r="M107" t="s">
        <v>3526</v>
      </c>
      <c r="O107" t="s">
        <v>3099</v>
      </c>
      <c r="P107" t="s">
        <v>3100</v>
      </c>
      <c r="Q107" t="s">
        <v>3678</v>
      </c>
      <c r="R107" t="s">
        <v>46</v>
      </c>
      <c r="S107" t="s">
        <v>379</v>
      </c>
      <c r="T107" t="s">
        <v>379</v>
      </c>
      <c r="U107" s="1">
        <v>46077.151863425926</v>
      </c>
      <c r="V107" t="s">
        <v>31</v>
      </c>
      <c r="W107" t="s">
        <v>33</v>
      </c>
      <c r="X107" t="s">
        <v>3530</v>
      </c>
      <c r="Y107" t="s">
        <v>3195</v>
      </c>
      <c r="Z107" t="s">
        <v>38</v>
      </c>
      <c r="AA107" t="s">
        <v>31</v>
      </c>
      <c r="AB107" t="s">
        <v>1150</v>
      </c>
      <c r="AC107" t="s">
        <v>30</v>
      </c>
      <c r="AD107" t="s">
        <v>46</v>
      </c>
      <c r="AE107" t="s">
        <v>379</v>
      </c>
      <c r="AF107" t="s">
        <v>379</v>
      </c>
      <c r="AG107" t="s">
        <v>38</v>
      </c>
      <c r="AH107">
        <v>6486</v>
      </c>
      <c r="AK107">
        <v>0</v>
      </c>
      <c r="AL107" t="s">
        <v>32</v>
      </c>
      <c r="AM107" t="s">
        <v>1193</v>
      </c>
      <c r="AN107" t="s">
        <v>1194</v>
      </c>
    </row>
    <row r="108" spans="1:40">
      <c r="A108" t="s">
        <v>1195</v>
      </c>
      <c r="B108" t="s">
        <v>34</v>
      </c>
      <c r="C108" t="s">
        <v>769</v>
      </c>
      <c r="D108" t="s">
        <v>770</v>
      </c>
      <c r="E108" s="1">
        <v>46077.064270833333</v>
      </c>
      <c r="F108" t="s">
        <v>62</v>
      </c>
      <c r="G108" t="s">
        <v>776</v>
      </c>
      <c r="H108" t="s">
        <v>3668</v>
      </c>
      <c r="I108" t="s">
        <v>771</v>
      </c>
      <c r="J108" t="s">
        <v>772</v>
      </c>
      <c r="K108" t="s">
        <v>651</v>
      </c>
      <c r="M108" t="s">
        <v>3529</v>
      </c>
      <c r="O108" t="s">
        <v>3099</v>
      </c>
      <c r="P108" t="s">
        <v>3100</v>
      </c>
      <c r="Q108" t="s">
        <v>3678</v>
      </c>
      <c r="R108" t="s">
        <v>46</v>
      </c>
      <c r="S108" t="s">
        <v>751</v>
      </c>
      <c r="T108" t="s">
        <v>752</v>
      </c>
      <c r="U108" s="1">
        <v>46077.965243055558</v>
      </c>
      <c r="V108" t="s">
        <v>31</v>
      </c>
      <c r="W108" t="s">
        <v>33</v>
      </c>
      <c r="X108" t="s">
        <v>3530</v>
      </c>
      <c r="Y108" t="s">
        <v>3198</v>
      </c>
      <c r="Z108" t="s">
        <v>38</v>
      </c>
      <c r="AA108" t="s">
        <v>31</v>
      </c>
      <c r="AB108" t="s">
        <v>1150</v>
      </c>
      <c r="AC108" t="s">
        <v>30</v>
      </c>
      <c r="AD108" t="s">
        <v>46</v>
      </c>
      <c r="AE108" t="s">
        <v>751</v>
      </c>
      <c r="AF108" t="s">
        <v>752</v>
      </c>
      <c r="AG108" t="s">
        <v>38</v>
      </c>
      <c r="AH108" t="s">
        <v>3580</v>
      </c>
      <c r="AK108">
        <v>0</v>
      </c>
      <c r="AL108" t="s">
        <v>32</v>
      </c>
      <c r="AM108" t="s">
        <v>773</v>
      </c>
      <c r="AN108" t="s">
        <v>774</v>
      </c>
    </row>
    <row r="109" spans="1:40">
      <c r="A109" t="s">
        <v>1196</v>
      </c>
      <c r="B109" t="s">
        <v>34</v>
      </c>
      <c r="C109" t="s">
        <v>1197</v>
      </c>
      <c r="D109" t="s">
        <v>1198</v>
      </c>
      <c r="E109" s="1">
        <v>46077.015057870369</v>
      </c>
      <c r="F109" t="s">
        <v>470</v>
      </c>
      <c r="G109" t="s">
        <v>776</v>
      </c>
      <c r="H109" t="s">
        <v>3671</v>
      </c>
      <c r="I109" t="s">
        <v>1199</v>
      </c>
      <c r="J109" t="s">
        <v>1149</v>
      </c>
      <c r="K109" t="s">
        <v>44</v>
      </c>
      <c r="M109" t="s">
        <v>3526</v>
      </c>
      <c r="O109" t="s">
        <v>3099</v>
      </c>
      <c r="P109" t="s">
        <v>3100</v>
      </c>
      <c r="Q109" t="s">
        <v>3712</v>
      </c>
      <c r="R109" t="s">
        <v>46</v>
      </c>
      <c r="S109" t="s">
        <v>57</v>
      </c>
      <c r="T109" t="s">
        <v>58</v>
      </c>
      <c r="U109" s="1">
        <v>46077.151550925926</v>
      </c>
      <c r="V109" t="s">
        <v>31</v>
      </c>
      <c r="W109" t="s">
        <v>33</v>
      </c>
      <c r="X109" t="s">
        <v>3530</v>
      </c>
      <c r="Y109" t="s">
        <v>3199</v>
      </c>
      <c r="Z109" t="s">
        <v>38</v>
      </c>
      <c r="AA109" t="s">
        <v>31</v>
      </c>
      <c r="AB109" t="s">
        <v>1150</v>
      </c>
      <c r="AC109" t="s">
        <v>30</v>
      </c>
      <c r="AD109" t="s">
        <v>46</v>
      </c>
      <c r="AE109" t="s">
        <v>57</v>
      </c>
      <c r="AF109" t="s">
        <v>58</v>
      </c>
      <c r="AG109" t="s">
        <v>38</v>
      </c>
      <c r="AH109">
        <v>4010</v>
      </c>
      <c r="AK109">
        <v>0</v>
      </c>
      <c r="AL109" t="s">
        <v>32</v>
      </c>
      <c r="AM109" t="s">
        <v>1200</v>
      </c>
      <c r="AN109" t="s">
        <v>1201</v>
      </c>
    </row>
    <row r="110" spans="1:40">
      <c r="A110" t="s">
        <v>1202</v>
      </c>
      <c r="B110" t="s">
        <v>34</v>
      </c>
      <c r="C110" t="s">
        <v>66</v>
      </c>
      <c r="D110" t="s">
        <v>1203</v>
      </c>
      <c r="E110" s="1">
        <v>46077.003310185188</v>
      </c>
      <c r="F110" t="s">
        <v>74</v>
      </c>
      <c r="G110" t="s">
        <v>776</v>
      </c>
      <c r="H110" t="s">
        <v>3665</v>
      </c>
      <c r="I110" t="s">
        <v>535</v>
      </c>
      <c r="J110" t="s">
        <v>1149</v>
      </c>
      <c r="K110" t="s">
        <v>44</v>
      </c>
      <c r="M110" t="s">
        <v>3526</v>
      </c>
      <c r="O110" t="s">
        <v>3099</v>
      </c>
      <c r="P110" t="s">
        <v>3100</v>
      </c>
      <c r="Q110" t="s">
        <v>3678</v>
      </c>
      <c r="R110" t="s">
        <v>46</v>
      </c>
      <c r="S110" t="s">
        <v>188</v>
      </c>
      <c r="T110" t="s">
        <v>431</v>
      </c>
      <c r="U110" s="1">
        <v>46077.151203703703</v>
      </c>
      <c r="V110" t="s">
        <v>31</v>
      </c>
      <c r="W110" t="s">
        <v>33</v>
      </c>
      <c r="X110" t="s">
        <v>3530</v>
      </c>
      <c r="Y110" t="s">
        <v>3200</v>
      </c>
      <c r="Z110" t="s">
        <v>38</v>
      </c>
      <c r="AA110" t="s">
        <v>31</v>
      </c>
      <c r="AB110" t="s">
        <v>1150</v>
      </c>
      <c r="AC110" t="s">
        <v>30</v>
      </c>
      <c r="AD110" t="s">
        <v>46</v>
      </c>
      <c r="AE110" t="s">
        <v>188</v>
      </c>
      <c r="AF110" t="s">
        <v>431</v>
      </c>
      <c r="AG110" t="s">
        <v>38</v>
      </c>
      <c r="AH110">
        <v>15925</v>
      </c>
      <c r="AK110">
        <v>0</v>
      </c>
      <c r="AL110" t="s">
        <v>32</v>
      </c>
      <c r="AM110" t="s">
        <v>1204</v>
      </c>
      <c r="AN110" t="s">
        <v>1205</v>
      </c>
    </row>
    <row r="111" spans="1:40">
      <c r="A111" t="s">
        <v>1206</v>
      </c>
      <c r="B111" t="s">
        <v>34</v>
      </c>
      <c r="C111" t="s">
        <v>79</v>
      </c>
      <c r="D111" t="s">
        <v>985</v>
      </c>
      <c r="E111" s="1">
        <v>46077.00167824074</v>
      </c>
      <c r="F111" t="s">
        <v>132</v>
      </c>
      <c r="G111" t="s">
        <v>776</v>
      </c>
      <c r="H111" t="s">
        <v>3665</v>
      </c>
      <c r="I111" t="s">
        <v>1158</v>
      </c>
      <c r="J111" t="s">
        <v>1149</v>
      </c>
      <c r="K111" t="s">
        <v>44</v>
      </c>
      <c r="M111" t="s">
        <v>3526</v>
      </c>
      <c r="O111" t="s">
        <v>3099</v>
      </c>
      <c r="P111" t="s">
        <v>3100</v>
      </c>
      <c r="R111" t="s">
        <v>46</v>
      </c>
      <c r="S111" t="s">
        <v>379</v>
      </c>
      <c r="T111" t="s">
        <v>379</v>
      </c>
      <c r="U111" s="1">
        <v>46077.150972222225</v>
      </c>
      <c r="V111" t="s">
        <v>31</v>
      </c>
      <c r="W111" t="s">
        <v>33</v>
      </c>
      <c r="X111" t="s">
        <v>3530</v>
      </c>
      <c r="Y111" t="s">
        <v>3195</v>
      </c>
      <c r="Z111" t="s">
        <v>38</v>
      </c>
      <c r="AA111" t="s">
        <v>31</v>
      </c>
      <c r="AB111" t="s">
        <v>1150</v>
      </c>
      <c r="AC111" t="s">
        <v>30</v>
      </c>
      <c r="AD111" t="s">
        <v>46</v>
      </c>
      <c r="AE111" t="s">
        <v>379</v>
      </c>
      <c r="AF111" t="s">
        <v>379</v>
      </c>
      <c r="AG111" t="s">
        <v>38</v>
      </c>
      <c r="AH111" t="s">
        <v>3590</v>
      </c>
      <c r="AK111">
        <v>0</v>
      </c>
      <c r="AL111" t="s">
        <v>32</v>
      </c>
      <c r="AM111" t="s">
        <v>987</v>
      </c>
      <c r="AN111" t="s">
        <v>988</v>
      </c>
    </row>
    <row r="112" spans="1:40">
      <c r="A112" t="s">
        <v>1207</v>
      </c>
      <c r="B112" t="s">
        <v>34</v>
      </c>
      <c r="C112" t="s">
        <v>861</v>
      </c>
      <c r="D112" t="s">
        <v>1208</v>
      </c>
      <c r="E112" s="1">
        <v>46077.001331018517</v>
      </c>
      <c r="F112" t="s">
        <v>153</v>
      </c>
      <c r="G112" t="s">
        <v>776</v>
      </c>
      <c r="H112" t="s">
        <v>3669</v>
      </c>
      <c r="I112" t="s">
        <v>109</v>
      </c>
      <c r="J112" t="s">
        <v>1149</v>
      </c>
      <c r="K112" t="s">
        <v>44</v>
      </c>
      <c r="M112" t="s">
        <v>3526</v>
      </c>
      <c r="O112" t="s">
        <v>3099</v>
      </c>
      <c r="P112" t="s">
        <v>3100</v>
      </c>
      <c r="Q112" t="s">
        <v>3678</v>
      </c>
      <c r="R112" t="s">
        <v>46</v>
      </c>
      <c r="S112" t="s">
        <v>110</v>
      </c>
      <c r="T112" t="s">
        <v>111</v>
      </c>
      <c r="U112" s="1">
        <v>46077.15053240741</v>
      </c>
      <c r="V112" t="s">
        <v>31</v>
      </c>
      <c r="W112" t="s">
        <v>33</v>
      </c>
      <c r="X112" t="s">
        <v>3530</v>
      </c>
      <c r="Y112" t="s">
        <v>3193</v>
      </c>
      <c r="Z112" t="s">
        <v>38</v>
      </c>
      <c r="AA112" t="s">
        <v>31</v>
      </c>
      <c r="AB112" t="s">
        <v>1150</v>
      </c>
      <c r="AC112" t="s">
        <v>30</v>
      </c>
      <c r="AD112" t="s">
        <v>46</v>
      </c>
      <c r="AE112" t="s">
        <v>110</v>
      </c>
      <c r="AF112" t="s">
        <v>111</v>
      </c>
      <c r="AG112" t="s">
        <v>38</v>
      </c>
      <c r="AH112" t="s">
        <v>3599</v>
      </c>
      <c r="AK112">
        <v>0</v>
      </c>
      <c r="AL112" t="s">
        <v>32</v>
      </c>
      <c r="AM112" t="s">
        <v>1209</v>
      </c>
      <c r="AN112" t="s">
        <v>1210</v>
      </c>
    </row>
    <row r="113" spans="1:40">
      <c r="A113" t="s">
        <v>1211</v>
      </c>
      <c r="B113" t="s">
        <v>34</v>
      </c>
      <c r="C113" t="s">
        <v>1212</v>
      </c>
      <c r="D113" t="s">
        <v>1213</v>
      </c>
      <c r="E113" s="1">
        <v>46077.001006944447</v>
      </c>
      <c r="F113" t="s">
        <v>153</v>
      </c>
      <c r="G113" t="s">
        <v>776</v>
      </c>
      <c r="H113" t="s">
        <v>3669</v>
      </c>
      <c r="I113" t="s">
        <v>109</v>
      </c>
      <c r="J113" t="s">
        <v>1149</v>
      </c>
      <c r="K113" t="s">
        <v>44</v>
      </c>
      <c r="M113" t="s">
        <v>3526</v>
      </c>
      <c r="O113" t="s">
        <v>3099</v>
      </c>
      <c r="P113" t="s">
        <v>3100</v>
      </c>
      <c r="Q113" t="s">
        <v>3678</v>
      </c>
      <c r="R113" t="s">
        <v>46</v>
      </c>
      <c r="S113" t="s">
        <v>110</v>
      </c>
      <c r="T113" t="s">
        <v>111</v>
      </c>
      <c r="U113" s="1">
        <v>46077.150358796294</v>
      </c>
      <c r="V113" t="s">
        <v>31</v>
      </c>
      <c r="W113" t="s">
        <v>33</v>
      </c>
      <c r="X113" t="s">
        <v>3530</v>
      </c>
      <c r="Y113" t="s">
        <v>3193</v>
      </c>
      <c r="Z113" t="s">
        <v>38</v>
      </c>
      <c r="AA113" t="s">
        <v>31</v>
      </c>
      <c r="AB113" t="s">
        <v>1150</v>
      </c>
      <c r="AC113" t="s">
        <v>30</v>
      </c>
      <c r="AD113" t="s">
        <v>46</v>
      </c>
      <c r="AE113" t="s">
        <v>110</v>
      </c>
      <c r="AF113" t="s">
        <v>111</v>
      </c>
      <c r="AG113" t="s">
        <v>38</v>
      </c>
      <c r="AH113" t="s">
        <v>3600</v>
      </c>
      <c r="AK113">
        <v>0</v>
      </c>
      <c r="AL113" t="s">
        <v>32</v>
      </c>
      <c r="AM113" t="s">
        <v>1214</v>
      </c>
      <c r="AN113" t="s">
        <v>1215</v>
      </c>
    </row>
    <row r="114" spans="1:40">
      <c r="A114" t="s">
        <v>1216</v>
      </c>
      <c r="B114" t="s">
        <v>34</v>
      </c>
      <c r="C114" t="s">
        <v>106</v>
      </c>
      <c r="D114" t="s">
        <v>107</v>
      </c>
      <c r="E114" s="1">
        <v>46076.967118055552</v>
      </c>
      <c r="F114" t="s">
        <v>108</v>
      </c>
      <c r="G114" t="s">
        <v>776</v>
      </c>
      <c r="H114" t="s">
        <v>3666</v>
      </c>
      <c r="I114" t="s">
        <v>109</v>
      </c>
      <c r="J114" t="s">
        <v>45</v>
      </c>
      <c r="K114" t="s">
        <v>44</v>
      </c>
      <c r="M114" t="s">
        <v>3526</v>
      </c>
      <c r="O114" t="s">
        <v>3099</v>
      </c>
      <c r="P114" t="s">
        <v>3100</v>
      </c>
      <c r="Q114" t="s">
        <v>3678</v>
      </c>
      <c r="R114" t="s">
        <v>46</v>
      </c>
      <c r="S114" t="s">
        <v>110</v>
      </c>
      <c r="T114" t="s">
        <v>111</v>
      </c>
      <c r="U114" s="1">
        <v>46076.967303240737</v>
      </c>
      <c r="V114" t="s">
        <v>31</v>
      </c>
      <c r="W114" t="s">
        <v>33</v>
      </c>
      <c r="X114" t="s">
        <v>3530</v>
      </c>
      <c r="Y114" t="s">
        <v>3201</v>
      </c>
      <c r="Z114" t="s">
        <v>38</v>
      </c>
      <c r="AA114" t="s">
        <v>31</v>
      </c>
      <c r="AB114" t="s">
        <v>49</v>
      </c>
      <c r="AC114" t="s">
        <v>30</v>
      </c>
      <c r="AD114" t="s">
        <v>46</v>
      </c>
      <c r="AE114" t="s">
        <v>110</v>
      </c>
      <c r="AF114" t="s">
        <v>111</v>
      </c>
      <c r="AG114" t="s">
        <v>38</v>
      </c>
      <c r="AH114" t="s">
        <v>3537</v>
      </c>
      <c r="AK114">
        <v>0</v>
      </c>
      <c r="AL114" t="s">
        <v>32</v>
      </c>
      <c r="AM114" t="s">
        <v>112</v>
      </c>
      <c r="AN114" t="s">
        <v>113</v>
      </c>
    </row>
    <row r="115" spans="1:40">
      <c r="A115" t="s">
        <v>1231</v>
      </c>
      <c r="B115" t="s">
        <v>34</v>
      </c>
      <c r="C115" t="s">
        <v>1232</v>
      </c>
      <c r="D115" t="s">
        <v>1233</v>
      </c>
      <c r="E115" s="1">
        <v>46076.839537037034</v>
      </c>
      <c r="F115" t="s">
        <v>168</v>
      </c>
      <c r="G115" t="s">
        <v>776</v>
      </c>
      <c r="H115" t="s">
        <v>3669</v>
      </c>
      <c r="I115" t="s">
        <v>1234</v>
      </c>
      <c r="J115" t="s">
        <v>320</v>
      </c>
      <c r="K115" t="s">
        <v>134</v>
      </c>
      <c r="M115" t="s">
        <v>3526</v>
      </c>
      <c r="O115" t="s">
        <v>3099</v>
      </c>
      <c r="P115" t="s">
        <v>3100</v>
      </c>
      <c r="Q115" t="s">
        <v>3678</v>
      </c>
      <c r="R115" t="s">
        <v>46</v>
      </c>
      <c r="S115" t="s">
        <v>188</v>
      </c>
      <c r="T115" t="s">
        <v>1235</v>
      </c>
      <c r="U115" s="1">
        <v>46078.3675</v>
      </c>
      <c r="V115" t="s">
        <v>31</v>
      </c>
      <c r="W115" t="s">
        <v>33</v>
      </c>
      <c r="X115" t="s">
        <v>3530</v>
      </c>
      <c r="Y115" t="s">
        <v>3202</v>
      </c>
      <c r="Z115" t="s">
        <v>38</v>
      </c>
      <c r="AA115" t="s">
        <v>31</v>
      </c>
      <c r="AB115" t="s">
        <v>49</v>
      </c>
      <c r="AC115" t="s">
        <v>30</v>
      </c>
      <c r="AD115" t="s">
        <v>46</v>
      </c>
      <c r="AE115" t="s">
        <v>188</v>
      </c>
      <c r="AF115" t="s">
        <v>521</v>
      </c>
      <c r="AG115" t="s">
        <v>38</v>
      </c>
      <c r="AH115">
        <v>13171</v>
      </c>
      <c r="AK115">
        <v>1</v>
      </c>
      <c r="AL115" t="s">
        <v>32</v>
      </c>
      <c r="AM115" t="s">
        <v>1236</v>
      </c>
      <c r="AN115" t="s">
        <v>1237</v>
      </c>
    </row>
    <row r="116" spans="1:40">
      <c r="A116" t="s">
        <v>1249</v>
      </c>
      <c r="B116" t="s">
        <v>24</v>
      </c>
      <c r="C116" t="s">
        <v>175</v>
      </c>
      <c r="D116" t="s">
        <v>852</v>
      </c>
      <c r="E116" s="1">
        <v>46076.676180555558</v>
      </c>
      <c r="F116" t="s">
        <v>26</v>
      </c>
      <c r="G116" t="s">
        <v>776</v>
      </c>
      <c r="H116" t="s">
        <v>3665</v>
      </c>
      <c r="I116" t="s">
        <v>1250</v>
      </c>
      <c r="J116" t="s">
        <v>765</v>
      </c>
      <c r="K116" t="s">
        <v>134</v>
      </c>
      <c r="M116" t="s">
        <v>3526</v>
      </c>
      <c r="O116" t="s">
        <v>3144</v>
      </c>
      <c r="P116" t="s">
        <v>3145</v>
      </c>
      <c r="Q116" t="s">
        <v>3701</v>
      </c>
      <c r="R116" t="s">
        <v>46</v>
      </c>
      <c r="S116" t="s">
        <v>197</v>
      </c>
      <c r="T116" t="s">
        <v>725</v>
      </c>
      <c r="U116" s="1">
        <v>46077.625219907408</v>
      </c>
      <c r="V116" t="s">
        <v>31</v>
      </c>
      <c r="W116" t="s">
        <v>33</v>
      </c>
      <c r="X116" t="s">
        <v>3525</v>
      </c>
      <c r="Y116" t="s">
        <v>3203</v>
      </c>
      <c r="Z116" t="s">
        <v>38</v>
      </c>
      <c r="AA116" t="s">
        <v>31</v>
      </c>
      <c r="AB116" t="s">
        <v>49</v>
      </c>
      <c r="AC116" t="s">
        <v>284</v>
      </c>
      <c r="AD116" t="s">
        <v>46</v>
      </c>
      <c r="AE116" t="s">
        <v>197</v>
      </c>
      <c r="AF116" t="s">
        <v>725</v>
      </c>
      <c r="AG116" t="s">
        <v>38</v>
      </c>
      <c r="AH116">
        <v>11368</v>
      </c>
      <c r="AK116">
        <v>1</v>
      </c>
      <c r="AL116" t="s">
        <v>32</v>
      </c>
      <c r="AM116" t="s">
        <v>854</v>
      </c>
      <c r="AN116" t="s">
        <v>855</v>
      </c>
    </row>
    <row r="117" spans="1:40">
      <c r="A117" t="s">
        <v>1254</v>
      </c>
      <c r="B117" t="s">
        <v>34</v>
      </c>
      <c r="C117" t="s">
        <v>79</v>
      </c>
      <c r="D117" t="s">
        <v>1255</v>
      </c>
      <c r="E117" s="1">
        <v>46076.629710648151</v>
      </c>
      <c r="F117" t="s">
        <v>26</v>
      </c>
      <c r="G117" t="s">
        <v>776</v>
      </c>
      <c r="H117" t="s">
        <v>3665</v>
      </c>
      <c r="I117" t="s">
        <v>1256</v>
      </c>
      <c r="J117" t="s">
        <v>765</v>
      </c>
      <c r="K117" t="s">
        <v>134</v>
      </c>
      <c r="M117" t="s">
        <v>3526</v>
      </c>
      <c r="O117" t="s">
        <v>3099</v>
      </c>
      <c r="P117" t="s">
        <v>3100</v>
      </c>
      <c r="Q117" t="s">
        <v>3713</v>
      </c>
      <c r="R117" t="s">
        <v>46</v>
      </c>
      <c r="S117" t="s">
        <v>188</v>
      </c>
      <c r="T117" t="s">
        <v>521</v>
      </c>
      <c r="U117" s="1">
        <v>46077.621527777781</v>
      </c>
      <c r="V117" t="s">
        <v>31</v>
      </c>
      <c r="W117" t="s">
        <v>33</v>
      </c>
      <c r="X117" t="s">
        <v>3525</v>
      </c>
      <c r="Y117" t="s">
        <v>3204</v>
      </c>
      <c r="Z117" t="s">
        <v>38</v>
      </c>
      <c r="AA117" t="s">
        <v>31</v>
      </c>
      <c r="AB117" t="s">
        <v>49</v>
      </c>
      <c r="AC117" t="s">
        <v>30</v>
      </c>
      <c r="AD117" t="s">
        <v>46</v>
      </c>
      <c r="AE117" t="s">
        <v>188</v>
      </c>
      <c r="AF117" t="s">
        <v>521</v>
      </c>
      <c r="AG117" t="s">
        <v>38</v>
      </c>
      <c r="AH117">
        <v>4676</v>
      </c>
      <c r="AK117">
        <v>1</v>
      </c>
      <c r="AL117" t="s">
        <v>181</v>
      </c>
      <c r="AM117" t="s">
        <v>1257</v>
      </c>
      <c r="AN117" t="s">
        <v>1258</v>
      </c>
    </row>
    <row r="118" spans="1:40">
      <c r="A118" t="s">
        <v>1269</v>
      </c>
      <c r="B118" t="s">
        <v>34</v>
      </c>
      <c r="C118" t="s">
        <v>1270</v>
      </c>
      <c r="D118" t="s">
        <v>1271</v>
      </c>
      <c r="E118" s="1">
        <v>46076.6091087963</v>
      </c>
      <c r="F118" t="s">
        <v>26</v>
      </c>
      <c r="G118" t="s">
        <v>776</v>
      </c>
      <c r="H118" t="s">
        <v>3665</v>
      </c>
      <c r="I118" t="s">
        <v>1272</v>
      </c>
      <c r="J118" t="s">
        <v>253</v>
      </c>
      <c r="K118" t="s">
        <v>44</v>
      </c>
      <c r="M118" t="s">
        <v>3526</v>
      </c>
      <c r="O118" t="s">
        <v>3099</v>
      </c>
      <c r="P118" t="s">
        <v>3100</v>
      </c>
      <c r="Q118" t="s">
        <v>3714</v>
      </c>
      <c r="R118" t="s">
        <v>46</v>
      </c>
      <c r="S118" t="s">
        <v>47</v>
      </c>
      <c r="T118" t="s">
        <v>48</v>
      </c>
      <c r="U118" s="1">
        <v>46077.407395833332</v>
      </c>
      <c r="V118" t="s">
        <v>31</v>
      </c>
      <c r="W118" t="s">
        <v>33</v>
      </c>
      <c r="X118" t="s">
        <v>3530</v>
      </c>
      <c r="Y118" t="s">
        <v>3205</v>
      </c>
      <c r="Z118" t="s">
        <v>38</v>
      </c>
      <c r="AA118" t="s">
        <v>31</v>
      </c>
      <c r="AB118" t="s">
        <v>367</v>
      </c>
      <c r="AC118" t="s">
        <v>30</v>
      </c>
      <c r="AD118" t="s">
        <v>46</v>
      </c>
      <c r="AE118" t="s">
        <v>47</v>
      </c>
      <c r="AF118" t="s">
        <v>48</v>
      </c>
      <c r="AG118" t="s">
        <v>38</v>
      </c>
      <c r="AH118">
        <v>10699</v>
      </c>
      <c r="AK118">
        <v>0</v>
      </c>
      <c r="AL118" t="s">
        <v>32</v>
      </c>
      <c r="AM118" t="s">
        <v>1273</v>
      </c>
      <c r="AN118" t="s">
        <v>1274</v>
      </c>
    </row>
    <row r="119" spans="1:40">
      <c r="A119" t="s">
        <v>1275</v>
      </c>
      <c r="B119" t="s">
        <v>24</v>
      </c>
      <c r="C119" t="s">
        <v>1276</v>
      </c>
      <c r="D119" t="s">
        <v>172</v>
      </c>
      <c r="E119" s="1">
        <v>46076.604571759257</v>
      </c>
      <c r="F119" t="s">
        <v>1277</v>
      </c>
      <c r="G119" t="s">
        <v>776</v>
      </c>
      <c r="H119" t="s">
        <v>3666</v>
      </c>
      <c r="I119" t="s">
        <v>1003</v>
      </c>
      <c r="J119" t="s">
        <v>253</v>
      </c>
      <c r="K119" t="s">
        <v>44</v>
      </c>
      <c r="M119" t="s">
        <v>3526</v>
      </c>
      <c r="O119" t="s">
        <v>3103</v>
      </c>
      <c r="P119" t="s">
        <v>3104</v>
      </c>
      <c r="R119" t="s">
        <v>46</v>
      </c>
      <c r="S119" t="s">
        <v>443</v>
      </c>
      <c r="T119" t="s">
        <v>792</v>
      </c>
      <c r="U119" s="1">
        <v>46077.410474537035</v>
      </c>
      <c r="V119" t="s">
        <v>31</v>
      </c>
      <c r="W119" t="s">
        <v>33</v>
      </c>
      <c r="X119" t="s">
        <v>3530</v>
      </c>
      <c r="Y119" t="s">
        <v>3176</v>
      </c>
      <c r="Z119" t="s">
        <v>38</v>
      </c>
      <c r="AA119" t="s">
        <v>31</v>
      </c>
      <c r="AB119" t="s">
        <v>367</v>
      </c>
      <c r="AC119" t="s">
        <v>86</v>
      </c>
      <c r="AD119" t="s">
        <v>46</v>
      </c>
      <c r="AE119" t="s">
        <v>3113</v>
      </c>
      <c r="AF119" t="s">
        <v>3153</v>
      </c>
      <c r="AG119" t="s">
        <v>38</v>
      </c>
      <c r="AH119">
        <v>14806</v>
      </c>
      <c r="AK119">
        <v>0</v>
      </c>
      <c r="AL119" t="s">
        <v>32</v>
      </c>
      <c r="AM119" t="s">
        <v>1278</v>
      </c>
      <c r="AN119" t="s">
        <v>1279</v>
      </c>
    </row>
    <row r="120" spans="1:40">
      <c r="A120" t="s">
        <v>1280</v>
      </c>
      <c r="B120" t="s">
        <v>34</v>
      </c>
      <c r="C120" t="s">
        <v>737</v>
      </c>
      <c r="D120" t="s">
        <v>738</v>
      </c>
      <c r="E120" s="1">
        <v>46076.603310185186</v>
      </c>
      <c r="F120" t="s">
        <v>153</v>
      </c>
      <c r="G120" t="s">
        <v>776</v>
      </c>
      <c r="H120" t="s">
        <v>3669</v>
      </c>
      <c r="I120" t="s">
        <v>1281</v>
      </c>
      <c r="J120" t="s">
        <v>320</v>
      </c>
      <c r="K120" t="s">
        <v>134</v>
      </c>
      <c r="M120" t="s">
        <v>3526</v>
      </c>
      <c r="O120" t="s">
        <v>3099</v>
      </c>
      <c r="P120" t="s">
        <v>3100</v>
      </c>
      <c r="Q120" t="s">
        <v>3678</v>
      </c>
      <c r="R120" t="s">
        <v>46</v>
      </c>
      <c r="S120" t="s">
        <v>495</v>
      </c>
      <c r="T120" t="s">
        <v>496</v>
      </c>
      <c r="U120" s="1">
        <v>46077.430625000001</v>
      </c>
      <c r="V120" t="s">
        <v>31</v>
      </c>
      <c r="W120" t="s">
        <v>33</v>
      </c>
      <c r="X120" t="s">
        <v>3525</v>
      </c>
      <c r="Y120" t="s">
        <v>3206</v>
      </c>
      <c r="Z120" t="s">
        <v>38</v>
      </c>
      <c r="AA120" t="s">
        <v>31</v>
      </c>
      <c r="AB120" t="s">
        <v>137</v>
      </c>
      <c r="AC120" t="s">
        <v>30</v>
      </c>
      <c r="AD120" t="s">
        <v>46</v>
      </c>
      <c r="AE120" t="s">
        <v>94</v>
      </c>
      <c r="AF120" t="s">
        <v>3207</v>
      </c>
      <c r="AG120" t="s">
        <v>38</v>
      </c>
      <c r="AH120" t="s">
        <v>3577</v>
      </c>
      <c r="AK120">
        <v>1</v>
      </c>
      <c r="AL120" t="s">
        <v>32</v>
      </c>
      <c r="AM120" t="s">
        <v>740</v>
      </c>
      <c r="AN120" t="s">
        <v>741</v>
      </c>
    </row>
    <row r="121" spans="1:40">
      <c r="A121" t="s">
        <v>1288</v>
      </c>
      <c r="B121" t="s">
        <v>34</v>
      </c>
      <c r="C121" t="s">
        <v>1289</v>
      </c>
      <c r="D121" t="s">
        <v>172</v>
      </c>
      <c r="E121" s="1">
        <v>46076.561388888891</v>
      </c>
      <c r="F121" t="s">
        <v>67</v>
      </c>
      <c r="G121" t="s">
        <v>776</v>
      </c>
      <c r="H121" t="s">
        <v>3671</v>
      </c>
      <c r="I121" t="s">
        <v>505</v>
      </c>
      <c r="J121" t="s">
        <v>205</v>
      </c>
      <c r="K121" t="s">
        <v>44</v>
      </c>
      <c r="M121" t="s">
        <v>3526</v>
      </c>
      <c r="O121" t="s">
        <v>3099</v>
      </c>
      <c r="P121" t="s">
        <v>3100</v>
      </c>
      <c r="Q121" t="s">
        <v>3683</v>
      </c>
      <c r="R121" t="s">
        <v>46</v>
      </c>
      <c r="S121" t="s">
        <v>348</v>
      </c>
      <c r="T121" t="s">
        <v>506</v>
      </c>
      <c r="U121" s="1">
        <v>46076.561863425923</v>
      </c>
      <c r="V121" t="s">
        <v>31</v>
      </c>
      <c r="W121" t="s">
        <v>33</v>
      </c>
      <c r="X121" t="s">
        <v>3530</v>
      </c>
      <c r="Y121" t="s">
        <v>3208</v>
      </c>
      <c r="Z121" t="s">
        <v>38</v>
      </c>
      <c r="AA121" t="s">
        <v>31</v>
      </c>
      <c r="AB121" t="s">
        <v>206</v>
      </c>
      <c r="AC121" t="s">
        <v>30</v>
      </c>
      <c r="AD121" t="s">
        <v>46</v>
      </c>
      <c r="AE121" t="s">
        <v>348</v>
      </c>
      <c r="AF121" t="s">
        <v>506</v>
      </c>
      <c r="AG121" t="s">
        <v>38</v>
      </c>
      <c r="AH121">
        <v>5873</v>
      </c>
      <c r="AK121">
        <v>0</v>
      </c>
      <c r="AL121" t="s">
        <v>32</v>
      </c>
      <c r="AM121" t="s">
        <v>1290</v>
      </c>
      <c r="AN121" t="s">
        <v>1291</v>
      </c>
    </row>
    <row r="122" spans="1:40">
      <c r="A122" t="s">
        <v>1297</v>
      </c>
      <c r="B122" t="s">
        <v>24</v>
      </c>
      <c r="C122" t="s">
        <v>1298</v>
      </c>
      <c r="D122" t="s">
        <v>1299</v>
      </c>
      <c r="E122" s="1">
        <v>46076.546238425923</v>
      </c>
      <c r="F122" t="s">
        <v>93</v>
      </c>
      <c r="G122" t="s">
        <v>776</v>
      </c>
      <c r="H122" t="s">
        <v>3666</v>
      </c>
      <c r="I122" t="s">
        <v>1300</v>
      </c>
      <c r="J122" t="s">
        <v>1301</v>
      </c>
      <c r="K122" t="s">
        <v>134</v>
      </c>
      <c r="M122" t="s">
        <v>3526</v>
      </c>
      <c r="O122" t="s">
        <v>3103</v>
      </c>
      <c r="P122" t="s">
        <v>3104</v>
      </c>
      <c r="Q122" t="s">
        <v>3678</v>
      </c>
      <c r="R122" t="s">
        <v>162</v>
      </c>
      <c r="S122" t="s">
        <v>163</v>
      </c>
      <c r="T122" t="s">
        <v>164</v>
      </c>
      <c r="U122" s="1">
        <v>46077.472951388889</v>
      </c>
      <c r="V122" t="s">
        <v>31</v>
      </c>
      <c r="W122" t="s">
        <v>33</v>
      </c>
      <c r="X122" t="s">
        <v>3536</v>
      </c>
      <c r="Y122" t="s">
        <v>3209</v>
      </c>
      <c r="Z122" t="s">
        <v>38</v>
      </c>
      <c r="AA122" t="s">
        <v>31</v>
      </c>
      <c r="AB122" t="s">
        <v>104</v>
      </c>
      <c r="AC122" t="s">
        <v>86</v>
      </c>
      <c r="AD122" t="s">
        <v>27</v>
      </c>
      <c r="AE122" t="s">
        <v>28</v>
      </c>
      <c r="AF122" t="s">
        <v>1230</v>
      </c>
      <c r="AG122" t="s">
        <v>38</v>
      </c>
      <c r="AH122" t="s">
        <v>3605</v>
      </c>
      <c r="AK122">
        <v>2</v>
      </c>
      <c r="AL122" t="s">
        <v>32</v>
      </c>
      <c r="AM122" t="s">
        <v>1302</v>
      </c>
      <c r="AN122" t="s">
        <v>1303</v>
      </c>
    </row>
    <row r="123" spans="1:40">
      <c r="A123" t="s">
        <v>1318</v>
      </c>
      <c r="B123" t="s">
        <v>34</v>
      </c>
      <c r="C123" t="s">
        <v>311</v>
      </c>
      <c r="D123" t="s">
        <v>435</v>
      </c>
      <c r="E123" s="1">
        <v>46076.539004629631</v>
      </c>
      <c r="F123" t="s">
        <v>238</v>
      </c>
      <c r="G123" t="s">
        <v>776</v>
      </c>
      <c r="H123" t="s">
        <v>3665</v>
      </c>
      <c r="I123" t="s">
        <v>535</v>
      </c>
      <c r="J123" t="s">
        <v>733</v>
      </c>
      <c r="K123" t="s">
        <v>44</v>
      </c>
      <c r="M123" t="s">
        <v>3526</v>
      </c>
      <c r="O123" t="s">
        <v>3099</v>
      </c>
      <c r="P123" t="s">
        <v>3100</v>
      </c>
      <c r="Q123" t="s">
        <v>3685</v>
      </c>
      <c r="R123" t="s">
        <v>46</v>
      </c>
      <c r="S123" t="s">
        <v>188</v>
      </c>
      <c r="T123" t="s">
        <v>431</v>
      </c>
      <c r="U123" s="1">
        <v>46076.539305555554</v>
      </c>
      <c r="V123" t="s">
        <v>31</v>
      </c>
      <c r="W123" t="s">
        <v>33</v>
      </c>
      <c r="X123" t="s">
        <v>3530</v>
      </c>
      <c r="Y123" t="s">
        <v>3210</v>
      </c>
      <c r="Z123" t="s">
        <v>38</v>
      </c>
      <c r="AA123" t="s">
        <v>31</v>
      </c>
      <c r="AB123" t="s">
        <v>726</v>
      </c>
      <c r="AC123" t="s">
        <v>30</v>
      </c>
      <c r="AD123" t="s">
        <v>46</v>
      </c>
      <c r="AE123" t="s">
        <v>188</v>
      </c>
      <c r="AF123" t="s">
        <v>431</v>
      </c>
      <c r="AG123" t="s">
        <v>38</v>
      </c>
      <c r="AH123">
        <v>11503</v>
      </c>
      <c r="AK123">
        <v>0</v>
      </c>
      <c r="AL123" t="s">
        <v>32</v>
      </c>
      <c r="AM123" t="s">
        <v>1004</v>
      </c>
      <c r="AN123" t="s">
        <v>1005</v>
      </c>
    </row>
    <row r="124" spans="1:40">
      <c r="A124" t="s">
        <v>1321</v>
      </c>
      <c r="B124" t="s">
        <v>34</v>
      </c>
      <c r="C124" t="s">
        <v>241</v>
      </c>
      <c r="D124" t="s">
        <v>332</v>
      </c>
      <c r="E124" s="1">
        <v>46076.525509259256</v>
      </c>
      <c r="F124" t="s">
        <v>262</v>
      </c>
      <c r="G124" t="s">
        <v>776</v>
      </c>
      <c r="H124" t="s">
        <v>3666</v>
      </c>
      <c r="I124" t="s">
        <v>505</v>
      </c>
      <c r="J124" t="s">
        <v>205</v>
      </c>
      <c r="K124" t="s">
        <v>44</v>
      </c>
      <c r="M124" t="s">
        <v>3526</v>
      </c>
      <c r="O124" t="s">
        <v>3099</v>
      </c>
      <c r="P124" t="s">
        <v>3100</v>
      </c>
      <c r="Q124" t="s">
        <v>3678</v>
      </c>
      <c r="R124" t="s">
        <v>46</v>
      </c>
      <c r="S124" t="s">
        <v>348</v>
      </c>
      <c r="T124" t="s">
        <v>506</v>
      </c>
      <c r="U124" s="1">
        <v>46076.537395833337</v>
      </c>
      <c r="V124" t="s">
        <v>31</v>
      </c>
      <c r="W124" t="s">
        <v>33</v>
      </c>
      <c r="X124" t="s">
        <v>3530</v>
      </c>
      <c r="Y124" t="s">
        <v>3211</v>
      </c>
      <c r="Z124" t="s">
        <v>38</v>
      </c>
      <c r="AA124" t="s">
        <v>31</v>
      </c>
      <c r="AB124" t="s">
        <v>206</v>
      </c>
      <c r="AC124" t="s">
        <v>30</v>
      </c>
      <c r="AD124" t="s">
        <v>46</v>
      </c>
      <c r="AE124" t="s">
        <v>348</v>
      </c>
      <c r="AF124" t="s">
        <v>506</v>
      </c>
      <c r="AG124" t="s">
        <v>38</v>
      </c>
      <c r="AH124">
        <v>15837</v>
      </c>
      <c r="AK124">
        <v>0</v>
      </c>
      <c r="AL124" t="s">
        <v>32</v>
      </c>
      <c r="AM124" t="s">
        <v>1322</v>
      </c>
      <c r="AN124" t="s">
        <v>1323</v>
      </c>
    </row>
    <row r="125" spans="1:40">
      <c r="A125" t="s">
        <v>1324</v>
      </c>
      <c r="B125" t="s">
        <v>34</v>
      </c>
      <c r="C125" t="s">
        <v>825</v>
      </c>
      <c r="D125" t="s">
        <v>842</v>
      </c>
      <c r="E125" s="1">
        <v>46076.520185185182</v>
      </c>
      <c r="F125" t="s">
        <v>62</v>
      </c>
      <c r="G125" t="s">
        <v>776</v>
      </c>
      <c r="H125" t="s">
        <v>3668</v>
      </c>
      <c r="I125" t="s">
        <v>252</v>
      </c>
      <c r="J125" t="s">
        <v>179</v>
      </c>
      <c r="K125" t="s">
        <v>44</v>
      </c>
      <c r="M125" t="s">
        <v>3526</v>
      </c>
      <c r="O125" t="s">
        <v>3099</v>
      </c>
      <c r="P125" t="s">
        <v>3100</v>
      </c>
      <c r="Q125" t="s">
        <v>3678</v>
      </c>
      <c r="R125" t="s">
        <v>162</v>
      </c>
      <c r="S125" t="s">
        <v>163</v>
      </c>
      <c r="T125" t="s">
        <v>164</v>
      </c>
      <c r="U125" s="1">
        <v>46077.472280092596</v>
      </c>
      <c r="V125" t="s">
        <v>31</v>
      </c>
      <c r="W125" t="s">
        <v>33</v>
      </c>
      <c r="X125" t="s">
        <v>3536</v>
      </c>
      <c r="Y125" t="s">
        <v>3212</v>
      </c>
      <c r="Z125" t="s">
        <v>38</v>
      </c>
      <c r="AA125" t="s">
        <v>31</v>
      </c>
      <c r="AB125" t="s">
        <v>104</v>
      </c>
      <c r="AC125" t="s">
        <v>30</v>
      </c>
      <c r="AD125" t="s">
        <v>46</v>
      </c>
      <c r="AE125" t="s">
        <v>47</v>
      </c>
      <c r="AF125" t="s">
        <v>3213</v>
      </c>
      <c r="AG125" t="s">
        <v>38</v>
      </c>
      <c r="AH125">
        <v>15060</v>
      </c>
      <c r="AK125">
        <v>2</v>
      </c>
      <c r="AL125" t="s">
        <v>32</v>
      </c>
      <c r="AM125" t="s">
        <v>843</v>
      </c>
      <c r="AN125" t="s">
        <v>844</v>
      </c>
    </row>
    <row r="126" spans="1:40">
      <c r="A126" t="s">
        <v>1325</v>
      </c>
      <c r="B126" t="s">
        <v>34</v>
      </c>
      <c r="C126" t="s">
        <v>825</v>
      </c>
      <c r="D126" t="s">
        <v>842</v>
      </c>
      <c r="E126" s="1">
        <v>46076.519363425927</v>
      </c>
      <c r="F126" t="s">
        <v>62</v>
      </c>
      <c r="G126" t="s">
        <v>776</v>
      </c>
      <c r="H126" t="s">
        <v>3668</v>
      </c>
      <c r="I126" t="s">
        <v>252</v>
      </c>
      <c r="J126" t="s">
        <v>205</v>
      </c>
      <c r="K126" t="s">
        <v>44</v>
      </c>
      <c r="M126" t="s">
        <v>3526</v>
      </c>
      <c r="O126" t="s">
        <v>3099</v>
      </c>
      <c r="P126" t="s">
        <v>3100</v>
      </c>
      <c r="Q126" t="s">
        <v>3678</v>
      </c>
      <c r="R126" t="s">
        <v>162</v>
      </c>
      <c r="S126" t="s">
        <v>163</v>
      </c>
      <c r="T126" t="s">
        <v>164</v>
      </c>
      <c r="U126" s="1">
        <v>46078.543553240743</v>
      </c>
      <c r="V126" t="s">
        <v>31</v>
      </c>
      <c r="W126" t="s">
        <v>33</v>
      </c>
      <c r="X126" t="s">
        <v>3536</v>
      </c>
      <c r="Y126" t="s">
        <v>3214</v>
      </c>
      <c r="Z126" t="s">
        <v>38</v>
      </c>
      <c r="AA126" t="s">
        <v>31</v>
      </c>
      <c r="AB126" t="s">
        <v>104</v>
      </c>
      <c r="AC126" t="s">
        <v>30</v>
      </c>
      <c r="AD126" t="s">
        <v>46</v>
      </c>
      <c r="AE126" t="s">
        <v>515</v>
      </c>
      <c r="AF126" t="s">
        <v>2177</v>
      </c>
      <c r="AG126" t="s">
        <v>38</v>
      </c>
      <c r="AH126">
        <v>15060</v>
      </c>
      <c r="AK126">
        <v>11</v>
      </c>
      <c r="AL126" t="s">
        <v>32</v>
      </c>
      <c r="AM126" t="s">
        <v>843</v>
      </c>
      <c r="AN126" t="s">
        <v>844</v>
      </c>
    </row>
    <row r="127" spans="1:40">
      <c r="A127" t="s">
        <v>1334</v>
      </c>
      <c r="B127" t="s">
        <v>24</v>
      </c>
      <c r="C127" t="s">
        <v>704</v>
      </c>
      <c r="D127" t="s">
        <v>1112</v>
      </c>
      <c r="E127" s="1">
        <v>46076.514803240738</v>
      </c>
      <c r="F127" t="s">
        <v>298</v>
      </c>
      <c r="G127" t="s">
        <v>776</v>
      </c>
      <c r="H127" t="s">
        <v>3669</v>
      </c>
      <c r="I127" t="s">
        <v>1335</v>
      </c>
      <c r="J127" t="s">
        <v>411</v>
      </c>
      <c r="K127" t="s">
        <v>44</v>
      </c>
      <c r="M127" t="s">
        <v>3526</v>
      </c>
      <c r="O127" t="s">
        <v>3103</v>
      </c>
      <c r="P127" t="s">
        <v>3104</v>
      </c>
      <c r="Q127" t="s">
        <v>3678</v>
      </c>
      <c r="R127" t="s">
        <v>46</v>
      </c>
      <c r="S127" t="s">
        <v>197</v>
      </c>
      <c r="T127" t="s">
        <v>875</v>
      </c>
      <c r="U127" s="1">
        <v>46076.527962962966</v>
      </c>
      <c r="V127" t="s">
        <v>31</v>
      </c>
      <c r="W127" t="s">
        <v>33</v>
      </c>
      <c r="X127" t="s">
        <v>3530</v>
      </c>
      <c r="Y127" t="s">
        <v>3215</v>
      </c>
      <c r="Z127" t="s">
        <v>38</v>
      </c>
      <c r="AA127" t="s">
        <v>31</v>
      </c>
      <c r="AB127" t="s">
        <v>413</v>
      </c>
      <c r="AC127" t="s">
        <v>86</v>
      </c>
      <c r="AD127" t="s">
        <v>46</v>
      </c>
      <c r="AE127" t="s">
        <v>197</v>
      </c>
      <c r="AF127" t="s">
        <v>875</v>
      </c>
      <c r="AG127" t="s">
        <v>38</v>
      </c>
      <c r="AH127">
        <v>15347</v>
      </c>
      <c r="AK127">
        <v>2</v>
      </c>
      <c r="AL127" t="s">
        <v>32</v>
      </c>
      <c r="AM127" t="s">
        <v>1113</v>
      </c>
      <c r="AN127" t="s">
        <v>1114</v>
      </c>
    </row>
    <row r="128" spans="1:40">
      <c r="A128" t="s">
        <v>1342</v>
      </c>
      <c r="B128" t="s">
        <v>34</v>
      </c>
      <c r="C128" t="s">
        <v>1343</v>
      </c>
      <c r="D128" t="s">
        <v>1344</v>
      </c>
      <c r="E128" s="1">
        <v>46076.512546296297</v>
      </c>
      <c r="F128" t="s">
        <v>150</v>
      </c>
      <c r="G128" t="s">
        <v>776</v>
      </c>
      <c r="H128" t="s">
        <v>3671</v>
      </c>
      <c r="I128" t="s">
        <v>1345</v>
      </c>
      <c r="J128" t="s">
        <v>179</v>
      </c>
      <c r="K128" t="s">
        <v>44</v>
      </c>
      <c r="M128" t="s">
        <v>3526</v>
      </c>
      <c r="O128" t="s">
        <v>3099</v>
      </c>
      <c r="P128" t="s">
        <v>3100</v>
      </c>
      <c r="Q128" t="s">
        <v>3694</v>
      </c>
      <c r="R128" t="s">
        <v>46</v>
      </c>
      <c r="S128" t="s">
        <v>1346</v>
      </c>
      <c r="T128" t="s">
        <v>1347</v>
      </c>
      <c r="U128" s="1">
        <v>46076.524733796294</v>
      </c>
      <c r="V128" t="s">
        <v>31</v>
      </c>
      <c r="W128" t="s">
        <v>33</v>
      </c>
      <c r="X128" t="s">
        <v>3525</v>
      </c>
      <c r="Y128" t="s">
        <v>3216</v>
      </c>
      <c r="Z128" t="s">
        <v>38</v>
      </c>
      <c r="AA128" t="s">
        <v>31</v>
      </c>
      <c r="AB128" t="s">
        <v>243</v>
      </c>
      <c r="AC128" t="s">
        <v>30</v>
      </c>
      <c r="AD128" t="s">
        <v>46</v>
      </c>
      <c r="AE128" t="s">
        <v>348</v>
      </c>
      <c r="AF128" t="s">
        <v>3197</v>
      </c>
      <c r="AG128" t="s">
        <v>38</v>
      </c>
      <c r="AH128">
        <v>3102</v>
      </c>
      <c r="AK128">
        <v>1</v>
      </c>
      <c r="AL128" t="s">
        <v>181</v>
      </c>
      <c r="AM128" t="s">
        <v>1348</v>
      </c>
      <c r="AN128" t="s">
        <v>1349</v>
      </c>
    </row>
    <row r="129" spans="1:40">
      <c r="A129" t="s">
        <v>1350</v>
      </c>
      <c r="B129" t="s">
        <v>34</v>
      </c>
      <c r="C129" t="s">
        <v>278</v>
      </c>
      <c r="D129" t="s">
        <v>279</v>
      </c>
      <c r="E129" s="1">
        <v>46076.510567129626</v>
      </c>
      <c r="F129" t="s">
        <v>245</v>
      </c>
      <c r="G129" t="s">
        <v>776</v>
      </c>
      <c r="H129" t="s">
        <v>3665</v>
      </c>
      <c r="I129" t="s">
        <v>430</v>
      </c>
      <c r="J129" t="s">
        <v>253</v>
      </c>
      <c r="K129" t="s">
        <v>44</v>
      </c>
      <c r="M129" t="s">
        <v>3526</v>
      </c>
      <c r="O129" t="s">
        <v>3099</v>
      </c>
      <c r="P129" t="s">
        <v>3100</v>
      </c>
      <c r="Q129" t="s">
        <v>3678</v>
      </c>
      <c r="R129" t="s">
        <v>46</v>
      </c>
      <c r="S129" t="s">
        <v>188</v>
      </c>
      <c r="T129" t="s">
        <v>431</v>
      </c>
      <c r="U129" s="1">
        <v>46077.393437500003</v>
      </c>
      <c r="V129" t="s">
        <v>31</v>
      </c>
      <c r="W129" t="s">
        <v>33</v>
      </c>
      <c r="X129" t="s">
        <v>3530</v>
      </c>
      <c r="Y129" t="s">
        <v>3175</v>
      </c>
      <c r="Z129" t="s">
        <v>38</v>
      </c>
      <c r="AA129" t="s">
        <v>31</v>
      </c>
      <c r="AB129" t="s">
        <v>367</v>
      </c>
      <c r="AC129" t="s">
        <v>30</v>
      </c>
      <c r="AD129" t="s">
        <v>46</v>
      </c>
      <c r="AE129" t="s">
        <v>188</v>
      </c>
      <c r="AF129" t="s">
        <v>431</v>
      </c>
      <c r="AG129" t="s">
        <v>38</v>
      </c>
      <c r="AH129">
        <v>12824</v>
      </c>
      <c r="AK129">
        <v>0</v>
      </c>
      <c r="AL129" t="s">
        <v>32</v>
      </c>
      <c r="AM129" t="s">
        <v>280</v>
      </c>
      <c r="AN129" t="s">
        <v>281</v>
      </c>
    </row>
    <row r="130" spans="1:40">
      <c r="A130" t="s">
        <v>1351</v>
      </c>
      <c r="B130" t="s">
        <v>24</v>
      </c>
      <c r="C130" t="s">
        <v>483</v>
      </c>
      <c r="D130" t="s">
        <v>970</v>
      </c>
      <c r="E130" s="1">
        <v>46076.510798611111</v>
      </c>
      <c r="F130" t="s">
        <v>186</v>
      </c>
      <c r="G130" t="s">
        <v>776</v>
      </c>
      <c r="H130" t="s">
        <v>3667</v>
      </c>
      <c r="I130" t="s">
        <v>1352</v>
      </c>
      <c r="J130" t="s">
        <v>1219</v>
      </c>
      <c r="K130" t="s">
        <v>134</v>
      </c>
      <c r="M130" t="s">
        <v>3529</v>
      </c>
      <c r="O130" t="s">
        <v>3103</v>
      </c>
      <c r="P130" t="s">
        <v>3104</v>
      </c>
      <c r="Q130" t="s">
        <v>3678</v>
      </c>
      <c r="R130" t="s">
        <v>46</v>
      </c>
      <c r="S130" t="s">
        <v>1353</v>
      </c>
      <c r="T130" t="s">
        <v>1354</v>
      </c>
      <c r="U130" s="1">
        <v>46076.632592592592</v>
      </c>
      <c r="V130" t="s">
        <v>31</v>
      </c>
      <c r="W130" t="s">
        <v>33</v>
      </c>
      <c r="X130" t="s">
        <v>3530</v>
      </c>
      <c r="Y130" t="s">
        <v>3217</v>
      </c>
      <c r="Z130" t="s">
        <v>38</v>
      </c>
      <c r="AA130" t="s">
        <v>31</v>
      </c>
      <c r="AB130" t="s">
        <v>190</v>
      </c>
      <c r="AC130" t="s">
        <v>86</v>
      </c>
      <c r="AD130" t="s">
        <v>46</v>
      </c>
      <c r="AE130" t="s">
        <v>3218</v>
      </c>
      <c r="AF130" t="s">
        <v>3218</v>
      </c>
      <c r="AG130" t="s">
        <v>38</v>
      </c>
      <c r="AH130">
        <v>6141</v>
      </c>
      <c r="AK130">
        <v>1</v>
      </c>
      <c r="AL130" t="s">
        <v>32</v>
      </c>
      <c r="AM130" t="s">
        <v>972</v>
      </c>
      <c r="AN130" t="s">
        <v>973</v>
      </c>
    </row>
    <row r="131" spans="1:40">
      <c r="A131" t="s">
        <v>1355</v>
      </c>
      <c r="B131" t="s">
        <v>34</v>
      </c>
      <c r="C131" t="s">
        <v>1356</v>
      </c>
      <c r="D131" t="s">
        <v>79</v>
      </c>
      <c r="E131" s="1">
        <v>46076.50712962963</v>
      </c>
      <c r="F131" t="s">
        <v>168</v>
      </c>
      <c r="G131" t="s">
        <v>776</v>
      </c>
      <c r="H131" t="s">
        <v>3669</v>
      </c>
      <c r="I131" t="s">
        <v>178</v>
      </c>
      <c r="J131" t="s">
        <v>699</v>
      </c>
      <c r="K131" t="s">
        <v>44</v>
      </c>
      <c r="M131" t="s">
        <v>3526</v>
      </c>
      <c r="O131" t="s">
        <v>3099</v>
      </c>
      <c r="P131" t="s">
        <v>3100</v>
      </c>
      <c r="Q131" t="s">
        <v>3678</v>
      </c>
      <c r="R131" t="s">
        <v>162</v>
      </c>
      <c r="S131" t="s">
        <v>163</v>
      </c>
      <c r="T131" t="s">
        <v>164</v>
      </c>
      <c r="U131" s="1">
        <v>46076.57234953704</v>
      </c>
      <c r="V131" t="s">
        <v>31</v>
      </c>
      <c r="W131" t="s">
        <v>33</v>
      </c>
      <c r="X131" t="s">
        <v>3536</v>
      </c>
      <c r="Y131" t="s">
        <v>3219</v>
      </c>
      <c r="Z131" t="s">
        <v>38</v>
      </c>
      <c r="AA131" t="s">
        <v>31</v>
      </c>
      <c r="AB131" t="s">
        <v>104</v>
      </c>
      <c r="AC131" t="s">
        <v>30</v>
      </c>
      <c r="AD131" t="s">
        <v>337</v>
      </c>
      <c r="AE131" t="s">
        <v>3221</v>
      </c>
      <c r="AF131" t="s">
        <v>3220</v>
      </c>
      <c r="AG131" t="s">
        <v>38</v>
      </c>
      <c r="AH131" t="s">
        <v>3609</v>
      </c>
      <c r="AK131">
        <v>3</v>
      </c>
      <c r="AL131" t="s">
        <v>32</v>
      </c>
      <c r="AM131" t="s">
        <v>1357</v>
      </c>
      <c r="AN131" t="s">
        <v>1358</v>
      </c>
    </row>
    <row r="132" spans="1:40">
      <c r="A132" t="s">
        <v>1369</v>
      </c>
      <c r="B132" t="s">
        <v>34</v>
      </c>
      <c r="C132" t="s">
        <v>887</v>
      </c>
      <c r="D132" t="s">
        <v>1370</v>
      </c>
      <c r="E132" s="1">
        <v>46076.504641203705</v>
      </c>
      <c r="F132" t="s">
        <v>101</v>
      </c>
      <c r="G132" t="s">
        <v>776</v>
      </c>
      <c r="H132" t="s">
        <v>3667</v>
      </c>
      <c r="I132" t="s">
        <v>543</v>
      </c>
      <c r="J132" t="s">
        <v>514</v>
      </c>
      <c r="K132" t="s">
        <v>44</v>
      </c>
      <c r="M132" t="s">
        <v>3526</v>
      </c>
      <c r="O132" t="s">
        <v>3099</v>
      </c>
      <c r="P132" t="s">
        <v>3100</v>
      </c>
      <c r="Q132" t="s">
        <v>3678</v>
      </c>
      <c r="R132" t="s">
        <v>46</v>
      </c>
      <c r="S132" t="s">
        <v>379</v>
      </c>
      <c r="T132" t="s">
        <v>379</v>
      </c>
      <c r="U132" s="1">
        <v>46076.505173611113</v>
      </c>
      <c r="V132" t="s">
        <v>31</v>
      </c>
      <c r="W132" t="s">
        <v>33</v>
      </c>
      <c r="X132" t="s">
        <v>3530</v>
      </c>
      <c r="Y132" t="s">
        <v>3222</v>
      </c>
      <c r="Z132" t="s">
        <v>38</v>
      </c>
      <c r="AA132" t="s">
        <v>31</v>
      </c>
      <c r="AB132" t="s">
        <v>266</v>
      </c>
      <c r="AC132" t="s">
        <v>30</v>
      </c>
      <c r="AD132" t="s">
        <v>46</v>
      </c>
      <c r="AE132" t="s">
        <v>379</v>
      </c>
      <c r="AF132" t="s">
        <v>379</v>
      </c>
      <c r="AG132" t="s">
        <v>38</v>
      </c>
      <c r="AH132">
        <v>14326</v>
      </c>
      <c r="AK132">
        <v>0</v>
      </c>
      <c r="AL132" t="s">
        <v>32</v>
      </c>
      <c r="AM132" t="s">
        <v>1371</v>
      </c>
      <c r="AN132" t="s">
        <v>1372</v>
      </c>
    </row>
    <row r="133" spans="1:40">
      <c r="A133" t="s">
        <v>1376</v>
      </c>
      <c r="B133" t="s">
        <v>34</v>
      </c>
      <c r="C133" t="s">
        <v>1377</v>
      </c>
      <c r="D133" t="s">
        <v>1378</v>
      </c>
      <c r="E133" s="1">
        <v>46076.501307870371</v>
      </c>
      <c r="F133" t="s">
        <v>26</v>
      </c>
      <c r="G133" t="s">
        <v>776</v>
      </c>
      <c r="H133" t="s">
        <v>3665</v>
      </c>
      <c r="I133" t="s">
        <v>1379</v>
      </c>
      <c r="J133" t="s">
        <v>253</v>
      </c>
      <c r="K133" t="s">
        <v>44</v>
      </c>
      <c r="M133" t="s">
        <v>3526</v>
      </c>
      <c r="O133" t="s">
        <v>3099</v>
      </c>
      <c r="P133" t="s">
        <v>3100</v>
      </c>
      <c r="Q133" t="s">
        <v>3678</v>
      </c>
      <c r="R133" t="s">
        <v>27</v>
      </c>
      <c r="S133" t="s">
        <v>28</v>
      </c>
      <c r="T133" t="s">
        <v>839</v>
      </c>
      <c r="U133" s="1">
        <v>46077.392777777779</v>
      </c>
      <c r="V133" t="s">
        <v>31</v>
      </c>
      <c r="W133" t="s">
        <v>33</v>
      </c>
      <c r="X133" t="s">
        <v>3530</v>
      </c>
      <c r="Y133" t="s">
        <v>3223</v>
      </c>
      <c r="Z133" t="s">
        <v>38</v>
      </c>
      <c r="AA133" t="s">
        <v>31</v>
      </c>
      <c r="AB133" t="s">
        <v>367</v>
      </c>
      <c r="AC133" t="s">
        <v>30</v>
      </c>
      <c r="AD133" t="s">
        <v>27</v>
      </c>
      <c r="AE133" t="s">
        <v>28</v>
      </c>
      <c r="AF133" t="s">
        <v>839</v>
      </c>
      <c r="AG133" t="s">
        <v>38</v>
      </c>
      <c r="AH133">
        <v>13774</v>
      </c>
      <c r="AK133">
        <v>0</v>
      </c>
      <c r="AL133" t="s">
        <v>32</v>
      </c>
      <c r="AM133" t="s">
        <v>1380</v>
      </c>
      <c r="AN133" t="s">
        <v>1381</v>
      </c>
    </row>
    <row r="134" spans="1:40">
      <c r="A134" t="s">
        <v>1382</v>
      </c>
      <c r="B134" t="s">
        <v>34</v>
      </c>
      <c r="C134" t="s">
        <v>1383</v>
      </c>
      <c r="D134" t="s">
        <v>1384</v>
      </c>
      <c r="E134" s="1">
        <v>46076.538449074076</v>
      </c>
      <c r="F134" t="s">
        <v>702</v>
      </c>
      <c r="G134" t="s">
        <v>776</v>
      </c>
      <c r="H134" t="s">
        <v>3670</v>
      </c>
      <c r="I134" t="s">
        <v>1385</v>
      </c>
      <c r="J134" t="s">
        <v>733</v>
      </c>
      <c r="K134" t="s">
        <v>44</v>
      </c>
      <c r="M134" t="s">
        <v>3526</v>
      </c>
      <c r="O134" t="s">
        <v>3099</v>
      </c>
      <c r="P134" t="s">
        <v>3100</v>
      </c>
      <c r="Q134" t="s">
        <v>3678</v>
      </c>
      <c r="R134" t="s">
        <v>46</v>
      </c>
      <c r="S134" t="s">
        <v>379</v>
      </c>
      <c r="T134" t="s">
        <v>379</v>
      </c>
      <c r="U134" s="1">
        <v>46076.538738425923</v>
      </c>
      <c r="V134" t="s">
        <v>31</v>
      </c>
      <c r="W134" t="s">
        <v>33</v>
      </c>
      <c r="X134" t="s">
        <v>3530</v>
      </c>
      <c r="Y134" t="s">
        <v>1385</v>
      </c>
      <c r="Z134" t="s">
        <v>38</v>
      </c>
      <c r="AA134" t="s">
        <v>31</v>
      </c>
      <c r="AB134" t="s">
        <v>726</v>
      </c>
      <c r="AC134" t="s">
        <v>30</v>
      </c>
      <c r="AD134" t="s">
        <v>46</v>
      </c>
      <c r="AE134" t="s">
        <v>379</v>
      </c>
      <c r="AF134" t="s">
        <v>379</v>
      </c>
      <c r="AG134" t="s">
        <v>38</v>
      </c>
      <c r="AH134">
        <v>15831</v>
      </c>
      <c r="AK134">
        <v>0</v>
      </c>
      <c r="AL134" t="s">
        <v>32</v>
      </c>
      <c r="AM134" t="s">
        <v>1386</v>
      </c>
      <c r="AN134" t="s">
        <v>1387</v>
      </c>
    </row>
    <row r="135" spans="1:40">
      <c r="A135" t="s">
        <v>1391</v>
      </c>
      <c r="B135" t="s">
        <v>34</v>
      </c>
      <c r="C135" t="s">
        <v>1392</v>
      </c>
      <c r="D135" t="s">
        <v>1393</v>
      </c>
      <c r="E135" s="1">
        <v>46076.497465277775</v>
      </c>
      <c r="F135" t="s">
        <v>26</v>
      </c>
      <c r="G135" t="s">
        <v>776</v>
      </c>
      <c r="H135" t="s">
        <v>3665</v>
      </c>
      <c r="I135" t="s">
        <v>1394</v>
      </c>
      <c r="J135" t="s">
        <v>179</v>
      </c>
      <c r="K135" t="s">
        <v>44</v>
      </c>
      <c r="M135" t="s">
        <v>3526</v>
      </c>
      <c r="O135" t="s">
        <v>3099</v>
      </c>
      <c r="P135" t="s">
        <v>3100</v>
      </c>
      <c r="Q135" t="s">
        <v>3714</v>
      </c>
      <c r="R135" t="s">
        <v>46</v>
      </c>
      <c r="S135" t="s">
        <v>47</v>
      </c>
      <c r="T135" t="s">
        <v>48</v>
      </c>
      <c r="U135" s="1">
        <v>46076.497708333336</v>
      </c>
      <c r="V135" t="s">
        <v>31</v>
      </c>
      <c r="W135" t="s">
        <v>33</v>
      </c>
      <c r="X135" t="s">
        <v>3530</v>
      </c>
      <c r="Y135" t="s">
        <v>3224</v>
      </c>
      <c r="Z135" t="s">
        <v>38</v>
      </c>
      <c r="AA135" t="s">
        <v>31</v>
      </c>
      <c r="AB135" t="s">
        <v>350</v>
      </c>
      <c r="AC135" t="s">
        <v>30</v>
      </c>
      <c r="AD135" t="s">
        <v>46</v>
      </c>
      <c r="AE135" t="s">
        <v>47</v>
      </c>
      <c r="AF135" t="s">
        <v>48</v>
      </c>
      <c r="AG135" t="s">
        <v>38</v>
      </c>
      <c r="AH135">
        <v>10635</v>
      </c>
      <c r="AK135">
        <v>0</v>
      </c>
      <c r="AL135" t="s">
        <v>32</v>
      </c>
      <c r="AM135" t="s">
        <v>1395</v>
      </c>
      <c r="AN135" t="s">
        <v>1396</v>
      </c>
    </row>
    <row r="136" spans="1:40">
      <c r="A136" t="s">
        <v>1397</v>
      </c>
      <c r="B136" t="s">
        <v>34</v>
      </c>
      <c r="C136" t="s">
        <v>1398</v>
      </c>
      <c r="D136" t="s">
        <v>170</v>
      </c>
      <c r="E136" s="1">
        <v>46076.494976851849</v>
      </c>
      <c r="F136" t="s">
        <v>35</v>
      </c>
      <c r="G136" t="s">
        <v>776</v>
      </c>
      <c r="H136" t="s">
        <v>3672</v>
      </c>
      <c r="I136" t="s">
        <v>178</v>
      </c>
      <c r="J136" t="s">
        <v>699</v>
      </c>
      <c r="K136" t="s">
        <v>44</v>
      </c>
      <c r="M136" t="s">
        <v>3526</v>
      </c>
      <c r="O136" t="s">
        <v>3099</v>
      </c>
      <c r="P136" t="s">
        <v>3100</v>
      </c>
      <c r="Q136" t="s">
        <v>3678</v>
      </c>
      <c r="R136" t="s">
        <v>162</v>
      </c>
      <c r="S136" t="s">
        <v>163</v>
      </c>
      <c r="T136" t="s">
        <v>164</v>
      </c>
      <c r="U136" s="1">
        <v>46076.538912037038</v>
      </c>
      <c r="V136" t="s">
        <v>31</v>
      </c>
      <c r="W136" t="s">
        <v>33</v>
      </c>
      <c r="X136" t="s">
        <v>3536</v>
      </c>
      <c r="Y136" t="s">
        <v>3225</v>
      </c>
      <c r="Z136" t="s">
        <v>38</v>
      </c>
      <c r="AA136" t="s">
        <v>31</v>
      </c>
      <c r="AB136" t="s">
        <v>104</v>
      </c>
      <c r="AC136" t="s">
        <v>30</v>
      </c>
      <c r="AD136" t="s">
        <v>337</v>
      </c>
      <c r="AE136" t="s">
        <v>3221</v>
      </c>
      <c r="AF136" t="s">
        <v>3220</v>
      </c>
      <c r="AG136" t="s">
        <v>38</v>
      </c>
      <c r="AH136">
        <v>15376</v>
      </c>
      <c r="AK136">
        <v>5</v>
      </c>
      <c r="AL136" t="s">
        <v>32</v>
      </c>
      <c r="AM136" t="s">
        <v>1399</v>
      </c>
      <c r="AN136" t="s">
        <v>1400</v>
      </c>
    </row>
    <row r="137" spans="1:40">
      <c r="A137" t="s">
        <v>1411</v>
      </c>
      <c r="B137" t="s">
        <v>24</v>
      </c>
      <c r="C137" t="s">
        <v>984</v>
      </c>
      <c r="D137" t="s">
        <v>1412</v>
      </c>
      <c r="E137" s="1">
        <v>46076.488842592589</v>
      </c>
      <c r="F137" t="s">
        <v>101</v>
      </c>
      <c r="G137" t="s">
        <v>776</v>
      </c>
      <c r="H137" t="s">
        <v>3667</v>
      </c>
      <c r="I137" t="s">
        <v>187</v>
      </c>
      <c r="J137" t="s">
        <v>411</v>
      </c>
      <c r="K137" t="s">
        <v>44</v>
      </c>
      <c r="M137" t="s">
        <v>3526</v>
      </c>
      <c r="O137" t="s">
        <v>3103</v>
      </c>
      <c r="P137" t="s">
        <v>3104</v>
      </c>
      <c r="Q137" t="s">
        <v>3721</v>
      </c>
      <c r="R137" t="s">
        <v>46</v>
      </c>
      <c r="S137" t="s">
        <v>188</v>
      </c>
      <c r="T137" t="s">
        <v>189</v>
      </c>
      <c r="U137" s="1">
        <v>46076.495324074072</v>
      </c>
      <c r="V137" t="s">
        <v>31</v>
      </c>
      <c r="W137" t="s">
        <v>33</v>
      </c>
      <c r="X137" t="s">
        <v>3530</v>
      </c>
      <c r="Y137" t="s">
        <v>3226</v>
      </c>
      <c r="Z137" t="s">
        <v>38</v>
      </c>
      <c r="AA137" t="s">
        <v>31</v>
      </c>
      <c r="AB137" t="s">
        <v>413</v>
      </c>
      <c r="AC137" t="s">
        <v>86</v>
      </c>
      <c r="AD137" t="s">
        <v>46</v>
      </c>
      <c r="AE137" t="s">
        <v>188</v>
      </c>
      <c r="AF137" t="s">
        <v>189</v>
      </c>
      <c r="AG137" t="s">
        <v>38</v>
      </c>
      <c r="AH137">
        <v>4210</v>
      </c>
      <c r="AK137">
        <v>0</v>
      </c>
      <c r="AL137" t="s">
        <v>32</v>
      </c>
      <c r="AM137" t="s">
        <v>1413</v>
      </c>
      <c r="AN137" t="s">
        <v>1414</v>
      </c>
    </row>
    <row r="138" spans="1:40">
      <c r="A138" t="s">
        <v>1424</v>
      </c>
      <c r="B138" t="s">
        <v>34</v>
      </c>
      <c r="C138" t="s">
        <v>1425</v>
      </c>
      <c r="D138" t="s">
        <v>1426</v>
      </c>
      <c r="E138" s="1">
        <v>46076.483842592592</v>
      </c>
      <c r="F138" t="s">
        <v>245</v>
      </c>
      <c r="G138" t="s">
        <v>776</v>
      </c>
      <c r="H138" t="s">
        <v>3665</v>
      </c>
      <c r="I138" t="s">
        <v>590</v>
      </c>
      <c r="J138" t="s">
        <v>205</v>
      </c>
      <c r="K138" t="s">
        <v>44</v>
      </c>
      <c r="M138" t="s">
        <v>3526</v>
      </c>
      <c r="O138" t="s">
        <v>3099</v>
      </c>
      <c r="P138" t="s">
        <v>3100</v>
      </c>
      <c r="Q138" t="s">
        <v>3678</v>
      </c>
      <c r="R138" t="s">
        <v>46</v>
      </c>
      <c r="S138" t="s">
        <v>379</v>
      </c>
      <c r="T138" t="s">
        <v>379</v>
      </c>
      <c r="U138" s="1">
        <v>46076.4840625</v>
      </c>
      <c r="V138" t="s">
        <v>31</v>
      </c>
      <c r="W138" t="s">
        <v>33</v>
      </c>
      <c r="X138" t="s">
        <v>3530</v>
      </c>
      <c r="Y138" t="s">
        <v>3132</v>
      </c>
      <c r="Z138" t="s">
        <v>38</v>
      </c>
      <c r="AA138" t="s">
        <v>31</v>
      </c>
      <c r="AB138" t="s">
        <v>206</v>
      </c>
      <c r="AC138" t="s">
        <v>30</v>
      </c>
      <c r="AD138" t="s">
        <v>46</v>
      </c>
      <c r="AE138" t="s">
        <v>379</v>
      </c>
      <c r="AF138" t="s">
        <v>379</v>
      </c>
      <c r="AG138" t="s">
        <v>38</v>
      </c>
      <c r="AH138">
        <v>15878</v>
      </c>
      <c r="AK138">
        <v>0</v>
      </c>
      <c r="AL138" t="s">
        <v>32</v>
      </c>
      <c r="AM138" t="s">
        <v>1427</v>
      </c>
      <c r="AN138" t="s">
        <v>1428</v>
      </c>
    </row>
    <row r="139" spans="1:40">
      <c r="A139" t="s">
        <v>1436</v>
      </c>
      <c r="B139" t="s">
        <v>34</v>
      </c>
      <c r="C139" t="s">
        <v>827</v>
      </c>
      <c r="D139" t="s">
        <v>828</v>
      </c>
      <c r="E139" s="1">
        <v>46076.476365740738</v>
      </c>
      <c r="F139" t="s">
        <v>26</v>
      </c>
      <c r="G139" t="s">
        <v>776</v>
      </c>
      <c r="H139" t="s">
        <v>3665</v>
      </c>
      <c r="I139" t="s">
        <v>1437</v>
      </c>
      <c r="J139" t="s">
        <v>411</v>
      </c>
      <c r="K139" t="s">
        <v>44</v>
      </c>
      <c r="M139" t="s">
        <v>3526</v>
      </c>
      <c r="O139" t="s">
        <v>3099</v>
      </c>
      <c r="P139" t="s">
        <v>3100</v>
      </c>
      <c r="Q139" t="s">
        <v>3691</v>
      </c>
      <c r="R139" t="s">
        <v>46</v>
      </c>
      <c r="S139" t="s">
        <v>188</v>
      </c>
      <c r="T139" t="s">
        <v>431</v>
      </c>
      <c r="U139" s="1">
        <v>46076.476736111108</v>
      </c>
      <c r="V139" t="s">
        <v>31</v>
      </c>
      <c r="W139" t="s">
        <v>33</v>
      </c>
      <c r="X139" t="s">
        <v>3530</v>
      </c>
      <c r="Y139" t="s">
        <v>3227</v>
      </c>
      <c r="Z139" t="s">
        <v>38</v>
      </c>
      <c r="AA139" t="s">
        <v>31</v>
      </c>
      <c r="AB139" t="s">
        <v>413</v>
      </c>
      <c r="AC139" t="s">
        <v>30</v>
      </c>
      <c r="AD139" t="s">
        <v>46</v>
      </c>
      <c r="AE139" t="s">
        <v>188</v>
      </c>
      <c r="AF139" t="s">
        <v>431</v>
      </c>
      <c r="AG139" t="s">
        <v>38</v>
      </c>
      <c r="AH139">
        <v>5392</v>
      </c>
      <c r="AK139">
        <v>0</v>
      </c>
      <c r="AL139" t="s">
        <v>181</v>
      </c>
      <c r="AM139" t="s">
        <v>830</v>
      </c>
      <c r="AN139" t="s">
        <v>831</v>
      </c>
    </row>
    <row r="140" spans="1:40">
      <c r="A140" t="s">
        <v>1438</v>
      </c>
      <c r="B140" t="s">
        <v>24</v>
      </c>
      <c r="C140" t="s">
        <v>287</v>
      </c>
      <c r="D140" t="s">
        <v>1439</v>
      </c>
      <c r="E140" s="1">
        <v>46076.474212962959</v>
      </c>
      <c r="F140" t="s">
        <v>74</v>
      </c>
      <c r="G140" t="s">
        <v>776</v>
      </c>
      <c r="H140" t="s">
        <v>3665</v>
      </c>
      <c r="I140" t="s">
        <v>1440</v>
      </c>
      <c r="J140" t="s">
        <v>411</v>
      </c>
      <c r="K140" t="s">
        <v>44</v>
      </c>
      <c r="M140" t="s">
        <v>3526</v>
      </c>
      <c r="O140" t="s">
        <v>3103</v>
      </c>
      <c r="P140" t="s">
        <v>3104</v>
      </c>
      <c r="Q140" t="s">
        <v>3678</v>
      </c>
      <c r="R140" t="s">
        <v>46</v>
      </c>
      <c r="S140" t="s">
        <v>559</v>
      </c>
      <c r="T140" t="s">
        <v>48</v>
      </c>
      <c r="U140" s="1">
        <v>46076.47515046296</v>
      </c>
      <c r="V140" t="s">
        <v>31</v>
      </c>
      <c r="W140" t="s">
        <v>33</v>
      </c>
      <c r="X140" t="s">
        <v>3530</v>
      </c>
      <c r="Y140" t="s">
        <v>3228</v>
      </c>
      <c r="Z140" t="s">
        <v>38</v>
      </c>
      <c r="AA140" t="s">
        <v>31</v>
      </c>
      <c r="AB140" t="s">
        <v>413</v>
      </c>
      <c r="AC140" t="s">
        <v>86</v>
      </c>
      <c r="AD140" t="s">
        <v>46</v>
      </c>
      <c r="AE140" t="s">
        <v>559</v>
      </c>
      <c r="AF140" t="s">
        <v>3128</v>
      </c>
      <c r="AG140" t="s">
        <v>38</v>
      </c>
      <c r="AH140">
        <v>14560</v>
      </c>
      <c r="AK140">
        <v>0</v>
      </c>
      <c r="AL140" t="s">
        <v>32</v>
      </c>
      <c r="AM140" t="s">
        <v>1441</v>
      </c>
      <c r="AN140" t="s">
        <v>1442</v>
      </c>
    </row>
    <row r="141" spans="1:40">
      <c r="A141" t="s">
        <v>1443</v>
      </c>
      <c r="B141" t="s">
        <v>24</v>
      </c>
      <c r="C141" t="s">
        <v>1444</v>
      </c>
      <c r="D141" t="s">
        <v>92</v>
      </c>
      <c r="E141" s="1">
        <v>46076.475162037037</v>
      </c>
      <c r="F141" t="s">
        <v>593</v>
      </c>
      <c r="G141" t="s">
        <v>776</v>
      </c>
      <c r="H141" t="s">
        <v>3669</v>
      </c>
      <c r="I141" t="s">
        <v>1445</v>
      </c>
      <c r="J141" t="s">
        <v>494</v>
      </c>
      <c r="K141" t="s">
        <v>134</v>
      </c>
      <c r="M141" t="s">
        <v>3526</v>
      </c>
      <c r="O141" t="s">
        <v>3096</v>
      </c>
      <c r="P141" t="s">
        <v>3097</v>
      </c>
      <c r="Q141" t="s">
        <v>3689</v>
      </c>
      <c r="R141" t="s">
        <v>46</v>
      </c>
      <c r="S141" t="s">
        <v>72</v>
      </c>
      <c r="T141" t="s">
        <v>971</v>
      </c>
      <c r="U141" s="1">
        <v>46076.711168981485</v>
      </c>
      <c r="V141" t="s">
        <v>31</v>
      </c>
      <c r="W141" t="s">
        <v>33</v>
      </c>
      <c r="X141" t="s">
        <v>3525</v>
      </c>
      <c r="Y141" t="s">
        <v>3229</v>
      </c>
      <c r="Z141" t="s">
        <v>38</v>
      </c>
      <c r="AA141" t="s">
        <v>31</v>
      </c>
      <c r="AB141" t="s">
        <v>227</v>
      </c>
      <c r="AC141" t="s">
        <v>37</v>
      </c>
      <c r="AD141" t="s">
        <v>46</v>
      </c>
      <c r="AE141" t="s">
        <v>582</v>
      </c>
      <c r="AF141" t="s">
        <v>3230</v>
      </c>
      <c r="AG141" t="s">
        <v>38</v>
      </c>
      <c r="AH141">
        <v>357</v>
      </c>
      <c r="AK141">
        <v>1</v>
      </c>
      <c r="AL141" t="s">
        <v>181</v>
      </c>
      <c r="AM141" t="s">
        <v>1446</v>
      </c>
      <c r="AN141" t="s">
        <v>1447</v>
      </c>
    </row>
    <row r="142" spans="1:40">
      <c r="A142" t="s">
        <v>1448</v>
      </c>
      <c r="B142" t="s">
        <v>24</v>
      </c>
      <c r="C142" t="s">
        <v>1449</v>
      </c>
      <c r="D142" t="s">
        <v>1450</v>
      </c>
      <c r="E142" s="1">
        <v>46076.470717592594</v>
      </c>
      <c r="F142" t="s">
        <v>593</v>
      </c>
      <c r="G142" t="s">
        <v>776</v>
      </c>
      <c r="H142" t="s">
        <v>3669</v>
      </c>
      <c r="I142" t="s">
        <v>725</v>
      </c>
      <c r="J142" t="s">
        <v>494</v>
      </c>
      <c r="K142" t="s">
        <v>134</v>
      </c>
      <c r="M142" t="s">
        <v>3526</v>
      </c>
      <c r="O142" t="s">
        <v>3144</v>
      </c>
      <c r="P142" t="s">
        <v>3145</v>
      </c>
      <c r="Q142" t="s">
        <v>3716</v>
      </c>
      <c r="R142" t="s">
        <v>46</v>
      </c>
      <c r="S142" t="s">
        <v>197</v>
      </c>
      <c r="T142" t="s">
        <v>725</v>
      </c>
      <c r="U142" s="1">
        <v>46076.526388888888</v>
      </c>
      <c r="V142" t="s">
        <v>31</v>
      </c>
      <c r="W142" t="s">
        <v>33</v>
      </c>
      <c r="X142" t="s">
        <v>3530</v>
      </c>
      <c r="Y142" t="e">
        <f>-the Monitor has been connected, and All PC and Monitor are working fine now.</f>
        <v>#NAME?</v>
      </c>
      <c r="Z142" t="s">
        <v>38</v>
      </c>
      <c r="AA142" t="s">
        <v>31</v>
      </c>
      <c r="AB142" t="s">
        <v>266</v>
      </c>
      <c r="AC142" t="s">
        <v>284</v>
      </c>
      <c r="AD142" t="s">
        <v>46</v>
      </c>
      <c r="AE142" t="s">
        <v>197</v>
      </c>
      <c r="AF142" t="s">
        <v>725</v>
      </c>
      <c r="AG142" t="s">
        <v>38</v>
      </c>
      <c r="AH142">
        <v>3673</v>
      </c>
      <c r="AK142">
        <v>1</v>
      </c>
      <c r="AL142" t="s">
        <v>32</v>
      </c>
      <c r="AM142" t="s">
        <v>1451</v>
      </c>
      <c r="AN142" t="s">
        <v>1452</v>
      </c>
    </row>
    <row r="143" spans="1:40">
      <c r="A143" t="s">
        <v>1453</v>
      </c>
      <c r="B143" t="s">
        <v>24</v>
      </c>
      <c r="C143" t="s">
        <v>1454</v>
      </c>
      <c r="D143" t="s">
        <v>1455</v>
      </c>
      <c r="E143" s="1">
        <v>46076.468159722222</v>
      </c>
      <c r="F143" t="s">
        <v>298</v>
      </c>
      <c r="G143" t="s">
        <v>776</v>
      </c>
      <c r="H143" t="s">
        <v>3669</v>
      </c>
      <c r="I143" t="s">
        <v>1335</v>
      </c>
      <c r="J143" t="s">
        <v>494</v>
      </c>
      <c r="K143" t="s">
        <v>134</v>
      </c>
      <c r="M143" t="s">
        <v>3526</v>
      </c>
      <c r="O143" t="s">
        <v>3103</v>
      </c>
      <c r="P143" t="s">
        <v>3104</v>
      </c>
      <c r="Q143" t="s">
        <v>3678</v>
      </c>
      <c r="R143" t="s">
        <v>46</v>
      </c>
      <c r="S143" t="s">
        <v>197</v>
      </c>
      <c r="T143" t="s">
        <v>725</v>
      </c>
      <c r="U143" s="1">
        <v>46076.712835648148</v>
      </c>
      <c r="V143" t="s">
        <v>31</v>
      </c>
      <c r="W143" t="s">
        <v>33</v>
      </c>
      <c r="X143" t="s">
        <v>3530</v>
      </c>
      <c r="Y143" t="e">
        <f>- Network Driver has been reset and reconnected successfully.</f>
        <v>#NAME?</v>
      </c>
      <c r="Z143" t="s">
        <v>38</v>
      </c>
      <c r="AA143" t="s">
        <v>31</v>
      </c>
      <c r="AB143" t="s">
        <v>413</v>
      </c>
      <c r="AC143" t="s">
        <v>86</v>
      </c>
      <c r="AD143" t="s">
        <v>46</v>
      </c>
      <c r="AE143" t="s">
        <v>682</v>
      </c>
      <c r="AF143" t="s">
        <v>3231</v>
      </c>
      <c r="AG143" t="s">
        <v>38</v>
      </c>
      <c r="AH143">
        <v>15613</v>
      </c>
      <c r="AK143">
        <v>1</v>
      </c>
      <c r="AL143" t="s">
        <v>32</v>
      </c>
      <c r="AM143" t="s">
        <v>1456</v>
      </c>
      <c r="AN143" t="s">
        <v>1457</v>
      </c>
    </row>
    <row r="144" spans="1:40">
      <c r="A144" t="s">
        <v>1463</v>
      </c>
      <c r="B144" t="s">
        <v>34</v>
      </c>
      <c r="C144" t="s">
        <v>1464</v>
      </c>
      <c r="D144" t="s">
        <v>1465</v>
      </c>
      <c r="E144" s="1">
        <v>46076.465486111112</v>
      </c>
      <c r="F144" t="s">
        <v>101</v>
      </c>
      <c r="G144" t="s">
        <v>776</v>
      </c>
      <c r="H144" t="s">
        <v>3667</v>
      </c>
      <c r="I144" t="s">
        <v>1466</v>
      </c>
      <c r="J144" t="s">
        <v>733</v>
      </c>
      <c r="K144" t="s">
        <v>44</v>
      </c>
      <c r="M144" t="s">
        <v>3526</v>
      </c>
      <c r="O144" t="s">
        <v>3099</v>
      </c>
      <c r="P144" t="s">
        <v>3100</v>
      </c>
      <c r="Q144" t="s">
        <v>3667</v>
      </c>
      <c r="R144" t="s">
        <v>46</v>
      </c>
      <c r="S144" t="s">
        <v>379</v>
      </c>
      <c r="T144" t="s">
        <v>379</v>
      </c>
      <c r="U144" s="1">
        <v>46076.476921296293</v>
      </c>
      <c r="V144" t="s">
        <v>31</v>
      </c>
      <c r="W144" t="s">
        <v>33</v>
      </c>
      <c r="X144" t="s">
        <v>3530</v>
      </c>
      <c r="Y144" t="s">
        <v>1466</v>
      </c>
      <c r="Z144" t="s">
        <v>38</v>
      </c>
      <c r="AA144" t="s">
        <v>31</v>
      </c>
      <c r="AB144" t="s">
        <v>726</v>
      </c>
      <c r="AC144" t="s">
        <v>30</v>
      </c>
      <c r="AD144" t="s">
        <v>46</v>
      </c>
      <c r="AE144" t="s">
        <v>379</v>
      </c>
      <c r="AF144" t="s">
        <v>379</v>
      </c>
      <c r="AG144" t="s">
        <v>38</v>
      </c>
      <c r="AH144">
        <v>3190</v>
      </c>
      <c r="AK144">
        <v>0</v>
      </c>
      <c r="AL144" t="s">
        <v>32</v>
      </c>
      <c r="AM144" t="s">
        <v>1467</v>
      </c>
      <c r="AN144" t="s">
        <v>1468</v>
      </c>
    </row>
    <row r="145" spans="1:40">
      <c r="A145" t="s">
        <v>1469</v>
      </c>
      <c r="B145" t="s">
        <v>34</v>
      </c>
      <c r="C145" t="s">
        <v>260</v>
      </c>
      <c r="D145" t="s">
        <v>1470</v>
      </c>
      <c r="E145" s="1">
        <v>46076.462175925924</v>
      </c>
      <c r="F145" t="s">
        <v>210</v>
      </c>
      <c r="G145" t="s">
        <v>776</v>
      </c>
      <c r="H145" t="s">
        <v>3667</v>
      </c>
      <c r="I145" t="s">
        <v>1471</v>
      </c>
      <c r="J145" t="s">
        <v>514</v>
      </c>
      <c r="K145" t="s">
        <v>44</v>
      </c>
      <c r="M145" t="s">
        <v>3526</v>
      </c>
      <c r="O145" t="s">
        <v>3099</v>
      </c>
      <c r="P145" t="s">
        <v>3100</v>
      </c>
      <c r="Q145" t="s">
        <v>3678</v>
      </c>
      <c r="R145" t="s">
        <v>46</v>
      </c>
      <c r="S145" t="s">
        <v>348</v>
      </c>
      <c r="T145" t="s">
        <v>506</v>
      </c>
      <c r="U145" s="1">
        <v>46076.463229166664</v>
      </c>
      <c r="V145" t="s">
        <v>31</v>
      </c>
      <c r="W145" t="s">
        <v>33</v>
      </c>
      <c r="X145" t="s">
        <v>3530</v>
      </c>
      <c r="Y145" t="s">
        <v>3232</v>
      </c>
      <c r="Z145" t="s">
        <v>38</v>
      </c>
      <c r="AA145" t="s">
        <v>31</v>
      </c>
      <c r="AB145" t="s">
        <v>266</v>
      </c>
      <c r="AC145" t="s">
        <v>30</v>
      </c>
      <c r="AD145" t="s">
        <v>46</v>
      </c>
      <c r="AE145" t="s">
        <v>348</v>
      </c>
      <c r="AF145" t="s">
        <v>506</v>
      </c>
      <c r="AG145" t="s">
        <v>38</v>
      </c>
      <c r="AH145" t="s">
        <v>3613</v>
      </c>
      <c r="AK145">
        <v>0</v>
      </c>
      <c r="AL145" t="s">
        <v>32</v>
      </c>
      <c r="AM145" t="s">
        <v>1472</v>
      </c>
      <c r="AN145" t="s">
        <v>1473</v>
      </c>
    </row>
    <row r="146" spans="1:40">
      <c r="A146" t="s">
        <v>1474</v>
      </c>
      <c r="B146" t="s">
        <v>34</v>
      </c>
      <c r="C146" t="s">
        <v>1475</v>
      </c>
      <c r="D146" t="s">
        <v>1476</v>
      </c>
      <c r="E146" s="1">
        <v>46076.461296296293</v>
      </c>
      <c r="F146" t="s">
        <v>117</v>
      </c>
      <c r="G146" t="s">
        <v>776</v>
      </c>
      <c r="H146" t="s">
        <v>3668</v>
      </c>
      <c r="I146" t="s">
        <v>543</v>
      </c>
      <c r="J146" t="s">
        <v>514</v>
      </c>
      <c r="K146" t="s">
        <v>44</v>
      </c>
      <c r="M146" t="s">
        <v>3526</v>
      </c>
      <c r="O146" t="s">
        <v>3099</v>
      </c>
      <c r="P146" t="s">
        <v>3100</v>
      </c>
      <c r="Q146" t="s">
        <v>3722</v>
      </c>
      <c r="R146" t="s">
        <v>46</v>
      </c>
      <c r="S146" t="s">
        <v>379</v>
      </c>
      <c r="T146" t="s">
        <v>379</v>
      </c>
      <c r="U146" s="1">
        <v>46076.464189814818</v>
      </c>
      <c r="V146" t="s">
        <v>31</v>
      </c>
      <c r="W146" t="s">
        <v>33</v>
      </c>
      <c r="X146" t="s">
        <v>3530</v>
      </c>
      <c r="Y146" t="s">
        <v>3233</v>
      </c>
      <c r="Z146" t="s">
        <v>38</v>
      </c>
      <c r="AA146" t="s">
        <v>31</v>
      </c>
      <c r="AB146" t="s">
        <v>266</v>
      </c>
      <c r="AC146" t="s">
        <v>30</v>
      </c>
      <c r="AD146" t="s">
        <v>46</v>
      </c>
      <c r="AE146" t="s">
        <v>379</v>
      </c>
      <c r="AF146" t="s">
        <v>379</v>
      </c>
      <c r="AG146" t="s">
        <v>38</v>
      </c>
      <c r="AH146">
        <v>9942</v>
      </c>
      <c r="AK146">
        <v>0</v>
      </c>
      <c r="AL146" t="s">
        <v>32</v>
      </c>
      <c r="AM146" t="s">
        <v>1477</v>
      </c>
      <c r="AN146" t="s">
        <v>1478</v>
      </c>
    </row>
    <row r="147" spans="1:40">
      <c r="A147" t="s">
        <v>1479</v>
      </c>
      <c r="B147" t="s">
        <v>24</v>
      </c>
      <c r="C147" t="s">
        <v>1480</v>
      </c>
      <c r="D147" t="s">
        <v>1481</v>
      </c>
      <c r="E147" s="1">
        <v>46076.459780092591</v>
      </c>
      <c r="F147" t="s">
        <v>333</v>
      </c>
      <c r="G147" t="s">
        <v>776</v>
      </c>
      <c r="H147" t="s">
        <v>3671</v>
      </c>
      <c r="I147" t="s">
        <v>868</v>
      </c>
      <c r="J147" t="s">
        <v>514</v>
      </c>
      <c r="K147" t="s">
        <v>44</v>
      </c>
      <c r="M147" t="s">
        <v>3526</v>
      </c>
      <c r="O147" t="s">
        <v>3103</v>
      </c>
      <c r="P147" t="s">
        <v>3104</v>
      </c>
      <c r="Q147" t="s">
        <v>3683</v>
      </c>
      <c r="R147" t="s">
        <v>46</v>
      </c>
      <c r="S147" t="s">
        <v>443</v>
      </c>
      <c r="T147" t="s">
        <v>869</v>
      </c>
      <c r="U147" s="1">
        <v>46076.467291666668</v>
      </c>
      <c r="V147" t="s">
        <v>31</v>
      </c>
      <c r="W147" t="s">
        <v>33</v>
      </c>
      <c r="X147" t="s">
        <v>3530</v>
      </c>
      <c r="Y147" t="e">
        <f>- Run gpupdate/force - PC restarted  - has confirmed able to browse and access hence closing the ticket</f>
        <v>#NAME?</v>
      </c>
      <c r="Z147" t="s">
        <v>38</v>
      </c>
      <c r="AA147" t="s">
        <v>31</v>
      </c>
      <c r="AB147" t="s">
        <v>266</v>
      </c>
      <c r="AC147" t="s">
        <v>86</v>
      </c>
      <c r="AD147" t="s">
        <v>46</v>
      </c>
      <c r="AE147" t="s">
        <v>3113</v>
      </c>
      <c r="AF147" t="s">
        <v>3163</v>
      </c>
      <c r="AG147" t="s">
        <v>38</v>
      </c>
      <c r="AH147">
        <v>10175</v>
      </c>
      <c r="AK147">
        <v>0</v>
      </c>
      <c r="AL147" t="s">
        <v>181</v>
      </c>
      <c r="AM147" t="s">
        <v>1482</v>
      </c>
      <c r="AN147" t="s">
        <v>1483</v>
      </c>
    </row>
    <row r="148" spans="1:40">
      <c r="A148" t="s">
        <v>1484</v>
      </c>
      <c r="B148" t="s">
        <v>34</v>
      </c>
      <c r="C148" t="s">
        <v>594</v>
      </c>
      <c r="D148" t="s">
        <v>1485</v>
      </c>
      <c r="E148" s="1">
        <v>46076.459143518521</v>
      </c>
      <c r="F148" t="s">
        <v>161</v>
      </c>
      <c r="G148" t="s">
        <v>776</v>
      </c>
      <c r="H148" t="s">
        <v>3667</v>
      </c>
      <c r="I148" t="s">
        <v>1486</v>
      </c>
      <c r="J148" t="s">
        <v>514</v>
      </c>
      <c r="K148" t="s">
        <v>44</v>
      </c>
      <c r="M148" t="s">
        <v>3526</v>
      </c>
      <c r="O148" t="s">
        <v>3099</v>
      </c>
      <c r="P148" t="s">
        <v>3100</v>
      </c>
      <c r="R148" t="s">
        <v>46</v>
      </c>
      <c r="S148" t="s">
        <v>47</v>
      </c>
      <c r="T148" t="s">
        <v>48</v>
      </c>
      <c r="U148" s="1">
        <v>46076.472418981481</v>
      </c>
      <c r="V148" t="s">
        <v>31</v>
      </c>
      <c r="W148" t="s">
        <v>33</v>
      </c>
      <c r="X148" t="s">
        <v>3530</v>
      </c>
      <c r="Y148" t="s">
        <v>3234</v>
      </c>
      <c r="Z148" t="s">
        <v>38</v>
      </c>
      <c r="AA148" t="s">
        <v>31</v>
      </c>
      <c r="AB148" t="s">
        <v>266</v>
      </c>
      <c r="AC148" t="s">
        <v>30</v>
      </c>
      <c r="AD148" t="s">
        <v>46</v>
      </c>
      <c r="AE148" t="s">
        <v>47</v>
      </c>
      <c r="AF148" t="s">
        <v>48</v>
      </c>
      <c r="AG148" t="s">
        <v>38</v>
      </c>
      <c r="AH148">
        <v>15258</v>
      </c>
      <c r="AK148">
        <v>0</v>
      </c>
      <c r="AL148" t="s">
        <v>32</v>
      </c>
      <c r="AM148" t="s">
        <v>1487</v>
      </c>
      <c r="AN148" t="s">
        <v>1488</v>
      </c>
    </row>
    <row r="149" spans="1:40">
      <c r="A149" t="s">
        <v>1489</v>
      </c>
      <c r="B149" t="s">
        <v>34</v>
      </c>
      <c r="C149" t="s">
        <v>509</v>
      </c>
      <c r="D149" t="s">
        <v>1490</v>
      </c>
      <c r="E149" s="1">
        <v>46076.457615740743</v>
      </c>
      <c r="F149" t="s">
        <v>353</v>
      </c>
      <c r="G149" t="s">
        <v>776</v>
      </c>
      <c r="H149" t="s">
        <v>3671</v>
      </c>
      <c r="I149" t="s">
        <v>109</v>
      </c>
      <c r="J149" t="s">
        <v>179</v>
      </c>
      <c r="K149" t="s">
        <v>44</v>
      </c>
      <c r="M149" t="s">
        <v>3526</v>
      </c>
      <c r="O149" t="s">
        <v>3099</v>
      </c>
      <c r="P149" t="s">
        <v>3100</v>
      </c>
      <c r="Q149" t="s">
        <v>3678</v>
      </c>
      <c r="R149" t="s">
        <v>46</v>
      </c>
      <c r="S149" t="s">
        <v>110</v>
      </c>
      <c r="T149" t="s">
        <v>111</v>
      </c>
      <c r="U149" s="1">
        <v>46076.457881944443</v>
      </c>
      <c r="V149" t="s">
        <v>31</v>
      </c>
      <c r="W149" t="s">
        <v>33</v>
      </c>
      <c r="X149" t="s">
        <v>3530</v>
      </c>
      <c r="Y149" t="s">
        <v>3182</v>
      </c>
      <c r="Z149" t="s">
        <v>38</v>
      </c>
      <c r="AA149" t="s">
        <v>31</v>
      </c>
      <c r="AB149" t="s">
        <v>350</v>
      </c>
      <c r="AC149" t="s">
        <v>30</v>
      </c>
      <c r="AD149" t="s">
        <v>46</v>
      </c>
      <c r="AE149" t="s">
        <v>110</v>
      </c>
      <c r="AF149" t="s">
        <v>111</v>
      </c>
      <c r="AG149" t="s">
        <v>38</v>
      </c>
      <c r="AH149">
        <v>13000</v>
      </c>
      <c r="AK149">
        <v>0</v>
      </c>
      <c r="AL149" t="s">
        <v>32</v>
      </c>
      <c r="AM149" t="s">
        <v>1491</v>
      </c>
      <c r="AN149" t="s">
        <v>1492</v>
      </c>
    </row>
    <row r="150" spans="1:40">
      <c r="A150" t="s">
        <v>1493</v>
      </c>
      <c r="B150" t="s">
        <v>24</v>
      </c>
      <c r="C150" t="s">
        <v>1494</v>
      </c>
      <c r="D150" t="s">
        <v>1495</v>
      </c>
      <c r="E150" s="1">
        <v>46076.457719907405</v>
      </c>
      <c r="F150" t="s">
        <v>245</v>
      </c>
      <c r="G150" t="s">
        <v>776</v>
      </c>
      <c r="H150" t="s">
        <v>3665</v>
      </c>
      <c r="I150" t="s">
        <v>915</v>
      </c>
      <c r="J150" t="s">
        <v>733</v>
      </c>
      <c r="K150" t="s">
        <v>44</v>
      </c>
      <c r="M150" t="s">
        <v>3526</v>
      </c>
      <c r="O150" t="s">
        <v>3103</v>
      </c>
      <c r="P150" t="s">
        <v>3104</v>
      </c>
      <c r="Q150" t="s">
        <v>3678</v>
      </c>
      <c r="R150" t="s">
        <v>46</v>
      </c>
      <c r="S150" t="s">
        <v>313</v>
      </c>
      <c r="T150" t="s">
        <v>547</v>
      </c>
      <c r="U150" s="1">
        <v>46076.477372685185</v>
      </c>
      <c r="V150" t="s">
        <v>31</v>
      </c>
      <c r="W150" t="s">
        <v>33</v>
      </c>
      <c r="X150" t="s">
        <v>3530</v>
      </c>
      <c r="Y150" t="s">
        <v>3235</v>
      </c>
      <c r="Z150" t="s">
        <v>38</v>
      </c>
      <c r="AA150" t="s">
        <v>31</v>
      </c>
      <c r="AB150" t="s">
        <v>726</v>
      </c>
      <c r="AC150" t="s">
        <v>86</v>
      </c>
      <c r="AD150" t="s">
        <v>46</v>
      </c>
      <c r="AE150" t="s">
        <v>313</v>
      </c>
      <c r="AF150" t="s">
        <v>2282</v>
      </c>
      <c r="AG150" t="s">
        <v>38</v>
      </c>
      <c r="AH150">
        <v>15907</v>
      </c>
      <c r="AK150">
        <v>0</v>
      </c>
      <c r="AL150" t="s">
        <v>32</v>
      </c>
      <c r="AM150" t="s">
        <v>1496</v>
      </c>
      <c r="AN150" t="s">
        <v>1497</v>
      </c>
    </row>
    <row r="151" spans="1:40">
      <c r="A151" t="s">
        <v>1504</v>
      </c>
      <c r="B151" t="s">
        <v>24</v>
      </c>
      <c r="C151" t="s">
        <v>1444</v>
      </c>
      <c r="D151" t="s">
        <v>92</v>
      </c>
      <c r="E151" s="1">
        <v>46076.456701388888</v>
      </c>
      <c r="F151" t="s">
        <v>593</v>
      </c>
      <c r="G151" t="s">
        <v>776</v>
      </c>
      <c r="H151" t="s">
        <v>3669</v>
      </c>
      <c r="I151" t="s">
        <v>1505</v>
      </c>
      <c r="J151" t="s">
        <v>494</v>
      </c>
      <c r="K151" t="s">
        <v>134</v>
      </c>
      <c r="M151" t="s">
        <v>3526</v>
      </c>
      <c r="O151" t="s">
        <v>3103</v>
      </c>
      <c r="P151" t="s">
        <v>3104</v>
      </c>
      <c r="Q151" t="s">
        <v>3689</v>
      </c>
      <c r="R151" t="s">
        <v>46</v>
      </c>
      <c r="S151" t="s">
        <v>188</v>
      </c>
      <c r="T151" t="s">
        <v>189</v>
      </c>
      <c r="U151" s="1">
        <v>46076.714525462965</v>
      </c>
      <c r="V151" t="s">
        <v>31</v>
      </c>
      <c r="W151" t="s">
        <v>33</v>
      </c>
      <c r="X151" t="s">
        <v>3530</v>
      </c>
      <c r="Y151" t="e">
        <f>- Adobe Acrobat has been Updated and All the windows drives and BOIS Updated successfully. - issue resolved.</f>
        <v>#NAME?</v>
      </c>
      <c r="Z151" t="s">
        <v>38</v>
      </c>
      <c r="AA151" t="s">
        <v>31</v>
      </c>
      <c r="AB151" t="s">
        <v>266</v>
      </c>
      <c r="AC151" t="s">
        <v>86</v>
      </c>
      <c r="AD151" t="s">
        <v>46</v>
      </c>
      <c r="AE151" t="s">
        <v>374</v>
      </c>
      <c r="AF151" t="s">
        <v>618</v>
      </c>
      <c r="AG151" t="s">
        <v>38</v>
      </c>
      <c r="AH151">
        <v>357</v>
      </c>
      <c r="AK151">
        <v>1</v>
      </c>
      <c r="AL151" t="s">
        <v>181</v>
      </c>
      <c r="AM151" t="s">
        <v>1446</v>
      </c>
      <c r="AN151" t="s">
        <v>1447</v>
      </c>
    </row>
    <row r="152" spans="1:40">
      <c r="A152" t="s">
        <v>1506</v>
      </c>
      <c r="B152" t="s">
        <v>24</v>
      </c>
      <c r="C152" t="s">
        <v>1507</v>
      </c>
      <c r="D152" t="s">
        <v>1508</v>
      </c>
      <c r="E152" s="1">
        <v>46076.455868055556</v>
      </c>
      <c r="F152" t="s">
        <v>353</v>
      </c>
      <c r="G152" t="s">
        <v>776</v>
      </c>
      <c r="H152" t="s">
        <v>3671</v>
      </c>
      <c r="I152" t="s">
        <v>1509</v>
      </c>
      <c r="J152" t="s">
        <v>179</v>
      </c>
      <c r="K152" t="s">
        <v>44</v>
      </c>
      <c r="M152" t="s">
        <v>3526</v>
      </c>
      <c r="O152" t="s">
        <v>3144</v>
      </c>
      <c r="P152" t="s">
        <v>3145</v>
      </c>
      <c r="Q152" t="s">
        <v>3708</v>
      </c>
      <c r="R152" t="s">
        <v>162</v>
      </c>
      <c r="S152" t="s">
        <v>163</v>
      </c>
      <c r="T152" t="s">
        <v>164</v>
      </c>
      <c r="U152" s="1">
        <v>46077.49827546296</v>
      </c>
      <c r="V152" t="s">
        <v>31</v>
      </c>
      <c r="W152" t="s">
        <v>33</v>
      </c>
      <c r="X152" t="s">
        <v>3536</v>
      </c>
      <c r="Y152" t="s">
        <v>3236</v>
      </c>
      <c r="Z152" t="s">
        <v>38</v>
      </c>
      <c r="AA152" t="s">
        <v>31</v>
      </c>
      <c r="AB152" t="s">
        <v>104</v>
      </c>
      <c r="AC152" t="s">
        <v>284</v>
      </c>
      <c r="AD152" t="s">
        <v>46</v>
      </c>
      <c r="AE152" t="s">
        <v>348</v>
      </c>
      <c r="AF152" t="s">
        <v>349</v>
      </c>
      <c r="AG152" t="s">
        <v>38</v>
      </c>
      <c r="AH152">
        <v>389</v>
      </c>
      <c r="AK152">
        <v>4</v>
      </c>
      <c r="AL152" t="s">
        <v>181</v>
      </c>
      <c r="AM152" t="s">
        <v>1510</v>
      </c>
      <c r="AN152" t="s">
        <v>1511</v>
      </c>
    </row>
    <row r="153" spans="1:40">
      <c r="A153" t="s">
        <v>1515</v>
      </c>
      <c r="B153" t="s">
        <v>24</v>
      </c>
      <c r="C153" t="s">
        <v>25</v>
      </c>
      <c r="D153" t="s">
        <v>1516</v>
      </c>
      <c r="E153" s="1">
        <v>46076.455636574072</v>
      </c>
      <c r="F153" t="s">
        <v>132</v>
      </c>
      <c r="G153" t="s">
        <v>776</v>
      </c>
      <c r="H153" t="s">
        <v>3665</v>
      </c>
      <c r="I153" t="s">
        <v>1517</v>
      </c>
      <c r="J153" t="s">
        <v>411</v>
      </c>
      <c r="K153" t="s">
        <v>44</v>
      </c>
      <c r="M153" t="s">
        <v>3526</v>
      </c>
      <c r="O153" t="s">
        <v>3103</v>
      </c>
      <c r="P153" t="s">
        <v>3104</v>
      </c>
      <c r="Q153" t="s">
        <v>3678</v>
      </c>
      <c r="R153" t="s">
        <v>46</v>
      </c>
      <c r="S153" t="s">
        <v>374</v>
      </c>
      <c r="T153" t="s">
        <v>1518</v>
      </c>
      <c r="U153" s="1">
        <v>46076.457858796297</v>
      </c>
      <c r="V153" t="s">
        <v>31</v>
      </c>
      <c r="W153" t="s">
        <v>33</v>
      </c>
      <c r="X153" t="s">
        <v>3530</v>
      </c>
      <c r="Y153" t="s">
        <v>3237</v>
      </c>
      <c r="Z153" t="s">
        <v>38</v>
      </c>
      <c r="AA153" t="s">
        <v>31</v>
      </c>
      <c r="AB153" t="s">
        <v>413</v>
      </c>
      <c r="AC153" t="s">
        <v>86</v>
      </c>
      <c r="AD153" t="s">
        <v>46</v>
      </c>
      <c r="AE153" t="s">
        <v>559</v>
      </c>
      <c r="AF153" t="s">
        <v>3128</v>
      </c>
      <c r="AG153" t="s">
        <v>38</v>
      </c>
      <c r="AH153" t="s">
        <v>3614</v>
      </c>
      <c r="AK153">
        <v>0</v>
      </c>
      <c r="AL153" t="s">
        <v>32</v>
      </c>
      <c r="AM153" t="s">
        <v>1519</v>
      </c>
      <c r="AN153" t="s">
        <v>1520</v>
      </c>
    </row>
    <row r="154" spans="1:40">
      <c r="A154" t="s">
        <v>1521</v>
      </c>
      <c r="B154" t="s">
        <v>34</v>
      </c>
      <c r="C154" t="s">
        <v>1464</v>
      </c>
      <c r="D154" t="s">
        <v>1465</v>
      </c>
      <c r="E154" s="1">
        <v>46076.457337962966</v>
      </c>
      <c r="F154" t="s">
        <v>101</v>
      </c>
      <c r="G154" t="s">
        <v>776</v>
      </c>
      <c r="H154" t="s">
        <v>3667</v>
      </c>
      <c r="I154" t="s">
        <v>1522</v>
      </c>
      <c r="J154" t="s">
        <v>733</v>
      </c>
      <c r="K154" t="s">
        <v>44</v>
      </c>
      <c r="M154" t="s">
        <v>3526</v>
      </c>
      <c r="O154" t="s">
        <v>3099</v>
      </c>
      <c r="P154" t="s">
        <v>3100</v>
      </c>
      <c r="Q154" t="s">
        <v>3667</v>
      </c>
      <c r="R154" t="s">
        <v>46</v>
      </c>
      <c r="S154" t="s">
        <v>379</v>
      </c>
      <c r="T154" t="s">
        <v>379</v>
      </c>
      <c r="U154" s="1">
        <v>46076.461886574078</v>
      </c>
      <c r="V154" t="s">
        <v>31</v>
      </c>
      <c r="W154" t="s">
        <v>33</v>
      </c>
      <c r="X154" t="s">
        <v>3530</v>
      </c>
      <c r="Y154" t="s">
        <v>1522</v>
      </c>
      <c r="Z154" t="s">
        <v>38</v>
      </c>
      <c r="AA154" t="s">
        <v>31</v>
      </c>
      <c r="AB154" t="s">
        <v>726</v>
      </c>
      <c r="AC154" t="s">
        <v>30</v>
      </c>
      <c r="AD154" t="s">
        <v>46</v>
      </c>
      <c r="AE154" t="s">
        <v>379</v>
      </c>
      <c r="AF154" t="s">
        <v>379</v>
      </c>
      <c r="AG154" t="s">
        <v>38</v>
      </c>
      <c r="AH154">
        <v>3190</v>
      </c>
      <c r="AK154">
        <v>0</v>
      </c>
      <c r="AL154" t="s">
        <v>32</v>
      </c>
      <c r="AM154" t="s">
        <v>1467</v>
      </c>
      <c r="AN154" t="s">
        <v>1468</v>
      </c>
    </row>
    <row r="155" spans="1:40">
      <c r="A155" t="s">
        <v>1528</v>
      </c>
      <c r="B155" t="s">
        <v>34</v>
      </c>
      <c r="C155" t="s">
        <v>801</v>
      </c>
      <c r="D155" t="s">
        <v>99</v>
      </c>
      <c r="E155" s="1">
        <v>46076.451111111113</v>
      </c>
      <c r="F155" t="s">
        <v>143</v>
      </c>
      <c r="G155" t="s">
        <v>776</v>
      </c>
      <c r="H155" t="s">
        <v>3670</v>
      </c>
      <c r="I155" t="s">
        <v>1529</v>
      </c>
      <c r="J155" t="s">
        <v>253</v>
      </c>
      <c r="K155" t="s">
        <v>44</v>
      </c>
      <c r="M155" t="s">
        <v>3526</v>
      </c>
      <c r="O155" t="s">
        <v>3099</v>
      </c>
      <c r="P155" t="s">
        <v>3100</v>
      </c>
      <c r="Q155" t="s">
        <v>3678</v>
      </c>
      <c r="R155" t="s">
        <v>46</v>
      </c>
      <c r="S155" t="s">
        <v>110</v>
      </c>
      <c r="T155" t="s">
        <v>645</v>
      </c>
      <c r="U155" s="1">
        <v>46076.505231481482</v>
      </c>
      <c r="V155" t="s">
        <v>31</v>
      </c>
      <c r="W155" t="s">
        <v>33</v>
      </c>
      <c r="X155" t="s">
        <v>3525</v>
      </c>
      <c r="Y155" t="s">
        <v>3238</v>
      </c>
      <c r="Z155" t="s">
        <v>38</v>
      </c>
      <c r="AA155" t="s">
        <v>31</v>
      </c>
      <c r="AB155" t="s">
        <v>227</v>
      </c>
      <c r="AC155" t="s">
        <v>30</v>
      </c>
      <c r="AD155" t="s">
        <v>46</v>
      </c>
      <c r="AE155" t="s">
        <v>110</v>
      </c>
      <c r="AF155" t="s">
        <v>3110</v>
      </c>
      <c r="AG155" t="s">
        <v>38</v>
      </c>
      <c r="AH155">
        <v>15313</v>
      </c>
      <c r="AK155">
        <v>1</v>
      </c>
      <c r="AL155" t="s">
        <v>32</v>
      </c>
      <c r="AM155" t="s">
        <v>802</v>
      </c>
      <c r="AN155" t="s">
        <v>803</v>
      </c>
    </row>
    <row r="156" spans="1:40">
      <c r="A156" t="s">
        <v>1530</v>
      </c>
      <c r="B156" t="s">
        <v>34</v>
      </c>
      <c r="C156" t="s">
        <v>1531</v>
      </c>
      <c r="D156" t="s">
        <v>1532</v>
      </c>
      <c r="E156" s="1">
        <v>46076.446134259262</v>
      </c>
      <c r="F156" t="s">
        <v>470</v>
      </c>
      <c r="G156" t="s">
        <v>776</v>
      </c>
      <c r="H156" t="s">
        <v>3671</v>
      </c>
      <c r="I156" t="s">
        <v>535</v>
      </c>
      <c r="J156" t="s">
        <v>411</v>
      </c>
      <c r="K156" t="s">
        <v>44</v>
      </c>
      <c r="M156" t="s">
        <v>3526</v>
      </c>
      <c r="O156" t="s">
        <v>3099</v>
      </c>
      <c r="P156" t="s">
        <v>3100</v>
      </c>
      <c r="Q156" t="s">
        <v>3683</v>
      </c>
      <c r="R156" t="s">
        <v>46</v>
      </c>
      <c r="S156" t="s">
        <v>188</v>
      </c>
      <c r="T156" t="s">
        <v>431</v>
      </c>
      <c r="U156" s="1">
        <v>46076.446736111109</v>
      </c>
      <c r="V156" t="s">
        <v>31</v>
      </c>
      <c r="W156" t="s">
        <v>33</v>
      </c>
      <c r="X156" t="s">
        <v>3530</v>
      </c>
      <c r="Y156" t="s">
        <v>3239</v>
      </c>
      <c r="Z156" t="s">
        <v>38</v>
      </c>
      <c r="AA156" t="s">
        <v>31</v>
      </c>
      <c r="AB156" t="s">
        <v>413</v>
      </c>
      <c r="AC156" t="s">
        <v>30</v>
      </c>
      <c r="AD156" t="s">
        <v>46</v>
      </c>
      <c r="AE156" t="s">
        <v>188</v>
      </c>
      <c r="AF156" t="s">
        <v>431</v>
      </c>
      <c r="AG156" t="s">
        <v>38</v>
      </c>
      <c r="AH156">
        <v>3819</v>
      </c>
      <c r="AK156">
        <v>0</v>
      </c>
      <c r="AL156" t="s">
        <v>32</v>
      </c>
      <c r="AM156" t="s">
        <v>1533</v>
      </c>
      <c r="AN156" t="s">
        <v>1534</v>
      </c>
    </row>
    <row r="157" spans="1:40">
      <c r="A157" t="s">
        <v>1535</v>
      </c>
      <c r="B157" t="s">
        <v>34</v>
      </c>
      <c r="C157" t="s">
        <v>194</v>
      </c>
      <c r="D157" t="s">
        <v>221</v>
      </c>
      <c r="E157" s="1">
        <v>46076.44295138889</v>
      </c>
      <c r="F157" t="s">
        <v>222</v>
      </c>
      <c r="G157" t="s">
        <v>776</v>
      </c>
      <c r="H157" t="s">
        <v>3666</v>
      </c>
      <c r="I157" t="s">
        <v>608</v>
      </c>
      <c r="J157" t="s">
        <v>205</v>
      </c>
      <c r="K157" t="s">
        <v>44</v>
      </c>
      <c r="M157" t="s">
        <v>3526</v>
      </c>
      <c r="O157" t="s">
        <v>3099</v>
      </c>
      <c r="P157" t="s">
        <v>3100</v>
      </c>
      <c r="Q157" t="s">
        <v>3678</v>
      </c>
      <c r="R157" t="s">
        <v>46</v>
      </c>
      <c r="S157" t="s">
        <v>379</v>
      </c>
      <c r="T157" t="s">
        <v>379</v>
      </c>
      <c r="U157" s="1">
        <v>46076.443495370368</v>
      </c>
      <c r="V157" t="s">
        <v>31</v>
      </c>
      <c r="W157" t="s">
        <v>33</v>
      </c>
      <c r="X157" t="s">
        <v>3530</v>
      </c>
      <c r="Y157" t="s">
        <v>3134</v>
      </c>
      <c r="Z157" t="s">
        <v>38</v>
      </c>
      <c r="AA157" t="s">
        <v>31</v>
      </c>
      <c r="AB157" t="s">
        <v>206</v>
      </c>
      <c r="AC157" t="s">
        <v>30</v>
      </c>
      <c r="AD157" t="s">
        <v>46</v>
      </c>
      <c r="AE157" t="s">
        <v>379</v>
      </c>
      <c r="AF157" t="s">
        <v>379</v>
      </c>
      <c r="AG157" t="s">
        <v>38</v>
      </c>
      <c r="AH157">
        <v>15924</v>
      </c>
      <c r="AK157">
        <v>0</v>
      </c>
      <c r="AL157" t="s">
        <v>32</v>
      </c>
      <c r="AM157" t="s">
        <v>1536</v>
      </c>
      <c r="AN157" t="s">
        <v>1537</v>
      </c>
    </row>
    <row r="158" spans="1:40">
      <c r="A158" t="s">
        <v>1543</v>
      </c>
      <c r="B158" t="s">
        <v>34</v>
      </c>
      <c r="C158" t="s">
        <v>632</v>
      </c>
      <c r="D158" t="s">
        <v>1544</v>
      </c>
      <c r="E158" s="1">
        <v>46076.427719907406</v>
      </c>
      <c r="F158" t="s">
        <v>39</v>
      </c>
      <c r="G158" t="s">
        <v>776</v>
      </c>
      <c r="H158" t="s">
        <v>3667</v>
      </c>
      <c r="I158" t="s">
        <v>1545</v>
      </c>
      <c r="J158" t="s">
        <v>733</v>
      </c>
      <c r="K158" t="s">
        <v>44</v>
      </c>
      <c r="M158" t="s">
        <v>3526</v>
      </c>
      <c r="O158" t="s">
        <v>3099</v>
      </c>
      <c r="P158" t="s">
        <v>3100</v>
      </c>
      <c r="Q158" t="s">
        <v>3678</v>
      </c>
      <c r="R158" t="s">
        <v>46</v>
      </c>
      <c r="S158" t="s">
        <v>379</v>
      </c>
      <c r="T158" t="s">
        <v>379</v>
      </c>
      <c r="U158" s="1">
        <v>46076.428043981483</v>
      </c>
      <c r="V158" t="s">
        <v>31</v>
      </c>
      <c r="W158" t="s">
        <v>33</v>
      </c>
      <c r="X158" t="s">
        <v>3530</v>
      </c>
      <c r="Y158" t="s">
        <v>3240</v>
      </c>
      <c r="Z158" t="s">
        <v>38</v>
      </c>
      <c r="AA158" t="s">
        <v>31</v>
      </c>
      <c r="AB158" t="s">
        <v>726</v>
      </c>
      <c r="AC158" t="s">
        <v>30</v>
      </c>
      <c r="AD158" t="s">
        <v>46</v>
      </c>
      <c r="AE158" t="s">
        <v>379</v>
      </c>
      <c r="AF158" t="s">
        <v>379</v>
      </c>
      <c r="AG158" t="s">
        <v>38</v>
      </c>
      <c r="AH158">
        <v>15261</v>
      </c>
      <c r="AK158">
        <v>0</v>
      </c>
      <c r="AL158" t="s">
        <v>32</v>
      </c>
      <c r="AM158" t="s">
        <v>1546</v>
      </c>
      <c r="AN158" t="s">
        <v>1547</v>
      </c>
    </row>
    <row r="159" spans="1:40">
      <c r="A159" t="s">
        <v>1565</v>
      </c>
      <c r="B159" t="s">
        <v>34</v>
      </c>
      <c r="C159" t="s">
        <v>825</v>
      </c>
      <c r="D159" t="s">
        <v>1538</v>
      </c>
      <c r="E159" s="1">
        <v>46076.421435185184</v>
      </c>
      <c r="F159" t="s">
        <v>804</v>
      </c>
      <c r="G159" t="s">
        <v>776</v>
      </c>
      <c r="H159" t="s">
        <v>3669</v>
      </c>
      <c r="I159" t="s">
        <v>1566</v>
      </c>
      <c r="J159" t="s">
        <v>253</v>
      </c>
      <c r="K159" t="s">
        <v>44</v>
      </c>
      <c r="M159" t="s">
        <v>3526</v>
      </c>
      <c r="O159" t="s">
        <v>3099</v>
      </c>
      <c r="P159" t="s">
        <v>3100</v>
      </c>
      <c r="R159" t="s">
        <v>27</v>
      </c>
      <c r="S159" t="s">
        <v>28</v>
      </c>
      <c r="T159" t="s">
        <v>839</v>
      </c>
      <c r="U159" s="1">
        <v>46076.48505787037</v>
      </c>
      <c r="V159" t="s">
        <v>31</v>
      </c>
      <c r="W159" t="s">
        <v>33</v>
      </c>
      <c r="X159" t="s">
        <v>3530</v>
      </c>
      <c r="Y159" t="s">
        <v>3241</v>
      </c>
      <c r="Z159" t="s">
        <v>38</v>
      </c>
      <c r="AA159" t="s">
        <v>31</v>
      </c>
      <c r="AB159" t="s">
        <v>367</v>
      </c>
      <c r="AC159" t="s">
        <v>30</v>
      </c>
      <c r="AD159" t="s">
        <v>27</v>
      </c>
      <c r="AE159" t="s">
        <v>28</v>
      </c>
      <c r="AF159" t="s">
        <v>839</v>
      </c>
      <c r="AG159" t="s">
        <v>38</v>
      </c>
      <c r="AH159">
        <v>2501</v>
      </c>
      <c r="AK159">
        <v>2</v>
      </c>
      <c r="AL159" t="s">
        <v>32</v>
      </c>
      <c r="AM159" t="s">
        <v>1539</v>
      </c>
      <c r="AN159" t="s">
        <v>1540</v>
      </c>
    </row>
    <row r="160" spans="1:40">
      <c r="A160" t="s">
        <v>1570</v>
      </c>
      <c r="B160" t="s">
        <v>34</v>
      </c>
      <c r="C160" t="s">
        <v>1571</v>
      </c>
      <c r="D160" t="s">
        <v>1572</v>
      </c>
      <c r="E160" s="1">
        <v>46076.419953703706</v>
      </c>
      <c r="F160" t="s">
        <v>77</v>
      </c>
      <c r="G160" t="s">
        <v>776</v>
      </c>
      <c r="H160" t="s">
        <v>3669</v>
      </c>
      <c r="I160" t="s">
        <v>1573</v>
      </c>
      <c r="J160" t="s">
        <v>253</v>
      </c>
      <c r="K160" t="s">
        <v>44</v>
      </c>
      <c r="M160" t="s">
        <v>3526</v>
      </c>
      <c r="O160" t="s">
        <v>3099</v>
      </c>
      <c r="P160" t="s">
        <v>3100</v>
      </c>
      <c r="Q160" t="s">
        <v>3678</v>
      </c>
      <c r="R160" t="s">
        <v>27</v>
      </c>
      <c r="S160" t="s">
        <v>28</v>
      </c>
      <c r="T160" t="s">
        <v>839</v>
      </c>
      <c r="U160" s="1">
        <v>46077.392268518517</v>
      </c>
      <c r="V160" t="s">
        <v>31</v>
      </c>
      <c r="W160" t="s">
        <v>33</v>
      </c>
      <c r="X160" t="s">
        <v>3530</v>
      </c>
      <c r="Y160" t="s">
        <v>3223</v>
      </c>
      <c r="Z160" t="s">
        <v>38</v>
      </c>
      <c r="AA160" t="s">
        <v>31</v>
      </c>
      <c r="AB160" t="s">
        <v>367</v>
      </c>
      <c r="AC160" t="s">
        <v>30</v>
      </c>
      <c r="AD160" t="s">
        <v>27</v>
      </c>
      <c r="AE160" t="s">
        <v>28</v>
      </c>
      <c r="AF160" t="s">
        <v>839</v>
      </c>
      <c r="AG160" t="s">
        <v>38</v>
      </c>
      <c r="AH160">
        <v>14687</v>
      </c>
      <c r="AK160">
        <v>0</v>
      </c>
      <c r="AL160" t="s">
        <v>32</v>
      </c>
      <c r="AM160" t="s">
        <v>1574</v>
      </c>
      <c r="AN160" t="s">
        <v>1575</v>
      </c>
    </row>
    <row r="161" spans="1:40">
      <c r="A161" t="s">
        <v>1576</v>
      </c>
      <c r="B161" t="s">
        <v>34</v>
      </c>
      <c r="C161" t="s">
        <v>936</v>
      </c>
      <c r="D161" t="s">
        <v>142</v>
      </c>
      <c r="E161" s="1">
        <v>46076.418229166666</v>
      </c>
      <c r="F161" t="s">
        <v>262</v>
      </c>
      <c r="G161" t="s">
        <v>776</v>
      </c>
      <c r="H161" t="s">
        <v>3666</v>
      </c>
      <c r="I161" t="s">
        <v>590</v>
      </c>
      <c r="J161" t="s">
        <v>205</v>
      </c>
      <c r="K161" t="s">
        <v>44</v>
      </c>
      <c r="M161" t="s">
        <v>3526</v>
      </c>
      <c r="O161" t="s">
        <v>3099</v>
      </c>
      <c r="P161" t="s">
        <v>3100</v>
      </c>
      <c r="R161" t="s">
        <v>46</v>
      </c>
      <c r="S161" t="s">
        <v>379</v>
      </c>
      <c r="T161" t="s">
        <v>379</v>
      </c>
      <c r="U161" s="1">
        <v>46076.423680555556</v>
      </c>
      <c r="V161" t="s">
        <v>31</v>
      </c>
      <c r="W161" t="s">
        <v>33</v>
      </c>
      <c r="X161" t="s">
        <v>3530</v>
      </c>
      <c r="Y161" t="s">
        <v>3132</v>
      </c>
      <c r="Z161" t="s">
        <v>38</v>
      </c>
      <c r="AA161" t="s">
        <v>31</v>
      </c>
      <c r="AB161" t="s">
        <v>206</v>
      </c>
      <c r="AC161" t="s">
        <v>30</v>
      </c>
      <c r="AD161" t="s">
        <v>46</v>
      </c>
      <c r="AE161" t="s">
        <v>379</v>
      </c>
      <c r="AF161" t="s">
        <v>379</v>
      </c>
      <c r="AG161" t="s">
        <v>38</v>
      </c>
      <c r="AH161">
        <v>13125</v>
      </c>
      <c r="AK161">
        <v>0</v>
      </c>
      <c r="AL161" t="s">
        <v>32</v>
      </c>
      <c r="AM161" t="s">
        <v>1577</v>
      </c>
      <c r="AN161" t="s">
        <v>1578</v>
      </c>
    </row>
    <row r="162" spans="1:40">
      <c r="A162" t="s">
        <v>1579</v>
      </c>
      <c r="B162" t="s">
        <v>34</v>
      </c>
      <c r="C162" t="s">
        <v>68</v>
      </c>
      <c r="D162" t="s">
        <v>69</v>
      </c>
      <c r="E162" s="1">
        <v>46076.414467592593</v>
      </c>
      <c r="F162" t="s">
        <v>67</v>
      </c>
      <c r="G162" t="s">
        <v>776</v>
      </c>
      <c r="H162" t="s">
        <v>3671</v>
      </c>
      <c r="I162" t="s">
        <v>95</v>
      </c>
      <c r="J162" t="s">
        <v>477</v>
      </c>
      <c r="K162" t="s">
        <v>134</v>
      </c>
      <c r="M162" t="s">
        <v>3534</v>
      </c>
      <c r="O162" t="s">
        <v>3099</v>
      </c>
      <c r="P162" t="s">
        <v>3100</v>
      </c>
      <c r="Q162" t="s">
        <v>3693</v>
      </c>
      <c r="R162" t="s">
        <v>162</v>
      </c>
      <c r="S162" t="s">
        <v>163</v>
      </c>
      <c r="T162" t="s">
        <v>164</v>
      </c>
      <c r="U162" s="1">
        <v>46076.422291666669</v>
      </c>
      <c r="V162" t="s">
        <v>31</v>
      </c>
      <c r="W162" t="s">
        <v>33</v>
      </c>
      <c r="X162" t="s">
        <v>3536</v>
      </c>
      <c r="Y162" t="s">
        <v>3242</v>
      </c>
      <c r="Z162" t="s">
        <v>38</v>
      </c>
      <c r="AA162" t="s">
        <v>31</v>
      </c>
      <c r="AB162" t="s">
        <v>104</v>
      </c>
      <c r="AC162" t="s">
        <v>30</v>
      </c>
      <c r="AD162" t="s">
        <v>46</v>
      </c>
      <c r="AE162" t="s">
        <v>659</v>
      </c>
      <c r="AF162" t="s">
        <v>3243</v>
      </c>
      <c r="AG162" t="s">
        <v>38</v>
      </c>
      <c r="AH162">
        <v>5632</v>
      </c>
      <c r="AK162">
        <v>2</v>
      </c>
      <c r="AL162" t="s">
        <v>32</v>
      </c>
      <c r="AM162" t="s">
        <v>70</v>
      </c>
      <c r="AN162" t="s">
        <v>71</v>
      </c>
    </row>
    <row r="163" spans="1:40">
      <c r="A163" t="s">
        <v>1590</v>
      </c>
      <c r="B163" t="s">
        <v>24</v>
      </c>
      <c r="C163" t="s">
        <v>382</v>
      </c>
      <c r="D163" t="s">
        <v>1591</v>
      </c>
      <c r="E163" s="1">
        <v>46076.409560185188</v>
      </c>
      <c r="F163" t="s">
        <v>117</v>
      </c>
      <c r="G163" t="s">
        <v>776</v>
      </c>
      <c r="H163" t="s">
        <v>3668</v>
      </c>
      <c r="I163" t="s">
        <v>1592</v>
      </c>
      <c r="J163" t="s">
        <v>253</v>
      </c>
      <c r="K163" t="s">
        <v>44</v>
      </c>
      <c r="M163" t="s">
        <v>3526</v>
      </c>
      <c r="O163" t="s">
        <v>3103</v>
      </c>
      <c r="P163" t="s">
        <v>3104</v>
      </c>
      <c r="Q163" t="s">
        <v>3678</v>
      </c>
      <c r="R163" t="s">
        <v>46</v>
      </c>
      <c r="S163" t="s">
        <v>348</v>
      </c>
      <c r="T163" t="s">
        <v>349</v>
      </c>
      <c r="U163" s="1">
        <v>46077.587858796294</v>
      </c>
      <c r="V163" t="s">
        <v>31</v>
      </c>
      <c r="W163" t="s">
        <v>33</v>
      </c>
      <c r="X163" t="s">
        <v>3525</v>
      </c>
      <c r="Y163" t="s">
        <v>3244</v>
      </c>
      <c r="Z163" t="s">
        <v>38</v>
      </c>
      <c r="AA163" t="s">
        <v>31</v>
      </c>
      <c r="AB163" t="s">
        <v>243</v>
      </c>
      <c r="AC163" t="s">
        <v>86</v>
      </c>
      <c r="AD163" t="s">
        <v>46</v>
      </c>
      <c r="AE163" t="s">
        <v>313</v>
      </c>
      <c r="AF163" t="s">
        <v>314</v>
      </c>
      <c r="AG163" t="s">
        <v>38</v>
      </c>
      <c r="AH163">
        <v>14636</v>
      </c>
      <c r="AK163">
        <v>1</v>
      </c>
      <c r="AL163" t="s">
        <v>32</v>
      </c>
      <c r="AM163" t="s">
        <v>1593</v>
      </c>
      <c r="AN163" t="s">
        <v>1594</v>
      </c>
    </row>
    <row r="164" spans="1:40">
      <c r="A164" t="s">
        <v>1599</v>
      </c>
      <c r="B164" t="s">
        <v>34</v>
      </c>
      <c r="C164" t="s">
        <v>1524</v>
      </c>
      <c r="D164" t="s">
        <v>1525</v>
      </c>
      <c r="E164" s="1">
        <v>46076.408229166664</v>
      </c>
      <c r="F164" t="s">
        <v>74</v>
      </c>
      <c r="G164" t="s">
        <v>776</v>
      </c>
      <c r="H164" t="s">
        <v>3665</v>
      </c>
      <c r="I164" t="s">
        <v>109</v>
      </c>
      <c r="J164" t="s">
        <v>179</v>
      </c>
      <c r="K164" t="s">
        <v>44</v>
      </c>
      <c r="M164" t="s">
        <v>3526</v>
      </c>
      <c r="O164" t="s">
        <v>3099</v>
      </c>
      <c r="P164" t="s">
        <v>3100</v>
      </c>
      <c r="Q164" t="s">
        <v>3678</v>
      </c>
      <c r="R164" t="s">
        <v>46</v>
      </c>
      <c r="S164" t="s">
        <v>110</v>
      </c>
      <c r="T164" t="s">
        <v>111</v>
      </c>
      <c r="U164" s="1">
        <v>46076.409745370373</v>
      </c>
      <c r="V164" t="s">
        <v>180</v>
      </c>
      <c r="W164" t="s">
        <v>33</v>
      </c>
      <c r="X164" t="s">
        <v>3530</v>
      </c>
      <c r="Y164" t="s">
        <v>3245</v>
      </c>
      <c r="Z164" t="s">
        <v>38</v>
      </c>
      <c r="AA164" t="s">
        <v>180</v>
      </c>
      <c r="AB164" t="s">
        <v>350</v>
      </c>
      <c r="AC164" t="s">
        <v>30</v>
      </c>
      <c r="AD164" t="s">
        <v>46</v>
      </c>
      <c r="AE164" t="s">
        <v>110</v>
      </c>
      <c r="AF164" t="s">
        <v>111</v>
      </c>
      <c r="AG164" t="s">
        <v>38</v>
      </c>
      <c r="AH164">
        <v>12881</v>
      </c>
      <c r="AK164">
        <v>0</v>
      </c>
      <c r="AL164" t="s">
        <v>32</v>
      </c>
      <c r="AM164" t="s">
        <v>1526</v>
      </c>
      <c r="AN164" t="s">
        <v>1527</v>
      </c>
    </row>
    <row r="165" spans="1:40">
      <c r="A165" t="s">
        <v>1600</v>
      </c>
      <c r="B165" t="s">
        <v>34</v>
      </c>
      <c r="C165" t="s">
        <v>1601</v>
      </c>
      <c r="D165" t="s">
        <v>1602</v>
      </c>
      <c r="E165" s="1">
        <v>46076.401539351849</v>
      </c>
      <c r="F165" t="s">
        <v>67</v>
      </c>
      <c r="G165" t="s">
        <v>776</v>
      </c>
      <c r="H165" t="s">
        <v>3671</v>
      </c>
      <c r="I165" t="s">
        <v>590</v>
      </c>
      <c r="J165" t="s">
        <v>205</v>
      </c>
      <c r="K165" t="s">
        <v>44</v>
      </c>
      <c r="M165" t="s">
        <v>3526</v>
      </c>
      <c r="O165" t="s">
        <v>3099</v>
      </c>
      <c r="P165" t="s">
        <v>3100</v>
      </c>
      <c r="Q165" t="s">
        <v>3708</v>
      </c>
      <c r="R165" t="s">
        <v>46</v>
      </c>
      <c r="S165" t="s">
        <v>379</v>
      </c>
      <c r="T165" t="s">
        <v>379</v>
      </c>
      <c r="U165" s="1">
        <v>46076.402719907404</v>
      </c>
      <c r="V165" t="s">
        <v>31</v>
      </c>
      <c r="W165" t="s">
        <v>33</v>
      </c>
      <c r="X165" t="s">
        <v>3530</v>
      </c>
      <c r="Y165" t="s">
        <v>3132</v>
      </c>
      <c r="Z165" t="s">
        <v>38</v>
      </c>
      <c r="AA165" t="s">
        <v>31</v>
      </c>
      <c r="AB165" t="s">
        <v>206</v>
      </c>
      <c r="AC165" t="s">
        <v>30</v>
      </c>
      <c r="AD165" t="s">
        <v>46</v>
      </c>
      <c r="AE165" t="s">
        <v>379</v>
      </c>
      <c r="AF165" t="s">
        <v>379</v>
      </c>
      <c r="AG165" t="s">
        <v>38</v>
      </c>
      <c r="AH165">
        <v>3766</v>
      </c>
      <c r="AK165">
        <v>0</v>
      </c>
      <c r="AL165" t="s">
        <v>181</v>
      </c>
      <c r="AM165" t="s">
        <v>1603</v>
      </c>
      <c r="AN165" t="s">
        <v>1604</v>
      </c>
    </row>
    <row r="166" spans="1:40">
      <c r="A166" t="s">
        <v>1605</v>
      </c>
      <c r="B166" t="s">
        <v>34</v>
      </c>
      <c r="C166" t="s">
        <v>1606</v>
      </c>
      <c r="D166" t="s">
        <v>1607</v>
      </c>
      <c r="E166" s="1">
        <v>46076.401134259257</v>
      </c>
      <c r="F166" t="s">
        <v>26</v>
      </c>
      <c r="G166" t="s">
        <v>776</v>
      </c>
      <c r="H166" t="s">
        <v>3665</v>
      </c>
      <c r="I166" t="s">
        <v>1608</v>
      </c>
      <c r="J166" t="s">
        <v>733</v>
      </c>
      <c r="K166" t="s">
        <v>44</v>
      </c>
      <c r="M166" t="s">
        <v>3526</v>
      </c>
      <c r="O166" t="s">
        <v>3099</v>
      </c>
      <c r="P166" t="s">
        <v>3100</v>
      </c>
      <c r="Q166" t="s">
        <v>3695</v>
      </c>
      <c r="R166" t="s">
        <v>46</v>
      </c>
      <c r="S166" t="s">
        <v>348</v>
      </c>
      <c r="T166" t="s">
        <v>506</v>
      </c>
      <c r="U166" s="1">
        <v>46076.401666666665</v>
      </c>
      <c r="V166" t="s">
        <v>31</v>
      </c>
      <c r="W166" t="s">
        <v>33</v>
      </c>
      <c r="X166" t="s">
        <v>3530</v>
      </c>
      <c r="Y166" t="s">
        <v>3246</v>
      </c>
      <c r="Z166" t="s">
        <v>38</v>
      </c>
      <c r="AA166" t="s">
        <v>31</v>
      </c>
      <c r="AB166" t="s">
        <v>726</v>
      </c>
      <c r="AC166" t="s">
        <v>30</v>
      </c>
      <c r="AD166" t="s">
        <v>46</v>
      </c>
      <c r="AE166" t="s">
        <v>348</v>
      </c>
      <c r="AF166" t="s">
        <v>3197</v>
      </c>
      <c r="AG166" t="s">
        <v>38</v>
      </c>
      <c r="AH166">
        <v>11998</v>
      </c>
      <c r="AK166">
        <v>0</v>
      </c>
      <c r="AL166" t="s">
        <v>32</v>
      </c>
      <c r="AM166" t="s">
        <v>1609</v>
      </c>
      <c r="AN166" t="s">
        <v>1610</v>
      </c>
    </row>
    <row r="167" spans="1:40">
      <c r="A167" t="s">
        <v>1615</v>
      </c>
      <c r="B167" t="s">
        <v>34</v>
      </c>
      <c r="C167" t="s">
        <v>1616</v>
      </c>
      <c r="D167" t="s">
        <v>1617</v>
      </c>
      <c r="E167" s="1">
        <v>46076.398796296293</v>
      </c>
      <c r="F167" t="s">
        <v>353</v>
      </c>
      <c r="G167" t="s">
        <v>776</v>
      </c>
      <c r="H167" t="s">
        <v>3671</v>
      </c>
      <c r="I167" t="s">
        <v>535</v>
      </c>
      <c r="J167" t="s">
        <v>733</v>
      </c>
      <c r="K167" t="s">
        <v>44</v>
      </c>
      <c r="M167" t="s">
        <v>3526</v>
      </c>
      <c r="O167" t="s">
        <v>3099</v>
      </c>
      <c r="P167" t="s">
        <v>3100</v>
      </c>
      <c r="Q167" t="s">
        <v>910</v>
      </c>
      <c r="R167" t="s">
        <v>46</v>
      </c>
      <c r="S167" t="s">
        <v>188</v>
      </c>
      <c r="T167" t="s">
        <v>431</v>
      </c>
      <c r="U167" s="1">
        <v>46076.399224537039</v>
      </c>
      <c r="V167" t="s">
        <v>31</v>
      </c>
      <c r="W167" t="s">
        <v>33</v>
      </c>
      <c r="X167" t="s">
        <v>3530</v>
      </c>
      <c r="Y167" t="s">
        <v>3210</v>
      </c>
      <c r="Z167" t="s">
        <v>38</v>
      </c>
      <c r="AA167" t="s">
        <v>31</v>
      </c>
      <c r="AB167" t="s">
        <v>726</v>
      </c>
      <c r="AC167" t="s">
        <v>30</v>
      </c>
      <c r="AD167" t="s">
        <v>46</v>
      </c>
      <c r="AE167" t="s">
        <v>188</v>
      </c>
      <c r="AF167" t="s">
        <v>431</v>
      </c>
      <c r="AG167" t="s">
        <v>38</v>
      </c>
      <c r="AH167">
        <v>4160</v>
      </c>
      <c r="AK167">
        <v>0</v>
      </c>
      <c r="AL167" t="s">
        <v>32</v>
      </c>
      <c r="AM167" t="s">
        <v>1618</v>
      </c>
      <c r="AN167" t="s">
        <v>1619</v>
      </c>
    </row>
    <row r="168" spans="1:40">
      <c r="A168" t="s">
        <v>1620</v>
      </c>
      <c r="B168" t="s">
        <v>34</v>
      </c>
      <c r="C168" t="s">
        <v>1621</v>
      </c>
      <c r="D168" t="s">
        <v>1622</v>
      </c>
      <c r="E168" s="1">
        <v>46076.393530092595</v>
      </c>
      <c r="F168" t="s">
        <v>283</v>
      </c>
      <c r="G168" t="s">
        <v>776</v>
      </c>
      <c r="H168" t="s">
        <v>3670</v>
      </c>
      <c r="I168" t="s">
        <v>608</v>
      </c>
      <c r="J168" t="s">
        <v>205</v>
      </c>
      <c r="K168" t="s">
        <v>44</v>
      </c>
      <c r="M168" t="s">
        <v>3526</v>
      </c>
      <c r="O168" t="s">
        <v>3099</v>
      </c>
      <c r="P168" t="s">
        <v>3100</v>
      </c>
      <c r="Q168" t="s">
        <v>3678</v>
      </c>
      <c r="R168" t="s">
        <v>46</v>
      </c>
      <c r="S168" t="s">
        <v>379</v>
      </c>
      <c r="T168" t="s">
        <v>379</v>
      </c>
      <c r="U168" s="1">
        <v>46076.393819444442</v>
      </c>
      <c r="V168" t="s">
        <v>31</v>
      </c>
      <c r="W168" t="s">
        <v>33</v>
      </c>
      <c r="X168" t="s">
        <v>3530</v>
      </c>
      <c r="Y168" t="s">
        <v>3134</v>
      </c>
      <c r="Z168" t="s">
        <v>38</v>
      </c>
      <c r="AA168" t="s">
        <v>31</v>
      </c>
      <c r="AB168" t="s">
        <v>206</v>
      </c>
      <c r="AC168" t="s">
        <v>30</v>
      </c>
      <c r="AD168" t="s">
        <v>46</v>
      </c>
      <c r="AE168" t="s">
        <v>379</v>
      </c>
      <c r="AF168" t="s">
        <v>379</v>
      </c>
      <c r="AG168" t="s">
        <v>38</v>
      </c>
      <c r="AH168">
        <v>15525</v>
      </c>
      <c r="AK168">
        <v>0</v>
      </c>
      <c r="AL168" t="s">
        <v>32</v>
      </c>
      <c r="AM168" t="s">
        <v>1623</v>
      </c>
      <c r="AN168" t="s">
        <v>1624</v>
      </c>
    </row>
    <row r="169" spans="1:40">
      <c r="A169" t="s">
        <v>1625</v>
      </c>
      <c r="B169" t="s">
        <v>34</v>
      </c>
      <c r="C169" t="s">
        <v>25</v>
      </c>
      <c r="D169" t="s">
        <v>1626</v>
      </c>
      <c r="E169" s="1">
        <v>46076.38890046296</v>
      </c>
      <c r="F169" t="s">
        <v>26</v>
      </c>
      <c r="G169" t="s">
        <v>776</v>
      </c>
      <c r="H169" t="s">
        <v>3665</v>
      </c>
      <c r="I169" t="s">
        <v>520</v>
      </c>
      <c r="J169" t="s">
        <v>205</v>
      </c>
      <c r="K169" t="s">
        <v>44</v>
      </c>
      <c r="M169" t="s">
        <v>3526</v>
      </c>
      <c r="O169" t="s">
        <v>3099</v>
      </c>
      <c r="P169" t="s">
        <v>3100</v>
      </c>
      <c r="Q169" t="s">
        <v>3713</v>
      </c>
      <c r="R169" t="s">
        <v>46</v>
      </c>
      <c r="S169" t="s">
        <v>188</v>
      </c>
      <c r="T169" t="s">
        <v>521</v>
      </c>
      <c r="U169" s="1">
        <v>46076.390972222223</v>
      </c>
      <c r="V169" t="s">
        <v>31</v>
      </c>
      <c r="W169" t="s">
        <v>33</v>
      </c>
      <c r="X169" t="s">
        <v>3530</v>
      </c>
      <c r="Y169" t="s">
        <v>3121</v>
      </c>
      <c r="Z169" t="s">
        <v>38</v>
      </c>
      <c r="AA169" t="s">
        <v>31</v>
      </c>
      <c r="AB169" t="s">
        <v>206</v>
      </c>
      <c r="AC169" t="s">
        <v>30</v>
      </c>
      <c r="AD169" t="s">
        <v>46</v>
      </c>
      <c r="AE169" t="s">
        <v>188</v>
      </c>
      <c r="AF169" t="s">
        <v>521</v>
      </c>
      <c r="AG169" t="s">
        <v>38</v>
      </c>
      <c r="AH169">
        <v>7593</v>
      </c>
      <c r="AK169">
        <v>0</v>
      </c>
      <c r="AL169" t="s">
        <v>32</v>
      </c>
      <c r="AM169" t="s">
        <v>1627</v>
      </c>
      <c r="AN169" t="s">
        <v>1628</v>
      </c>
    </row>
    <row r="170" spans="1:40">
      <c r="A170" t="s">
        <v>1639</v>
      </c>
      <c r="B170" t="s">
        <v>24</v>
      </c>
      <c r="C170" t="s">
        <v>53</v>
      </c>
      <c r="D170" t="s">
        <v>1388</v>
      </c>
      <c r="E170" s="1">
        <v>46076.374965277777</v>
      </c>
      <c r="F170" t="s">
        <v>173</v>
      </c>
      <c r="G170" t="s">
        <v>776</v>
      </c>
      <c r="H170" t="s">
        <v>3666</v>
      </c>
      <c r="I170" t="s">
        <v>1640</v>
      </c>
      <c r="J170" t="s">
        <v>1301</v>
      </c>
      <c r="K170" t="s">
        <v>134</v>
      </c>
      <c r="M170" t="s">
        <v>3526</v>
      </c>
      <c r="O170" t="s">
        <v>3103</v>
      </c>
      <c r="P170" t="s">
        <v>3104</v>
      </c>
      <c r="Q170" t="s">
        <v>3678</v>
      </c>
      <c r="R170" t="s">
        <v>27</v>
      </c>
      <c r="S170" t="s">
        <v>28</v>
      </c>
      <c r="T170" t="s">
        <v>75</v>
      </c>
      <c r="U170" s="1">
        <v>46078.305509259262</v>
      </c>
      <c r="V170" t="s">
        <v>31</v>
      </c>
      <c r="W170" t="s">
        <v>33</v>
      </c>
      <c r="X170" t="s">
        <v>3536</v>
      </c>
      <c r="Y170" t="s">
        <v>3247</v>
      </c>
      <c r="Z170" t="s">
        <v>38</v>
      </c>
      <c r="AA170" t="s">
        <v>31</v>
      </c>
      <c r="AB170" t="s">
        <v>104</v>
      </c>
      <c r="AC170" t="s">
        <v>86</v>
      </c>
      <c r="AD170" t="s">
        <v>27</v>
      </c>
      <c r="AE170" t="s">
        <v>28</v>
      </c>
      <c r="AF170" t="s">
        <v>75</v>
      </c>
      <c r="AG170" t="s">
        <v>38</v>
      </c>
      <c r="AH170" t="s">
        <v>3611</v>
      </c>
      <c r="AK170">
        <v>5</v>
      </c>
      <c r="AL170" t="s">
        <v>32</v>
      </c>
      <c r="AM170" t="s">
        <v>1389</v>
      </c>
      <c r="AN170" t="s">
        <v>1390</v>
      </c>
    </row>
    <row r="171" spans="1:40">
      <c r="A171" t="s">
        <v>1641</v>
      </c>
      <c r="B171" t="s">
        <v>34</v>
      </c>
      <c r="C171" t="s">
        <v>115</v>
      </c>
      <c r="D171" t="s">
        <v>1292</v>
      </c>
      <c r="E171" s="1">
        <v>46076.373344907406</v>
      </c>
      <c r="F171" t="s">
        <v>265</v>
      </c>
      <c r="G171" t="s">
        <v>776</v>
      </c>
      <c r="H171" t="s">
        <v>3671</v>
      </c>
      <c r="I171" t="s">
        <v>252</v>
      </c>
      <c r="J171" t="s">
        <v>253</v>
      </c>
      <c r="K171" t="s">
        <v>44</v>
      </c>
      <c r="M171" t="s">
        <v>3526</v>
      </c>
      <c r="O171" t="s">
        <v>3099</v>
      </c>
      <c r="P171" t="s">
        <v>3100</v>
      </c>
      <c r="Q171" t="s">
        <v>3678</v>
      </c>
      <c r="R171" t="s">
        <v>162</v>
      </c>
      <c r="S171" t="s">
        <v>163</v>
      </c>
      <c r="T171" t="s">
        <v>164</v>
      </c>
      <c r="U171" s="1">
        <v>46078.445185185185</v>
      </c>
      <c r="V171" t="s">
        <v>31</v>
      </c>
      <c r="W171" t="s">
        <v>33</v>
      </c>
      <c r="X171" t="s">
        <v>3536</v>
      </c>
      <c r="Y171" t="s">
        <v>3248</v>
      </c>
      <c r="Z171" t="s">
        <v>38</v>
      </c>
      <c r="AA171" t="s">
        <v>31</v>
      </c>
      <c r="AB171" t="s">
        <v>104</v>
      </c>
      <c r="AC171" t="s">
        <v>30</v>
      </c>
      <c r="AD171" t="s">
        <v>46</v>
      </c>
      <c r="AE171" t="s">
        <v>515</v>
      </c>
      <c r="AF171" t="s">
        <v>2177</v>
      </c>
      <c r="AG171" t="s">
        <v>38</v>
      </c>
      <c r="AH171">
        <v>15792</v>
      </c>
      <c r="AK171">
        <v>8</v>
      </c>
      <c r="AL171" t="s">
        <v>32</v>
      </c>
      <c r="AM171" t="s">
        <v>1293</v>
      </c>
      <c r="AN171" t="s">
        <v>1294</v>
      </c>
    </row>
    <row r="172" spans="1:40">
      <c r="A172" t="s">
        <v>1642</v>
      </c>
      <c r="B172" t="s">
        <v>34</v>
      </c>
      <c r="C172" t="s">
        <v>236</v>
      </c>
      <c r="D172" t="s">
        <v>237</v>
      </c>
      <c r="E172" s="1">
        <v>46076.372662037036</v>
      </c>
      <c r="F172" t="s">
        <v>238</v>
      </c>
      <c r="G172" t="s">
        <v>776</v>
      </c>
      <c r="H172" t="s">
        <v>3665</v>
      </c>
      <c r="I172" t="s">
        <v>590</v>
      </c>
      <c r="J172" t="s">
        <v>205</v>
      </c>
      <c r="K172" t="s">
        <v>44</v>
      </c>
      <c r="M172" t="s">
        <v>3526</v>
      </c>
      <c r="O172" t="s">
        <v>3099</v>
      </c>
      <c r="P172" t="s">
        <v>3100</v>
      </c>
      <c r="Q172" t="s">
        <v>3678</v>
      </c>
      <c r="R172" t="s">
        <v>46</v>
      </c>
      <c r="S172" t="s">
        <v>379</v>
      </c>
      <c r="T172" t="s">
        <v>379</v>
      </c>
      <c r="U172" s="1">
        <v>46076.372939814813</v>
      </c>
      <c r="V172" t="s">
        <v>31</v>
      </c>
      <c r="W172" t="s">
        <v>33</v>
      </c>
      <c r="X172" t="s">
        <v>3530</v>
      </c>
      <c r="Y172" t="s">
        <v>3132</v>
      </c>
      <c r="Z172" t="s">
        <v>38</v>
      </c>
      <c r="AA172" t="s">
        <v>31</v>
      </c>
      <c r="AB172" t="s">
        <v>206</v>
      </c>
      <c r="AC172" t="s">
        <v>30</v>
      </c>
      <c r="AD172" t="s">
        <v>46</v>
      </c>
      <c r="AE172" t="s">
        <v>379</v>
      </c>
      <c r="AF172" t="s">
        <v>379</v>
      </c>
      <c r="AG172" t="s">
        <v>38</v>
      </c>
      <c r="AH172">
        <v>13638</v>
      </c>
      <c r="AK172">
        <v>0</v>
      </c>
      <c r="AL172" t="s">
        <v>32</v>
      </c>
      <c r="AM172" t="s">
        <v>239</v>
      </c>
      <c r="AN172" t="s">
        <v>240</v>
      </c>
    </row>
    <row r="173" spans="1:40">
      <c r="A173" t="s">
        <v>1647</v>
      </c>
      <c r="B173" t="s">
        <v>34</v>
      </c>
      <c r="C173" t="s">
        <v>800</v>
      </c>
      <c r="D173" t="s">
        <v>967</v>
      </c>
      <c r="E173" s="1">
        <v>46076.370810185188</v>
      </c>
      <c r="F173" t="s">
        <v>702</v>
      </c>
      <c r="G173" t="s">
        <v>776</v>
      </c>
      <c r="H173" t="s">
        <v>3670</v>
      </c>
      <c r="I173" t="s">
        <v>1648</v>
      </c>
      <c r="J173" t="s">
        <v>273</v>
      </c>
      <c r="K173" t="s">
        <v>134</v>
      </c>
      <c r="M173" t="s">
        <v>3526</v>
      </c>
      <c r="O173" t="s">
        <v>3099</v>
      </c>
      <c r="P173" t="s">
        <v>3100</v>
      </c>
      <c r="Q173" t="s">
        <v>3678</v>
      </c>
      <c r="R173" t="s">
        <v>46</v>
      </c>
      <c r="S173" t="s">
        <v>495</v>
      </c>
      <c r="T173" t="s">
        <v>1649</v>
      </c>
      <c r="U173" s="1">
        <v>46077.458761574075</v>
      </c>
      <c r="V173" t="s">
        <v>31</v>
      </c>
      <c r="W173" t="s">
        <v>33</v>
      </c>
      <c r="X173" t="s">
        <v>3530</v>
      </c>
      <c r="Y173" t="s">
        <v>3249</v>
      </c>
      <c r="Z173" t="s">
        <v>38</v>
      </c>
      <c r="AA173" t="s">
        <v>31</v>
      </c>
      <c r="AB173" t="s">
        <v>726</v>
      </c>
      <c r="AC173" t="s">
        <v>30</v>
      </c>
      <c r="AD173" t="s">
        <v>46</v>
      </c>
      <c r="AE173" t="s">
        <v>495</v>
      </c>
      <c r="AF173" t="s">
        <v>1649</v>
      </c>
      <c r="AG173" t="s">
        <v>38</v>
      </c>
      <c r="AH173">
        <v>15975</v>
      </c>
      <c r="AK173">
        <v>5</v>
      </c>
      <c r="AL173" t="s">
        <v>32</v>
      </c>
      <c r="AM173" t="s">
        <v>968</v>
      </c>
      <c r="AN173" t="s">
        <v>969</v>
      </c>
    </row>
    <row r="174" spans="1:40">
      <c r="A174" t="s">
        <v>1657</v>
      </c>
      <c r="B174" t="s">
        <v>34</v>
      </c>
      <c r="C174" t="s">
        <v>586</v>
      </c>
      <c r="D174" t="s">
        <v>156</v>
      </c>
      <c r="E174" s="1">
        <v>46076.362708333334</v>
      </c>
      <c r="F174" t="s">
        <v>62</v>
      </c>
      <c r="G174" t="s">
        <v>776</v>
      </c>
      <c r="H174" t="s">
        <v>3668</v>
      </c>
      <c r="I174" t="s">
        <v>252</v>
      </c>
      <c r="J174" t="s">
        <v>205</v>
      </c>
      <c r="K174" t="s">
        <v>44</v>
      </c>
      <c r="M174" t="s">
        <v>3526</v>
      </c>
      <c r="O174" t="s">
        <v>3099</v>
      </c>
      <c r="P174" t="s">
        <v>3100</v>
      </c>
      <c r="Q174" t="s">
        <v>3678</v>
      </c>
      <c r="R174" t="s">
        <v>162</v>
      </c>
      <c r="S174" t="s">
        <v>163</v>
      </c>
      <c r="T174" t="s">
        <v>164</v>
      </c>
      <c r="U174" s="1">
        <v>46078.495995370373</v>
      </c>
      <c r="V174" t="s">
        <v>31</v>
      </c>
      <c r="W174" t="s">
        <v>33</v>
      </c>
      <c r="X174" t="s">
        <v>3536</v>
      </c>
      <c r="Y174" t="s">
        <v>3250</v>
      </c>
      <c r="Z174" t="s">
        <v>38</v>
      </c>
      <c r="AA174" t="s">
        <v>31</v>
      </c>
      <c r="AB174" t="s">
        <v>104</v>
      </c>
      <c r="AC174" t="s">
        <v>30</v>
      </c>
      <c r="AD174" t="s">
        <v>46</v>
      </c>
      <c r="AE174" t="s">
        <v>515</v>
      </c>
      <c r="AF174" t="s">
        <v>2177</v>
      </c>
      <c r="AG174" t="s">
        <v>38</v>
      </c>
      <c r="AH174" t="s">
        <v>3563</v>
      </c>
      <c r="AK174">
        <v>8</v>
      </c>
      <c r="AL174" t="s">
        <v>32</v>
      </c>
      <c r="AM174" t="s">
        <v>587</v>
      </c>
      <c r="AN174" t="s">
        <v>588</v>
      </c>
    </row>
    <row r="175" spans="1:40">
      <c r="A175" t="s">
        <v>1658</v>
      </c>
      <c r="B175" t="s">
        <v>34</v>
      </c>
      <c r="C175" t="s">
        <v>1659</v>
      </c>
      <c r="D175" t="s">
        <v>1660</v>
      </c>
      <c r="E175" s="1">
        <v>46076.371331018519</v>
      </c>
      <c r="F175" t="s">
        <v>26</v>
      </c>
      <c r="G175" t="s">
        <v>776</v>
      </c>
      <c r="H175" t="s">
        <v>3665</v>
      </c>
      <c r="I175" t="s">
        <v>80</v>
      </c>
      <c r="J175" t="s">
        <v>179</v>
      </c>
      <c r="K175" t="s">
        <v>44</v>
      </c>
      <c r="M175" t="s">
        <v>3526</v>
      </c>
      <c r="O175" t="s">
        <v>3099</v>
      </c>
      <c r="P175" t="s">
        <v>3100</v>
      </c>
      <c r="Q175" t="s">
        <v>3678</v>
      </c>
      <c r="R175" t="s">
        <v>46</v>
      </c>
      <c r="S175" t="s">
        <v>110</v>
      </c>
      <c r="T175" t="s">
        <v>301</v>
      </c>
      <c r="U175" s="1">
        <v>46076.371562499997</v>
      </c>
      <c r="V175" t="s">
        <v>31</v>
      </c>
      <c r="W175" t="s">
        <v>33</v>
      </c>
      <c r="X175" t="s">
        <v>3530</v>
      </c>
      <c r="Y175" t="s">
        <v>3251</v>
      </c>
      <c r="Z175" t="s">
        <v>38</v>
      </c>
      <c r="AA175" t="s">
        <v>31</v>
      </c>
      <c r="AB175" t="s">
        <v>350</v>
      </c>
      <c r="AC175" t="s">
        <v>30</v>
      </c>
      <c r="AD175" t="s">
        <v>46</v>
      </c>
      <c r="AE175" t="s">
        <v>110</v>
      </c>
      <c r="AF175" t="s">
        <v>3252</v>
      </c>
      <c r="AG175" t="s">
        <v>38</v>
      </c>
      <c r="AH175" t="s">
        <v>3616</v>
      </c>
      <c r="AK175">
        <v>0</v>
      </c>
      <c r="AL175" t="s">
        <v>32</v>
      </c>
      <c r="AM175" t="s">
        <v>1661</v>
      </c>
      <c r="AN175" t="s">
        <v>1662</v>
      </c>
    </row>
    <row r="176" spans="1:40">
      <c r="A176" t="s">
        <v>1668</v>
      </c>
      <c r="B176" t="s">
        <v>34</v>
      </c>
      <c r="C176" t="s">
        <v>896</v>
      </c>
      <c r="D176" t="s">
        <v>261</v>
      </c>
      <c r="E176" s="1">
        <v>46076.366840277777</v>
      </c>
      <c r="F176" t="s">
        <v>593</v>
      </c>
      <c r="G176" t="s">
        <v>776</v>
      </c>
      <c r="H176" t="s">
        <v>3669</v>
      </c>
      <c r="I176" t="s">
        <v>590</v>
      </c>
      <c r="J176" t="s">
        <v>205</v>
      </c>
      <c r="K176" t="s">
        <v>44</v>
      </c>
      <c r="M176" t="s">
        <v>3526</v>
      </c>
      <c r="O176" t="s">
        <v>3099</v>
      </c>
      <c r="P176" t="s">
        <v>3100</v>
      </c>
      <c r="Q176" t="s">
        <v>3678</v>
      </c>
      <c r="R176" t="s">
        <v>46</v>
      </c>
      <c r="S176" t="s">
        <v>379</v>
      </c>
      <c r="T176" t="s">
        <v>379</v>
      </c>
      <c r="U176" s="1">
        <v>46076.367708333331</v>
      </c>
      <c r="V176" t="s">
        <v>31</v>
      </c>
      <c r="W176" t="s">
        <v>33</v>
      </c>
      <c r="X176" t="s">
        <v>3530</v>
      </c>
      <c r="Y176" t="s">
        <v>3132</v>
      </c>
      <c r="Z176" t="s">
        <v>38</v>
      </c>
      <c r="AA176" t="s">
        <v>31</v>
      </c>
      <c r="AB176" t="s">
        <v>206</v>
      </c>
      <c r="AC176" t="s">
        <v>30</v>
      </c>
      <c r="AD176" t="s">
        <v>46</v>
      </c>
      <c r="AE176" t="s">
        <v>379</v>
      </c>
      <c r="AF176" t="s">
        <v>379</v>
      </c>
      <c r="AG176" t="s">
        <v>38</v>
      </c>
      <c r="AH176">
        <v>12773</v>
      </c>
      <c r="AK176">
        <v>0</v>
      </c>
      <c r="AL176" t="s">
        <v>32</v>
      </c>
      <c r="AM176" t="s">
        <v>897</v>
      </c>
      <c r="AN176" t="s">
        <v>898</v>
      </c>
    </row>
    <row r="177" spans="1:40">
      <c r="A177" t="s">
        <v>1669</v>
      </c>
      <c r="B177" t="s">
        <v>34</v>
      </c>
      <c r="C177" t="s">
        <v>586</v>
      </c>
      <c r="D177" t="s">
        <v>156</v>
      </c>
      <c r="E177" s="1">
        <v>46076.36109953704</v>
      </c>
      <c r="F177" t="s">
        <v>62</v>
      </c>
      <c r="G177" t="s">
        <v>776</v>
      </c>
      <c r="H177" t="s">
        <v>3668</v>
      </c>
      <c r="I177" t="s">
        <v>1670</v>
      </c>
      <c r="J177" t="s">
        <v>320</v>
      </c>
      <c r="K177" t="s">
        <v>134</v>
      </c>
      <c r="M177" t="s">
        <v>3534</v>
      </c>
      <c r="O177" t="s">
        <v>3099</v>
      </c>
      <c r="P177" t="s">
        <v>3100</v>
      </c>
      <c r="Q177" t="s">
        <v>3678</v>
      </c>
      <c r="R177" t="s">
        <v>162</v>
      </c>
      <c r="S177" t="s">
        <v>163</v>
      </c>
      <c r="T177" t="s">
        <v>164</v>
      </c>
      <c r="U177" s="1">
        <v>46076.429988425924</v>
      </c>
      <c r="V177" t="s">
        <v>31</v>
      </c>
      <c r="W177" t="s">
        <v>33</v>
      </c>
      <c r="X177" t="s">
        <v>3536</v>
      </c>
      <c r="Y177" t="s">
        <v>3253</v>
      </c>
      <c r="Z177" t="s">
        <v>38</v>
      </c>
      <c r="AA177" t="s">
        <v>31</v>
      </c>
      <c r="AB177" t="s">
        <v>104</v>
      </c>
      <c r="AC177" t="s">
        <v>30</v>
      </c>
      <c r="AD177" t="s">
        <v>46</v>
      </c>
      <c r="AE177" t="s">
        <v>365</v>
      </c>
      <c r="AF177" t="s">
        <v>1287</v>
      </c>
      <c r="AG177" t="s">
        <v>38</v>
      </c>
      <c r="AH177" t="s">
        <v>3563</v>
      </c>
      <c r="AK177">
        <v>3</v>
      </c>
      <c r="AL177" t="s">
        <v>32</v>
      </c>
      <c r="AM177" t="s">
        <v>587</v>
      </c>
      <c r="AN177" t="s">
        <v>588</v>
      </c>
    </row>
    <row r="178" spans="1:40">
      <c r="A178" t="s">
        <v>1674</v>
      </c>
      <c r="B178" t="s">
        <v>34</v>
      </c>
      <c r="C178" t="s">
        <v>993</v>
      </c>
      <c r="D178" t="s">
        <v>994</v>
      </c>
      <c r="E178" s="1">
        <v>46076.375</v>
      </c>
      <c r="F178" t="s">
        <v>62</v>
      </c>
      <c r="G178" t="s">
        <v>776</v>
      </c>
      <c r="H178" t="s">
        <v>3668</v>
      </c>
      <c r="I178" t="s">
        <v>1675</v>
      </c>
      <c r="J178" t="s">
        <v>642</v>
      </c>
      <c r="K178" t="s">
        <v>134</v>
      </c>
      <c r="M178" t="s">
        <v>3526</v>
      </c>
      <c r="O178" t="s">
        <v>3099</v>
      </c>
      <c r="P178" t="s">
        <v>3100</v>
      </c>
      <c r="Q178" t="s">
        <v>3678</v>
      </c>
      <c r="R178" t="s">
        <v>162</v>
      </c>
      <c r="S178" t="s">
        <v>163</v>
      </c>
      <c r="T178" t="s">
        <v>164</v>
      </c>
      <c r="U178" s="1">
        <v>46078.375636574077</v>
      </c>
      <c r="V178" t="s">
        <v>31</v>
      </c>
      <c r="W178" t="s">
        <v>33</v>
      </c>
      <c r="X178" t="s">
        <v>3536</v>
      </c>
      <c r="Y178" t="s">
        <v>3254</v>
      </c>
      <c r="Z178" t="s">
        <v>38</v>
      </c>
      <c r="AA178" t="s">
        <v>31</v>
      </c>
      <c r="AB178" t="s">
        <v>1137</v>
      </c>
      <c r="AC178" t="s">
        <v>30</v>
      </c>
      <c r="AD178" t="s">
        <v>46</v>
      </c>
      <c r="AE178" t="s">
        <v>1353</v>
      </c>
      <c r="AF178" t="s">
        <v>95</v>
      </c>
      <c r="AG178" t="s">
        <v>38</v>
      </c>
      <c r="AH178">
        <v>15740</v>
      </c>
      <c r="AK178">
        <v>7</v>
      </c>
      <c r="AL178" t="s">
        <v>181</v>
      </c>
      <c r="AM178" t="s">
        <v>995</v>
      </c>
      <c r="AN178" t="s">
        <v>996</v>
      </c>
    </row>
    <row r="179" spans="1:40">
      <c r="A179" t="s">
        <v>1681</v>
      </c>
      <c r="B179" t="s">
        <v>34</v>
      </c>
      <c r="C179" t="s">
        <v>1682</v>
      </c>
      <c r="D179" t="s">
        <v>863</v>
      </c>
      <c r="E179" s="1">
        <v>46076.381921296299</v>
      </c>
      <c r="F179" t="s">
        <v>173</v>
      </c>
      <c r="G179" t="s">
        <v>776</v>
      </c>
      <c r="H179" t="s">
        <v>3666</v>
      </c>
      <c r="I179" t="s">
        <v>1683</v>
      </c>
      <c r="J179" t="s">
        <v>817</v>
      </c>
      <c r="K179" t="s">
        <v>134</v>
      </c>
      <c r="M179" t="s">
        <v>3526</v>
      </c>
      <c r="O179" t="s">
        <v>3099</v>
      </c>
      <c r="P179" t="s">
        <v>3100</v>
      </c>
      <c r="Q179" t="s">
        <v>3694</v>
      </c>
      <c r="R179" t="s">
        <v>46</v>
      </c>
      <c r="S179" t="s">
        <v>365</v>
      </c>
      <c r="T179" t="s">
        <v>1287</v>
      </c>
      <c r="U179" s="1">
        <v>46078.548460648148</v>
      </c>
      <c r="V179" t="s">
        <v>31</v>
      </c>
      <c r="W179" t="s">
        <v>33</v>
      </c>
      <c r="X179" t="s">
        <v>3530</v>
      </c>
      <c r="Y179" t="s">
        <v>3255</v>
      </c>
      <c r="Z179" t="s">
        <v>38</v>
      </c>
      <c r="AA179" t="s">
        <v>31</v>
      </c>
      <c r="AB179" t="s">
        <v>350</v>
      </c>
      <c r="AC179" t="s">
        <v>30</v>
      </c>
      <c r="AD179" t="s">
        <v>46</v>
      </c>
      <c r="AE179" t="s">
        <v>365</v>
      </c>
      <c r="AF179" t="s">
        <v>1287</v>
      </c>
      <c r="AG179" t="s">
        <v>38</v>
      </c>
      <c r="AH179">
        <v>10331</v>
      </c>
      <c r="AJ179">
        <v>191766</v>
      </c>
      <c r="AK179">
        <v>5</v>
      </c>
      <c r="AL179" t="s">
        <v>32</v>
      </c>
      <c r="AM179" t="s">
        <v>1684</v>
      </c>
      <c r="AN179" t="s">
        <v>1685</v>
      </c>
    </row>
    <row r="180" spans="1:40">
      <c r="A180" t="s">
        <v>1686</v>
      </c>
      <c r="B180" t="s">
        <v>34</v>
      </c>
      <c r="C180" t="s">
        <v>1687</v>
      </c>
      <c r="D180" t="s">
        <v>1688</v>
      </c>
      <c r="E180" s="1">
        <v>46076.358958333331</v>
      </c>
      <c r="F180" t="s">
        <v>265</v>
      </c>
      <c r="G180" t="s">
        <v>776</v>
      </c>
      <c r="H180" t="s">
        <v>3671</v>
      </c>
      <c r="I180" t="s">
        <v>590</v>
      </c>
      <c r="J180" t="s">
        <v>205</v>
      </c>
      <c r="K180" t="s">
        <v>44</v>
      </c>
      <c r="M180" t="s">
        <v>3526</v>
      </c>
      <c r="O180" t="s">
        <v>3099</v>
      </c>
      <c r="P180" t="s">
        <v>3100</v>
      </c>
      <c r="Q180" t="s">
        <v>3694</v>
      </c>
      <c r="R180" t="s">
        <v>46</v>
      </c>
      <c r="S180" t="s">
        <v>379</v>
      </c>
      <c r="T180" t="s">
        <v>379</v>
      </c>
      <c r="U180" s="1">
        <v>46076.359259259261</v>
      </c>
      <c r="V180" t="s">
        <v>31</v>
      </c>
      <c r="W180" t="s">
        <v>33</v>
      </c>
      <c r="X180" t="s">
        <v>3530</v>
      </c>
      <c r="Y180" t="s">
        <v>3132</v>
      </c>
      <c r="Z180" t="s">
        <v>38</v>
      </c>
      <c r="AA180" t="s">
        <v>31</v>
      </c>
      <c r="AB180" t="s">
        <v>206</v>
      </c>
      <c r="AC180" t="s">
        <v>30</v>
      </c>
      <c r="AD180" t="s">
        <v>46</v>
      </c>
      <c r="AE180" t="s">
        <v>379</v>
      </c>
      <c r="AF180" t="s">
        <v>379</v>
      </c>
      <c r="AG180" t="s">
        <v>38</v>
      </c>
      <c r="AH180">
        <v>3026</v>
      </c>
      <c r="AK180">
        <v>0</v>
      </c>
      <c r="AL180" t="s">
        <v>32</v>
      </c>
      <c r="AM180" t="s">
        <v>1689</v>
      </c>
      <c r="AN180" t="s">
        <v>1690</v>
      </c>
    </row>
    <row r="181" spans="1:40">
      <c r="A181" t="s">
        <v>1691</v>
      </c>
      <c r="B181" t="s">
        <v>34</v>
      </c>
      <c r="C181" t="s">
        <v>1687</v>
      </c>
      <c r="D181" t="s">
        <v>1688</v>
      </c>
      <c r="E181" s="1">
        <v>46076.356909722221</v>
      </c>
      <c r="F181" t="s">
        <v>265</v>
      </c>
      <c r="G181" t="s">
        <v>776</v>
      </c>
      <c r="H181" t="s">
        <v>3671</v>
      </c>
      <c r="I181" t="s">
        <v>608</v>
      </c>
      <c r="J181" t="s">
        <v>205</v>
      </c>
      <c r="K181" t="s">
        <v>44</v>
      </c>
      <c r="M181" t="s">
        <v>3526</v>
      </c>
      <c r="O181" t="s">
        <v>3099</v>
      </c>
      <c r="P181" t="s">
        <v>3100</v>
      </c>
      <c r="Q181" t="s">
        <v>3694</v>
      </c>
      <c r="R181" t="s">
        <v>46</v>
      </c>
      <c r="S181" t="s">
        <v>379</v>
      </c>
      <c r="T181" t="s">
        <v>379</v>
      </c>
      <c r="U181" s="1">
        <v>46076.357245370367</v>
      </c>
      <c r="V181" t="s">
        <v>31</v>
      </c>
      <c r="W181" t="s">
        <v>33</v>
      </c>
      <c r="X181" t="s">
        <v>3530</v>
      </c>
      <c r="Y181" t="s">
        <v>3139</v>
      </c>
      <c r="Z181" t="s">
        <v>38</v>
      </c>
      <c r="AA181" t="s">
        <v>31</v>
      </c>
      <c r="AB181" t="s">
        <v>206</v>
      </c>
      <c r="AC181" t="s">
        <v>30</v>
      </c>
      <c r="AD181" t="s">
        <v>46</v>
      </c>
      <c r="AE181" t="s">
        <v>379</v>
      </c>
      <c r="AF181" t="s">
        <v>379</v>
      </c>
      <c r="AG181" t="s">
        <v>38</v>
      </c>
      <c r="AH181">
        <v>3026</v>
      </c>
      <c r="AK181">
        <v>0</v>
      </c>
      <c r="AL181" t="s">
        <v>32</v>
      </c>
      <c r="AM181" t="s">
        <v>1689</v>
      </c>
      <c r="AN181" t="s">
        <v>1690</v>
      </c>
    </row>
    <row r="182" spans="1:40">
      <c r="A182" t="s">
        <v>1692</v>
      </c>
      <c r="B182" t="s">
        <v>34</v>
      </c>
      <c r="C182" t="s">
        <v>737</v>
      </c>
      <c r="D182" t="s">
        <v>738</v>
      </c>
      <c r="E182" s="1">
        <v>46076.360798611109</v>
      </c>
      <c r="F182" t="s">
        <v>153</v>
      </c>
      <c r="G182" t="s">
        <v>776</v>
      </c>
      <c r="H182" t="s">
        <v>3669</v>
      </c>
      <c r="I182" t="s">
        <v>109</v>
      </c>
      <c r="J182" t="s">
        <v>733</v>
      </c>
      <c r="K182" t="s">
        <v>44</v>
      </c>
      <c r="M182" t="s">
        <v>3526</v>
      </c>
      <c r="O182" t="s">
        <v>3099</v>
      </c>
      <c r="P182" t="s">
        <v>3100</v>
      </c>
      <c r="Q182" t="s">
        <v>3678</v>
      </c>
      <c r="R182" t="s">
        <v>46</v>
      </c>
      <c r="S182" t="s">
        <v>110</v>
      </c>
      <c r="T182" t="s">
        <v>111</v>
      </c>
      <c r="U182" s="1">
        <v>46076.361041666663</v>
      </c>
      <c r="V182" t="s">
        <v>31</v>
      </c>
      <c r="W182" t="s">
        <v>33</v>
      </c>
      <c r="X182" t="s">
        <v>3530</v>
      </c>
      <c r="Y182" t="s">
        <v>3147</v>
      </c>
      <c r="Z182" t="s">
        <v>38</v>
      </c>
      <c r="AA182" t="s">
        <v>31</v>
      </c>
      <c r="AB182" t="s">
        <v>726</v>
      </c>
      <c r="AC182" t="s">
        <v>30</v>
      </c>
      <c r="AD182" t="s">
        <v>46</v>
      </c>
      <c r="AE182" t="s">
        <v>110</v>
      </c>
      <c r="AF182" t="s">
        <v>111</v>
      </c>
      <c r="AG182" t="s">
        <v>38</v>
      </c>
      <c r="AH182" t="s">
        <v>3577</v>
      </c>
      <c r="AK182">
        <v>0</v>
      </c>
      <c r="AL182" t="s">
        <v>32</v>
      </c>
      <c r="AM182" t="s">
        <v>740</v>
      </c>
      <c r="AN182" t="s">
        <v>741</v>
      </c>
    </row>
    <row r="183" spans="1:40">
      <c r="A183" t="s">
        <v>1698</v>
      </c>
      <c r="B183" t="s">
        <v>34</v>
      </c>
      <c r="C183" t="s">
        <v>1659</v>
      </c>
      <c r="D183" t="s">
        <v>1660</v>
      </c>
      <c r="E183" s="1">
        <v>46076.341620370367</v>
      </c>
      <c r="F183" t="s">
        <v>26</v>
      </c>
      <c r="G183" t="s">
        <v>776</v>
      </c>
      <c r="H183" t="s">
        <v>3665</v>
      </c>
      <c r="I183" t="s">
        <v>109</v>
      </c>
      <c r="J183" t="s">
        <v>1149</v>
      </c>
      <c r="K183" t="s">
        <v>44</v>
      </c>
      <c r="M183" t="s">
        <v>3526</v>
      </c>
      <c r="O183" t="s">
        <v>3099</v>
      </c>
      <c r="P183" t="s">
        <v>3100</v>
      </c>
      <c r="Q183" t="s">
        <v>3678</v>
      </c>
      <c r="R183" t="s">
        <v>46</v>
      </c>
      <c r="S183" t="s">
        <v>110</v>
      </c>
      <c r="T183" t="s">
        <v>111</v>
      </c>
      <c r="U183" s="1">
        <v>46076.34202546296</v>
      </c>
      <c r="V183" t="s">
        <v>31</v>
      </c>
      <c r="W183" t="s">
        <v>33</v>
      </c>
      <c r="X183" t="s">
        <v>3530</v>
      </c>
      <c r="Y183" t="s">
        <v>3193</v>
      </c>
      <c r="Z183" t="s">
        <v>38</v>
      </c>
      <c r="AA183" t="s">
        <v>31</v>
      </c>
      <c r="AB183" t="s">
        <v>1150</v>
      </c>
      <c r="AC183" t="s">
        <v>30</v>
      </c>
      <c r="AD183" t="s">
        <v>46</v>
      </c>
      <c r="AE183" t="s">
        <v>110</v>
      </c>
      <c r="AF183" t="s">
        <v>111</v>
      </c>
      <c r="AG183" t="s">
        <v>38</v>
      </c>
      <c r="AH183" t="s">
        <v>3616</v>
      </c>
      <c r="AK183">
        <v>0</v>
      </c>
      <c r="AL183" t="s">
        <v>32</v>
      </c>
      <c r="AM183" t="s">
        <v>1661</v>
      </c>
      <c r="AN183" t="s">
        <v>1662</v>
      </c>
    </row>
    <row r="184" spans="1:40">
      <c r="A184" t="s">
        <v>1704</v>
      </c>
      <c r="B184" t="s">
        <v>24</v>
      </c>
      <c r="C184" t="s">
        <v>346</v>
      </c>
      <c r="D184" t="s">
        <v>1705</v>
      </c>
      <c r="E184" s="1">
        <v>46076.338807870372</v>
      </c>
      <c r="F184" t="s">
        <v>226</v>
      </c>
      <c r="G184" t="s">
        <v>776</v>
      </c>
      <c r="H184" t="s">
        <v>3665</v>
      </c>
      <c r="I184" t="s">
        <v>1706</v>
      </c>
      <c r="J184" t="s">
        <v>494</v>
      </c>
      <c r="K184" t="s">
        <v>134</v>
      </c>
      <c r="M184" t="s">
        <v>3526</v>
      </c>
      <c r="O184" t="s">
        <v>3103</v>
      </c>
      <c r="P184" t="s">
        <v>3104</v>
      </c>
      <c r="Q184" t="s">
        <v>3678</v>
      </c>
      <c r="R184" t="s">
        <v>46</v>
      </c>
      <c r="S184" t="s">
        <v>495</v>
      </c>
      <c r="T184" t="s">
        <v>1649</v>
      </c>
      <c r="U184" s="1">
        <v>46077.493090277778</v>
      </c>
      <c r="V184" t="s">
        <v>31</v>
      </c>
      <c r="W184" t="s">
        <v>33</v>
      </c>
      <c r="X184" t="s">
        <v>3530</v>
      </c>
      <c r="Y184" t="e">
        <f>- the Faulty Monitor has been replaced. - issue resolved.</f>
        <v>#NAME?</v>
      </c>
      <c r="Z184" t="s">
        <v>38</v>
      </c>
      <c r="AA184" t="s">
        <v>31</v>
      </c>
      <c r="AB184" t="s">
        <v>1150</v>
      </c>
      <c r="AC184" t="s">
        <v>86</v>
      </c>
      <c r="AD184" t="s">
        <v>46</v>
      </c>
      <c r="AE184" t="s">
        <v>365</v>
      </c>
      <c r="AF184" t="s">
        <v>366</v>
      </c>
      <c r="AG184" t="s">
        <v>38</v>
      </c>
      <c r="AH184">
        <v>15128</v>
      </c>
      <c r="AK184">
        <v>0</v>
      </c>
      <c r="AL184" t="s">
        <v>32</v>
      </c>
      <c r="AM184" t="s">
        <v>1707</v>
      </c>
      <c r="AN184" t="s">
        <v>1708</v>
      </c>
    </row>
    <row r="185" spans="1:40">
      <c r="A185" t="s">
        <v>1723</v>
      </c>
      <c r="B185" t="s">
        <v>34</v>
      </c>
      <c r="C185" t="s">
        <v>1724</v>
      </c>
      <c r="D185" t="s">
        <v>1725</v>
      </c>
      <c r="E185" s="1">
        <v>46076.312175925923</v>
      </c>
      <c r="F185" t="s">
        <v>101</v>
      </c>
      <c r="G185" t="s">
        <v>776</v>
      </c>
      <c r="H185" t="s">
        <v>3667</v>
      </c>
      <c r="I185" t="s">
        <v>1158</v>
      </c>
      <c r="J185" t="s">
        <v>1149</v>
      </c>
      <c r="K185" t="s">
        <v>44</v>
      </c>
      <c r="M185" t="s">
        <v>3526</v>
      </c>
      <c r="O185" t="s">
        <v>3099</v>
      </c>
      <c r="P185" t="s">
        <v>3100</v>
      </c>
      <c r="Q185" t="s">
        <v>3678</v>
      </c>
      <c r="R185" t="s">
        <v>46</v>
      </c>
      <c r="S185" t="s">
        <v>379</v>
      </c>
      <c r="T185" t="s">
        <v>379</v>
      </c>
      <c r="U185" s="1">
        <v>46076.312534722223</v>
      </c>
      <c r="V185" t="s">
        <v>31</v>
      </c>
      <c r="W185" t="s">
        <v>33</v>
      </c>
      <c r="X185" t="s">
        <v>3530</v>
      </c>
      <c r="Y185" t="s">
        <v>3195</v>
      </c>
      <c r="Z185" t="s">
        <v>38</v>
      </c>
      <c r="AA185" t="s">
        <v>31</v>
      </c>
      <c r="AB185" t="s">
        <v>1150</v>
      </c>
      <c r="AC185" t="s">
        <v>30</v>
      </c>
      <c r="AD185" t="s">
        <v>46</v>
      </c>
      <c r="AE185" t="s">
        <v>379</v>
      </c>
      <c r="AF185" t="s">
        <v>379</v>
      </c>
      <c r="AG185" t="s">
        <v>38</v>
      </c>
      <c r="AH185">
        <v>12796</v>
      </c>
      <c r="AK185">
        <v>0</v>
      </c>
      <c r="AL185" t="s">
        <v>32</v>
      </c>
      <c r="AM185" t="s">
        <v>1726</v>
      </c>
      <c r="AN185" t="s">
        <v>1727</v>
      </c>
    </row>
    <row r="186" spans="1:40">
      <c r="A186" t="s">
        <v>1728</v>
      </c>
      <c r="B186" t="s">
        <v>34</v>
      </c>
      <c r="C186" t="s">
        <v>914</v>
      </c>
      <c r="D186" t="s">
        <v>235</v>
      </c>
      <c r="E186" s="1">
        <v>46076.307187500002</v>
      </c>
      <c r="F186" t="s">
        <v>555</v>
      </c>
      <c r="G186" t="s">
        <v>776</v>
      </c>
      <c r="H186" t="s">
        <v>3666</v>
      </c>
      <c r="I186" t="s">
        <v>109</v>
      </c>
      <c r="J186" t="s">
        <v>1149</v>
      </c>
      <c r="K186" t="s">
        <v>44</v>
      </c>
      <c r="M186" t="s">
        <v>3526</v>
      </c>
      <c r="O186" t="s">
        <v>3099</v>
      </c>
      <c r="P186" t="s">
        <v>3100</v>
      </c>
      <c r="Q186" t="s">
        <v>3678</v>
      </c>
      <c r="R186" t="s">
        <v>46</v>
      </c>
      <c r="S186" t="s">
        <v>110</v>
      </c>
      <c r="T186" t="s">
        <v>111</v>
      </c>
      <c r="U186" s="1">
        <v>46076.308125000003</v>
      </c>
      <c r="V186" t="s">
        <v>31</v>
      </c>
      <c r="W186" t="s">
        <v>33</v>
      </c>
      <c r="X186" t="s">
        <v>3530</v>
      </c>
      <c r="Y186" t="s">
        <v>3193</v>
      </c>
      <c r="Z186" t="s">
        <v>38</v>
      </c>
      <c r="AA186" t="s">
        <v>31</v>
      </c>
      <c r="AB186" t="s">
        <v>1150</v>
      </c>
      <c r="AC186" t="s">
        <v>30</v>
      </c>
      <c r="AD186" t="s">
        <v>46</v>
      </c>
      <c r="AE186" t="s">
        <v>110</v>
      </c>
      <c r="AF186" t="s">
        <v>111</v>
      </c>
      <c r="AG186" t="s">
        <v>38</v>
      </c>
      <c r="AH186">
        <v>12083</v>
      </c>
      <c r="AK186">
        <v>0</v>
      </c>
      <c r="AL186" t="s">
        <v>32</v>
      </c>
      <c r="AM186" t="s">
        <v>1085</v>
      </c>
      <c r="AN186" t="s">
        <v>1086</v>
      </c>
    </row>
    <row r="187" spans="1:40">
      <c r="A187" t="s">
        <v>1729</v>
      </c>
      <c r="B187" t="s">
        <v>34</v>
      </c>
      <c r="C187" t="s">
        <v>1730</v>
      </c>
      <c r="D187" t="s">
        <v>172</v>
      </c>
      <c r="E187" s="1">
        <v>46076.287719907406</v>
      </c>
      <c r="F187" t="s">
        <v>702</v>
      </c>
      <c r="G187" t="s">
        <v>776</v>
      </c>
      <c r="H187" t="s">
        <v>3670</v>
      </c>
      <c r="I187" t="s">
        <v>109</v>
      </c>
      <c r="J187" t="s">
        <v>1149</v>
      </c>
      <c r="K187" t="s">
        <v>44</v>
      </c>
      <c r="M187" t="s">
        <v>3526</v>
      </c>
      <c r="O187" t="s">
        <v>3099</v>
      </c>
      <c r="P187" t="s">
        <v>3100</v>
      </c>
      <c r="Q187" t="s">
        <v>3723</v>
      </c>
      <c r="R187" t="s">
        <v>46</v>
      </c>
      <c r="S187" t="s">
        <v>110</v>
      </c>
      <c r="T187" t="s">
        <v>111</v>
      </c>
      <c r="U187" s="1">
        <v>46076.288449074076</v>
      </c>
      <c r="V187" t="s">
        <v>31</v>
      </c>
      <c r="W187" t="s">
        <v>33</v>
      </c>
      <c r="X187" t="s">
        <v>3530</v>
      </c>
      <c r="Y187" t="s">
        <v>3193</v>
      </c>
      <c r="Z187" t="s">
        <v>38</v>
      </c>
      <c r="AA187" t="s">
        <v>31</v>
      </c>
      <c r="AB187" t="s">
        <v>1150</v>
      </c>
      <c r="AC187" t="s">
        <v>30</v>
      </c>
      <c r="AD187" t="s">
        <v>46</v>
      </c>
      <c r="AE187" t="s">
        <v>110</v>
      </c>
      <c r="AF187" t="s">
        <v>111</v>
      </c>
      <c r="AG187" t="s">
        <v>38</v>
      </c>
      <c r="AH187">
        <v>4372</v>
      </c>
      <c r="AK187">
        <v>0</v>
      </c>
      <c r="AL187" t="s">
        <v>32</v>
      </c>
      <c r="AM187" t="s">
        <v>1731</v>
      </c>
      <c r="AN187" t="s">
        <v>1732</v>
      </c>
    </row>
    <row r="188" spans="1:40">
      <c r="A188" t="s">
        <v>1733</v>
      </c>
      <c r="B188" t="s">
        <v>34</v>
      </c>
      <c r="C188" t="s">
        <v>115</v>
      </c>
      <c r="D188" t="s">
        <v>383</v>
      </c>
      <c r="E188" s="1">
        <v>46076.266608796293</v>
      </c>
      <c r="F188" t="s">
        <v>101</v>
      </c>
      <c r="G188" t="s">
        <v>776</v>
      </c>
      <c r="H188" t="s">
        <v>3667</v>
      </c>
      <c r="I188" t="s">
        <v>1158</v>
      </c>
      <c r="J188" t="s">
        <v>1149</v>
      </c>
      <c r="K188" t="s">
        <v>44</v>
      </c>
      <c r="M188" t="s">
        <v>3526</v>
      </c>
      <c r="O188" t="s">
        <v>3099</v>
      </c>
      <c r="P188" t="s">
        <v>3100</v>
      </c>
      <c r="Q188" t="s">
        <v>3678</v>
      </c>
      <c r="R188" t="s">
        <v>46</v>
      </c>
      <c r="S188" t="s">
        <v>379</v>
      </c>
      <c r="T188" t="s">
        <v>379</v>
      </c>
      <c r="U188" s="1">
        <v>46076.267592592594</v>
      </c>
      <c r="V188" t="s">
        <v>31</v>
      </c>
      <c r="W188" t="s">
        <v>33</v>
      </c>
      <c r="X188" t="s">
        <v>3530</v>
      </c>
      <c r="Y188" t="s">
        <v>3195</v>
      </c>
      <c r="Z188" t="s">
        <v>38</v>
      </c>
      <c r="AA188" t="s">
        <v>31</v>
      </c>
      <c r="AB188" t="s">
        <v>1150</v>
      </c>
      <c r="AC188" t="s">
        <v>30</v>
      </c>
      <c r="AD188" t="s">
        <v>46</v>
      </c>
      <c r="AE188" t="s">
        <v>379</v>
      </c>
      <c r="AF188" t="s">
        <v>379</v>
      </c>
      <c r="AG188" t="s">
        <v>38</v>
      </c>
      <c r="AH188">
        <v>6102</v>
      </c>
      <c r="AK188">
        <v>0</v>
      </c>
      <c r="AL188" t="s">
        <v>32</v>
      </c>
      <c r="AM188" t="s">
        <v>1734</v>
      </c>
      <c r="AN188" t="s">
        <v>1735</v>
      </c>
    </row>
    <row r="189" spans="1:40">
      <c r="A189" t="s">
        <v>1736</v>
      </c>
      <c r="B189" t="s">
        <v>34</v>
      </c>
      <c r="C189" t="s">
        <v>1737</v>
      </c>
      <c r="D189" t="s">
        <v>244</v>
      </c>
      <c r="E189" s="1">
        <v>46076.265648148146</v>
      </c>
      <c r="F189" t="s">
        <v>62</v>
      </c>
      <c r="G189" t="s">
        <v>776</v>
      </c>
      <c r="H189" t="s">
        <v>3668</v>
      </c>
      <c r="I189" t="s">
        <v>1738</v>
      </c>
      <c r="J189" t="s">
        <v>1149</v>
      </c>
      <c r="K189" t="s">
        <v>44</v>
      </c>
      <c r="M189" t="s">
        <v>3526</v>
      </c>
      <c r="O189" t="s">
        <v>3099</v>
      </c>
      <c r="P189" t="s">
        <v>3100</v>
      </c>
      <c r="Q189" t="s">
        <v>3678</v>
      </c>
      <c r="R189" t="s">
        <v>46</v>
      </c>
      <c r="S189" t="s">
        <v>348</v>
      </c>
      <c r="T189" t="s">
        <v>506</v>
      </c>
      <c r="U189" s="1">
        <v>46076.267314814817</v>
      </c>
      <c r="V189" t="s">
        <v>31</v>
      </c>
      <c r="W189" t="s">
        <v>33</v>
      </c>
      <c r="X189" t="s">
        <v>3530</v>
      </c>
      <c r="Y189" t="s">
        <v>3196</v>
      </c>
      <c r="Z189" t="s">
        <v>38</v>
      </c>
      <c r="AA189" t="s">
        <v>31</v>
      </c>
      <c r="AB189" t="s">
        <v>1150</v>
      </c>
      <c r="AC189" t="s">
        <v>30</v>
      </c>
      <c r="AD189" t="s">
        <v>46</v>
      </c>
      <c r="AE189" t="s">
        <v>348</v>
      </c>
      <c r="AF189" t="s">
        <v>3197</v>
      </c>
      <c r="AG189" t="s">
        <v>38</v>
      </c>
      <c r="AH189" t="s">
        <v>3621</v>
      </c>
      <c r="AK189">
        <v>0</v>
      </c>
      <c r="AL189" t="s">
        <v>32</v>
      </c>
      <c r="AM189" t="s">
        <v>1739</v>
      </c>
      <c r="AN189" t="s">
        <v>1740</v>
      </c>
    </row>
    <row r="190" spans="1:40">
      <c r="A190" t="s">
        <v>1741</v>
      </c>
      <c r="B190" t="s">
        <v>34</v>
      </c>
      <c r="C190" t="s">
        <v>1742</v>
      </c>
      <c r="D190" t="s">
        <v>1743</v>
      </c>
      <c r="E190" s="1">
        <v>46076.260694444441</v>
      </c>
      <c r="F190" t="s">
        <v>153</v>
      </c>
      <c r="G190" t="s">
        <v>776</v>
      </c>
      <c r="H190" t="s">
        <v>3669</v>
      </c>
      <c r="I190" t="s">
        <v>109</v>
      </c>
      <c r="J190" t="s">
        <v>1149</v>
      </c>
      <c r="K190" t="s">
        <v>44</v>
      </c>
      <c r="M190" t="s">
        <v>3526</v>
      </c>
      <c r="O190" t="s">
        <v>3099</v>
      </c>
      <c r="P190" t="s">
        <v>3100</v>
      </c>
      <c r="Q190" t="s">
        <v>3678</v>
      </c>
      <c r="R190" t="s">
        <v>46</v>
      </c>
      <c r="S190" t="s">
        <v>110</v>
      </c>
      <c r="T190" t="s">
        <v>111</v>
      </c>
      <c r="U190" s="1">
        <v>46076.266967592594</v>
      </c>
      <c r="V190" t="s">
        <v>31</v>
      </c>
      <c r="W190" t="s">
        <v>33</v>
      </c>
      <c r="X190" t="s">
        <v>3530</v>
      </c>
      <c r="Y190" t="s">
        <v>3193</v>
      </c>
      <c r="Z190" t="s">
        <v>38</v>
      </c>
      <c r="AA190" t="s">
        <v>31</v>
      </c>
      <c r="AB190" t="s">
        <v>1150</v>
      </c>
      <c r="AC190" t="s">
        <v>30</v>
      </c>
      <c r="AD190" t="s">
        <v>46</v>
      </c>
      <c r="AE190" t="s">
        <v>110</v>
      </c>
      <c r="AF190" t="s">
        <v>111</v>
      </c>
      <c r="AG190" t="s">
        <v>38</v>
      </c>
      <c r="AH190" t="s">
        <v>3622</v>
      </c>
      <c r="AK190">
        <v>0</v>
      </c>
      <c r="AL190" t="s">
        <v>32</v>
      </c>
      <c r="AM190" t="s">
        <v>1744</v>
      </c>
      <c r="AN190" t="s">
        <v>1745</v>
      </c>
    </row>
    <row r="191" spans="1:40">
      <c r="A191" t="s">
        <v>1746</v>
      </c>
      <c r="B191" t="s">
        <v>34</v>
      </c>
      <c r="C191" t="s">
        <v>1147</v>
      </c>
      <c r="D191" t="s">
        <v>1148</v>
      </c>
      <c r="E191" s="1">
        <v>46076.259363425925</v>
      </c>
      <c r="F191" t="s">
        <v>153</v>
      </c>
      <c r="G191" t="s">
        <v>776</v>
      </c>
      <c r="H191" t="s">
        <v>3669</v>
      </c>
      <c r="I191" t="s">
        <v>109</v>
      </c>
      <c r="J191" t="s">
        <v>1149</v>
      </c>
      <c r="K191" t="s">
        <v>44</v>
      </c>
      <c r="M191" t="s">
        <v>3526</v>
      </c>
      <c r="O191" t="s">
        <v>3099</v>
      </c>
      <c r="P191" t="s">
        <v>3100</v>
      </c>
      <c r="Q191" t="s">
        <v>3678</v>
      </c>
      <c r="R191" t="s">
        <v>46</v>
      </c>
      <c r="S191" t="s">
        <v>110</v>
      </c>
      <c r="T191" t="s">
        <v>111</v>
      </c>
      <c r="U191" s="1">
        <v>46076.266805555555</v>
      </c>
      <c r="V191" t="s">
        <v>31</v>
      </c>
      <c r="W191" t="s">
        <v>33</v>
      </c>
      <c r="X191" t="s">
        <v>3530</v>
      </c>
      <c r="Y191" t="s">
        <v>3193</v>
      </c>
      <c r="Z191" t="s">
        <v>38</v>
      </c>
      <c r="AA191" t="s">
        <v>31</v>
      </c>
      <c r="AB191" t="s">
        <v>1150</v>
      </c>
      <c r="AC191" t="s">
        <v>30</v>
      </c>
      <c r="AD191" t="s">
        <v>46</v>
      </c>
      <c r="AE191" t="s">
        <v>110</v>
      </c>
      <c r="AF191" t="s">
        <v>111</v>
      </c>
      <c r="AG191" t="s">
        <v>38</v>
      </c>
      <c r="AK191">
        <v>0</v>
      </c>
      <c r="AL191" t="s">
        <v>32</v>
      </c>
      <c r="AM191" t="s">
        <v>739</v>
      </c>
      <c r="AN191" t="s">
        <v>1151</v>
      </c>
    </row>
    <row r="192" spans="1:40">
      <c r="A192" t="s">
        <v>1751</v>
      </c>
      <c r="B192" t="s">
        <v>34</v>
      </c>
      <c r="C192" t="s">
        <v>769</v>
      </c>
      <c r="D192" t="s">
        <v>770</v>
      </c>
      <c r="E192" s="1">
        <v>46076.093761574077</v>
      </c>
      <c r="F192" t="s">
        <v>62</v>
      </c>
      <c r="G192" t="s">
        <v>776</v>
      </c>
      <c r="H192" t="s">
        <v>3668</v>
      </c>
      <c r="I192" t="s">
        <v>1752</v>
      </c>
      <c r="J192" t="s">
        <v>772</v>
      </c>
      <c r="K192" t="s">
        <v>651</v>
      </c>
      <c r="M192" t="s">
        <v>3529</v>
      </c>
      <c r="O192" t="s">
        <v>3099</v>
      </c>
      <c r="P192" t="s">
        <v>3100</v>
      </c>
      <c r="Q192" t="s">
        <v>3678</v>
      </c>
      <c r="R192" t="s">
        <v>46</v>
      </c>
      <c r="S192" t="s">
        <v>751</v>
      </c>
      <c r="T192" t="s">
        <v>752</v>
      </c>
      <c r="U192" s="1">
        <v>46077.968078703707</v>
      </c>
      <c r="V192" t="s">
        <v>31</v>
      </c>
      <c r="W192" t="s">
        <v>33</v>
      </c>
      <c r="X192" t="s">
        <v>3525</v>
      </c>
      <c r="Y192" t="s">
        <v>3257</v>
      </c>
      <c r="Z192" t="s">
        <v>38</v>
      </c>
      <c r="AA192" t="s">
        <v>31</v>
      </c>
      <c r="AB192" t="s">
        <v>1150</v>
      </c>
      <c r="AC192" t="s">
        <v>30</v>
      </c>
      <c r="AD192" t="s">
        <v>46</v>
      </c>
      <c r="AE192" t="s">
        <v>751</v>
      </c>
      <c r="AF192" t="s">
        <v>752</v>
      </c>
      <c r="AG192" t="s">
        <v>38</v>
      </c>
      <c r="AH192" t="s">
        <v>3580</v>
      </c>
      <c r="AK192">
        <v>0</v>
      </c>
      <c r="AL192" t="s">
        <v>32</v>
      </c>
      <c r="AM192" t="s">
        <v>773</v>
      </c>
      <c r="AN192" t="s">
        <v>774</v>
      </c>
    </row>
    <row r="193" spans="1:40">
      <c r="A193" t="s">
        <v>1758</v>
      </c>
      <c r="B193" t="s">
        <v>34</v>
      </c>
      <c r="C193" t="s">
        <v>611</v>
      </c>
      <c r="D193" t="s">
        <v>612</v>
      </c>
      <c r="E193" s="1">
        <v>46076.089965277781</v>
      </c>
      <c r="F193" t="s">
        <v>238</v>
      </c>
      <c r="G193" t="s">
        <v>776</v>
      </c>
      <c r="H193" t="s">
        <v>3665</v>
      </c>
      <c r="I193" t="s">
        <v>1755</v>
      </c>
      <c r="J193" t="s">
        <v>817</v>
      </c>
      <c r="K193" t="s">
        <v>134</v>
      </c>
      <c r="M193" t="s">
        <v>3526</v>
      </c>
      <c r="O193" t="s">
        <v>3099</v>
      </c>
      <c r="P193" t="s">
        <v>3100</v>
      </c>
      <c r="Q193" t="s">
        <v>3678</v>
      </c>
      <c r="R193" t="s">
        <v>46</v>
      </c>
      <c r="S193" t="s">
        <v>751</v>
      </c>
      <c r="T193" t="s">
        <v>752</v>
      </c>
      <c r="U193" s="1">
        <v>46077.322627314818</v>
      </c>
      <c r="V193" t="s">
        <v>31</v>
      </c>
      <c r="W193" t="s">
        <v>33</v>
      </c>
      <c r="X193" t="s">
        <v>3525</v>
      </c>
      <c r="Y193" t="s">
        <v>3258</v>
      </c>
      <c r="Z193" t="s">
        <v>38</v>
      </c>
      <c r="AA193" t="s">
        <v>31</v>
      </c>
      <c r="AB193" t="s">
        <v>1150</v>
      </c>
      <c r="AC193" t="s">
        <v>30</v>
      </c>
      <c r="AD193" t="s">
        <v>46</v>
      </c>
      <c r="AE193" t="s">
        <v>751</v>
      </c>
      <c r="AF193" t="s">
        <v>752</v>
      </c>
      <c r="AG193" t="s">
        <v>38</v>
      </c>
      <c r="AH193" t="s">
        <v>3565</v>
      </c>
      <c r="AK193">
        <v>0</v>
      </c>
      <c r="AL193" t="s">
        <v>32</v>
      </c>
      <c r="AM193" t="s">
        <v>613</v>
      </c>
      <c r="AN193" t="s">
        <v>614</v>
      </c>
    </row>
    <row r="194" spans="1:40">
      <c r="A194" t="s">
        <v>1759</v>
      </c>
      <c r="B194" t="s">
        <v>34</v>
      </c>
      <c r="C194" t="s">
        <v>1760</v>
      </c>
      <c r="D194" t="s">
        <v>1761</v>
      </c>
      <c r="E194" s="1">
        <v>46076.087766203702</v>
      </c>
      <c r="F194" t="s">
        <v>210</v>
      </c>
      <c r="G194" t="s">
        <v>776</v>
      </c>
      <c r="H194" t="s">
        <v>3667</v>
      </c>
      <c r="I194" t="s">
        <v>1755</v>
      </c>
      <c r="J194" t="s">
        <v>273</v>
      </c>
      <c r="K194" t="s">
        <v>134</v>
      </c>
      <c r="M194" t="s">
        <v>3526</v>
      </c>
      <c r="O194" t="s">
        <v>3099</v>
      </c>
      <c r="P194" t="s">
        <v>3100</v>
      </c>
      <c r="Q194" t="s">
        <v>3678</v>
      </c>
      <c r="R194" t="s">
        <v>46</v>
      </c>
      <c r="S194" t="s">
        <v>751</v>
      </c>
      <c r="T194" t="s">
        <v>752</v>
      </c>
      <c r="U194" s="1">
        <v>46078.34746527778</v>
      </c>
      <c r="V194" t="s">
        <v>31</v>
      </c>
      <c r="W194" t="s">
        <v>33</v>
      </c>
      <c r="X194" t="s">
        <v>3525</v>
      </c>
      <c r="Y194" t="s">
        <v>3259</v>
      </c>
      <c r="Z194" t="s">
        <v>38</v>
      </c>
      <c r="AA194" t="s">
        <v>31</v>
      </c>
      <c r="AB194" t="s">
        <v>1150</v>
      </c>
      <c r="AC194" t="s">
        <v>30</v>
      </c>
      <c r="AD194" t="s">
        <v>46</v>
      </c>
      <c r="AE194" t="s">
        <v>751</v>
      </c>
      <c r="AF194" t="s">
        <v>752</v>
      </c>
      <c r="AG194" t="s">
        <v>38</v>
      </c>
      <c r="AH194" t="s">
        <v>3624</v>
      </c>
      <c r="AK194">
        <v>0</v>
      </c>
      <c r="AL194" t="s">
        <v>32</v>
      </c>
      <c r="AM194" t="s">
        <v>1762</v>
      </c>
      <c r="AN194" t="s">
        <v>1763</v>
      </c>
    </row>
    <row r="195" spans="1:40">
      <c r="A195" t="s">
        <v>1764</v>
      </c>
      <c r="B195" t="s">
        <v>34</v>
      </c>
      <c r="C195" t="s">
        <v>1765</v>
      </c>
      <c r="D195" t="s">
        <v>1766</v>
      </c>
      <c r="E195" s="1">
        <v>46076.086643518516</v>
      </c>
      <c r="F195" t="s">
        <v>132</v>
      </c>
      <c r="G195" t="s">
        <v>776</v>
      </c>
      <c r="H195" t="s">
        <v>3665</v>
      </c>
      <c r="I195" t="s">
        <v>1755</v>
      </c>
      <c r="J195" t="s">
        <v>817</v>
      </c>
      <c r="K195" t="s">
        <v>134</v>
      </c>
      <c r="M195" t="s">
        <v>3526</v>
      </c>
      <c r="O195" t="s">
        <v>3099</v>
      </c>
      <c r="P195" t="s">
        <v>3100</v>
      </c>
      <c r="R195" t="s">
        <v>46</v>
      </c>
      <c r="S195" t="s">
        <v>751</v>
      </c>
      <c r="T195" t="s">
        <v>752</v>
      </c>
      <c r="U195" s="1">
        <v>46078.356712962966</v>
      </c>
      <c r="V195" t="s">
        <v>31</v>
      </c>
      <c r="W195" t="s">
        <v>33</v>
      </c>
      <c r="X195" t="s">
        <v>3525</v>
      </c>
      <c r="Y195" t="s">
        <v>3260</v>
      </c>
      <c r="Z195" t="s">
        <v>38</v>
      </c>
      <c r="AA195" t="s">
        <v>31</v>
      </c>
      <c r="AB195" t="s">
        <v>1150</v>
      </c>
      <c r="AC195" t="s">
        <v>30</v>
      </c>
      <c r="AD195" t="s">
        <v>46</v>
      </c>
      <c r="AE195" t="s">
        <v>751</v>
      </c>
      <c r="AF195" t="s">
        <v>752</v>
      </c>
      <c r="AG195" t="s">
        <v>38</v>
      </c>
      <c r="AH195" t="s">
        <v>3625</v>
      </c>
      <c r="AK195">
        <v>0</v>
      </c>
      <c r="AL195" t="s">
        <v>32</v>
      </c>
      <c r="AM195" t="s">
        <v>1767</v>
      </c>
      <c r="AN195" t="s">
        <v>1768</v>
      </c>
    </row>
    <row r="196" spans="1:40">
      <c r="A196" t="s">
        <v>1769</v>
      </c>
      <c r="B196" t="s">
        <v>34</v>
      </c>
      <c r="C196" t="s">
        <v>1770</v>
      </c>
      <c r="D196" t="s">
        <v>1771</v>
      </c>
      <c r="E196" s="1">
        <v>46076.085081018522</v>
      </c>
      <c r="F196" t="s">
        <v>153</v>
      </c>
      <c r="G196" t="s">
        <v>776</v>
      </c>
      <c r="H196" t="s">
        <v>3669</v>
      </c>
      <c r="I196" t="s">
        <v>1755</v>
      </c>
      <c r="J196" t="s">
        <v>231</v>
      </c>
      <c r="K196" t="s">
        <v>134</v>
      </c>
      <c r="M196" t="s">
        <v>3526</v>
      </c>
      <c r="O196" t="s">
        <v>3099</v>
      </c>
      <c r="P196" t="s">
        <v>3100</v>
      </c>
      <c r="R196" t="s">
        <v>46</v>
      </c>
      <c r="S196" t="s">
        <v>751</v>
      </c>
      <c r="T196" t="s">
        <v>752</v>
      </c>
      <c r="U196" s="1">
        <v>46078.462592592594</v>
      </c>
      <c r="V196" t="s">
        <v>31</v>
      </c>
      <c r="W196" t="s">
        <v>33</v>
      </c>
      <c r="X196" t="s">
        <v>3525</v>
      </c>
      <c r="Y196" t="s">
        <v>3261</v>
      </c>
      <c r="Z196" t="s">
        <v>38</v>
      </c>
      <c r="AA196" t="s">
        <v>31</v>
      </c>
      <c r="AB196" t="s">
        <v>1150</v>
      </c>
      <c r="AC196" t="s">
        <v>30</v>
      </c>
      <c r="AD196" t="s">
        <v>46</v>
      </c>
      <c r="AE196" t="s">
        <v>751</v>
      </c>
      <c r="AF196" t="s">
        <v>752</v>
      </c>
      <c r="AG196" t="s">
        <v>38</v>
      </c>
      <c r="AH196">
        <v>14868</v>
      </c>
      <c r="AK196">
        <v>0</v>
      </c>
      <c r="AL196" t="s">
        <v>32</v>
      </c>
      <c r="AM196" t="s">
        <v>1772</v>
      </c>
      <c r="AN196" t="s">
        <v>1773</v>
      </c>
    </row>
    <row r="197" spans="1:40">
      <c r="A197" t="s">
        <v>1774</v>
      </c>
      <c r="B197" t="s">
        <v>34</v>
      </c>
      <c r="C197" t="s">
        <v>800</v>
      </c>
      <c r="D197" t="s">
        <v>800</v>
      </c>
      <c r="E197" s="1">
        <v>46076.083449074074</v>
      </c>
      <c r="F197" t="s">
        <v>878</v>
      </c>
      <c r="G197" t="s">
        <v>776</v>
      </c>
      <c r="H197" t="s">
        <v>3666</v>
      </c>
      <c r="I197" t="s">
        <v>1755</v>
      </c>
      <c r="J197" t="s">
        <v>1501</v>
      </c>
      <c r="K197" t="s">
        <v>134</v>
      </c>
      <c r="M197" t="s">
        <v>3526</v>
      </c>
      <c r="O197" t="s">
        <v>3099</v>
      </c>
      <c r="P197" t="s">
        <v>3100</v>
      </c>
      <c r="Q197" t="s">
        <v>3678</v>
      </c>
      <c r="R197" t="s">
        <v>46</v>
      </c>
      <c r="S197" t="s">
        <v>751</v>
      </c>
      <c r="T197" t="s">
        <v>752</v>
      </c>
      <c r="U197" s="1">
        <v>46078.420300925929</v>
      </c>
      <c r="V197" t="s">
        <v>31</v>
      </c>
      <c r="W197" t="s">
        <v>33</v>
      </c>
      <c r="X197" t="s">
        <v>3525</v>
      </c>
      <c r="Y197" t="s">
        <v>3262</v>
      </c>
      <c r="Z197" t="s">
        <v>38</v>
      </c>
      <c r="AA197" t="s">
        <v>31</v>
      </c>
      <c r="AB197" t="s">
        <v>1150</v>
      </c>
      <c r="AC197" t="s">
        <v>30</v>
      </c>
      <c r="AD197" t="s">
        <v>46</v>
      </c>
      <c r="AE197" t="s">
        <v>751</v>
      </c>
      <c r="AF197" t="s">
        <v>752</v>
      </c>
      <c r="AG197" t="s">
        <v>38</v>
      </c>
      <c r="AH197">
        <v>12415</v>
      </c>
      <c r="AK197">
        <v>0</v>
      </c>
      <c r="AL197" t="s">
        <v>32</v>
      </c>
      <c r="AM197" t="s">
        <v>879</v>
      </c>
      <c r="AN197" t="s">
        <v>880</v>
      </c>
    </row>
    <row r="198" spans="1:40">
      <c r="A198" t="s">
        <v>1776</v>
      </c>
      <c r="B198" t="s">
        <v>34</v>
      </c>
      <c r="C198" t="s">
        <v>1777</v>
      </c>
      <c r="D198" t="s">
        <v>172</v>
      </c>
      <c r="E198" s="1">
        <v>46075.84479166667</v>
      </c>
      <c r="F198" t="s">
        <v>26</v>
      </c>
      <c r="G198" t="s">
        <v>776</v>
      </c>
      <c r="H198" t="s">
        <v>3665</v>
      </c>
      <c r="I198" t="s">
        <v>535</v>
      </c>
      <c r="J198" t="s">
        <v>45</v>
      </c>
      <c r="K198" t="s">
        <v>44</v>
      </c>
      <c r="M198" t="s">
        <v>3528</v>
      </c>
      <c r="O198" t="s">
        <v>3099</v>
      </c>
      <c r="P198" t="s">
        <v>3100</v>
      </c>
      <c r="Q198" t="s">
        <v>3678</v>
      </c>
      <c r="R198" t="s">
        <v>46</v>
      </c>
      <c r="S198" t="s">
        <v>188</v>
      </c>
      <c r="T198" t="s">
        <v>431</v>
      </c>
      <c r="U198" s="1">
        <v>46075.845879629633</v>
      </c>
      <c r="V198" t="s">
        <v>31</v>
      </c>
      <c r="W198" t="s">
        <v>33</v>
      </c>
      <c r="X198" t="s">
        <v>3530</v>
      </c>
      <c r="Y198" t="s">
        <v>3263</v>
      </c>
      <c r="Z198" t="s">
        <v>1775</v>
      </c>
      <c r="AA198" t="s">
        <v>31</v>
      </c>
      <c r="AB198" t="s">
        <v>49</v>
      </c>
      <c r="AC198" t="s">
        <v>30</v>
      </c>
      <c r="AD198" t="s">
        <v>46</v>
      </c>
      <c r="AE198" t="s">
        <v>188</v>
      </c>
      <c r="AF198" t="s">
        <v>431</v>
      </c>
      <c r="AG198" t="s">
        <v>1775</v>
      </c>
      <c r="AH198" t="s">
        <v>3626</v>
      </c>
      <c r="AK198">
        <v>0</v>
      </c>
      <c r="AL198" t="s">
        <v>32</v>
      </c>
      <c r="AM198" t="s">
        <v>1778</v>
      </c>
      <c r="AN198" t="s">
        <v>1779</v>
      </c>
    </row>
    <row r="199" spans="1:40">
      <c r="A199" t="s">
        <v>1780</v>
      </c>
      <c r="B199" t="s">
        <v>34</v>
      </c>
      <c r="C199" t="s">
        <v>1781</v>
      </c>
      <c r="D199" t="s">
        <v>1782</v>
      </c>
      <c r="E199" s="1">
        <v>46075.843900462962</v>
      </c>
      <c r="F199" t="s">
        <v>177</v>
      </c>
      <c r="G199" t="s">
        <v>776</v>
      </c>
      <c r="H199" t="s">
        <v>3672</v>
      </c>
      <c r="I199" t="s">
        <v>813</v>
      </c>
      <c r="J199" t="s">
        <v>45</v>
      </c>
      <c r="K199" t="s">
        <v>44</v>
      </c>
      <c r="M199" t="s">
        <v>3528</v>
      </c>
      <c r="O199" t="s">
        <v>3099</v>
      </c>
      <c r="P199" t="s">
        <v>3100</v>
      </c>
      <c r="Q199" t="s">
        <v>3678</v>
      </c>
      <c r="R199" t="s">
        <v>46</v>
      </c>
      <c r="S199" t="s">
        <v>188</v>
      </c>
      <c r="T199" t="s">
        <v>431</v>
      </c>
      <c r="U199" s="1">
        <v>46075.845717592594</v>
      </c>
      <c r="V199" t="s">
        <v>31</v>
      </c>
      <c r="W199" t="s">
        <v>33</v>
      </c>
      <c r="X199" t="s">
        <v>3530</v>
      </c>
      <c r="Y199" t="s">
        <v>3263</v>
      </c>
      <c r="Z199" t="s">
        <v>1775</v>
      </c>
      <c r="AA199" t="s">
        <v>31</v>
      </c>
      <c r="AB199" t="s">
        <v>49</v>
      </c>
      <c r="AC199" t="s">
        <v>30</v>
      </c>
      <c r="AD199" t="s">
        <v>46</v>
      </c>
      <c r="AE199" t="s">
        <v>188</v>
      </c>
      <c r="AF199" t="s">
        <v>431</v>
      </c>
      <c r="AG199" t="s">
        <v>1775</v>
      </c>
      <c r="AH199">
        <v>15301</v>
      </c>
      <c r="AK199">
        <v>0</v>
      </c>
      <c r="AL199" t="s">
        <v>32</v>
      </c>
      <c r="AM199" t="s">
        <v>1783</v>
      </c>
      <c r="AN199" t="s">
        <v>1784</v>
      </c>
    </row>
    <row r="200" spans="1:40">
      <c r="A200" t="s">
        <v>1785</v>
      </c>
      <c r="B200" t="s">
        <v>34</v>
      </c>
      <c r="C200" t="s">
        <v>1017</v>
      </c>
      <c r="D200" t="s">
        <v>1786</v>
      </c>
      <c r="E200" s="1">
        <v>46075.726006944446</v>
      </c>
      <c r="F200" t="s">
        <v>283</v>
      </c>
      <c r="G200" t="s">
        <v>776</v>
      </c>
      <c r="H200" t="s">
        <v>3670</v>
      </c>
      <c r="I200" t="s">
        <v>813</v>
      </c>
      <c r="J200" t="s">
        <v>45</v>
      </c>
      <c r="K200" t="s">
        <v>44</v>
      </c>
      <c r="M200" t="s">
        <v>3528</v>
      </c>
      <c r="O200" t="s">
        <v>3099</v>
      </c>
      <c r="P200" t="s">
        <v>3100</v>
      </c>
      <c r="Q200" t="s">
        <v>3692</v>
      </c>
      <c r="R200" t="s">
        <v>46</v>
      </c>
      <c r="S200" t="s">
        <v>188</v>
      </c>
      <c r="T200" t="s">
        <v>431</v>
      </c>
      <c r="U200" s="1">
        <v>46075.726643518516</v>
      </c>
      <c r="V200" t="s">
        <v>31</v>
      </c>
      <c r="W200" t="s">
        <v>33</v>
      </c>
      <c r="X200" t="s">
        <v>3530</v>
      </c>
      <c r="Y200" t="s">
        <v>3155</v>
      </c>
      <c r="Z200" t="s">
        <v>1775</v>
      </c>
      <c r="AA200" t="s">
        <v>31</v>
      </c>
      <c r="AB200" t="s">
        <v>49</v>
      </c>
      <c r="AC200" t="s">
        <v>30</v>
      </c>
      <c r="AD200" t="s">
        <v>46</v>
      </c>
      <c r="AE200" t="s">
        <v>188</v>
      </c>
      <c r="AF200" t="s">
        <v>431</v>
      </c>
      <c r="AG200" t="s">
        <v>1775</v>
      </c>
      <c r="AH200">
        <v>11111</v>
      </c>
      <c r="AK200">
        <v>0</v>
      </c>
      <c r="AL200" t="s">
        <v>32</v>
      </c>
      <c r="AM200" t="s">
        <v>1787</v>
      </c>
      <c r="AN200" t="s">
        <v>1788</v>
      </c>
    </row>
    <row r="201" spans="1:40">
      <c r="A201" t="s">
        <v>1791</v>
      </c>
      <c r="B201" t="s">
        <v>34</v>
      </c>
      <c r="C201" t="s">
        <v>229</v>
      </c>
      <c r="D201" t="s">
        <v>1792</v>
      </c>
      <c r="E201" s="1">
        <v>46075.65457175926</v>
      </c>
      <c r="F201" t="s">
        <v>150</v>
      </c>
      <c r="G201" t="s">
        <v>776</v>
      </c>
      <c r="H201" t="s">
        <v>3671</v>
      </c>
      <c r="I201" t="s">
        <v>109</v>
      </c>
      <c r="J201" t="s">
        <v>733</v>
      </c>
      <c r="K201" t="s">
        <v>44</v>
      </c>
      <c r="M201" t="s">
        <v>3528</v>
      </c>
      <c r="O201" t="s">
        <v>3099</v>
      </c>
      <c r="P201" t="s">
        <v>3100</v>
      </c>
      <c r="Q201" t="s">
        <v>3694</v>
      </c>
      <c r="R201" t="s">
        <v>46</v>
      </c>
      <c r="S201" t="s">
        <v>110</v>
      </c>
      <c r="T201" t="s">
        <v>111</v>
      </c>
      <c r="U201" s="1">
        <v>46075.657835648148</v>
      </c>
      <c r="V201" t="s">
        <v>31</v>
      </c>
      <c r="W201" t="s">
        <v>33</v>
      </c>
      <c r="X201" t="s">
        <v>3530</v>
      </c>
      <c r="Y201" t="s">
        <v>3264</v>
      </c>
      <c r="Z201" t="s">
        <v>1775</v>
      </c>
      <c r="AA201" t="s">
        <v>31</v>
      </c>
      <c r="AB201" t="s">
        <v>726</v>
      </c>
      <c r="AC201" t="s">
        <v>30</v>
      </c>
      <c r="AD201" t="s">
        <v>46</v>
      </c>
      <c r="AE201" t="s">
        <v>110</v>
      </c>
      <c r="AF201" t="s">
        <v>111</v>
      </c>
      <c r="AG201" t="s">
        <v>1775</v>
      </c>
      <c r="AH201">
        <v>5781</v>
      </c>
      <c r="AK201">
        <v>0</v>
      </c>
      <c r="AL201" t="s">
        <v>32</v>
      </c>
      <c r="AM201" t="s">
        <v>1793</v>
      </c>
      <c r="AN201" t="s">
        <v>1794</v>
      </c>
    </row>
    <row r="202" spans="1:40">
      <c r="A202" t="s">
        <v>1795</v>
      </c>
      <c r="B202" t="s">
        <v>34</v>
      </c>
      <c r="C202" t="s">
        <v>220</v>
      </c>
      <c r="D202" t="s">
        <v>1796</v>
      </c>
      <c r="E202" s="1">
        <v>46075.60359953704</v>
      </c>
      <c r="F202" t="s">
        <v>26</v>
      </c>
      <c r="G202" t="s">
        <v>776</v>
      </c>
      <c r="H202" t="s">
        <v>3665</v>
      </c>
      <c r="I202" t="s">
        <v>109</v>
      </c>
      <c r="J202" t="s">
        <v>733</v>
      </c>
      <c r="K202" t="s">
        <v>44</v>
      </c>
      <c r="M202" t="s">
        <v>3528</v>
      </c>
      <c r="O202" t="s">
        <v>3099</v>
      </c>
      <c r="P202" t="s">
        <v>3100</v>
      </c>
      <c r="Q202" t="s">
        <v>3691</v>
      </c>
      <c r="R202" t="s">
        <v>46</v>
      </c>
      <c r="S202" t="s">
        <v>110</v>
      </c>
      <c r="T202" t="s">
        <v>111</v>
      </c>
      <c r="U202" s="1">
        <v>46075.603726851848</v>
      </c>
      <c r="V202" t="s">
        <v>31</v>
      </c>
      <c r="W202" t="s">
        <v>33</v>
      </c>
      <c r="X202" t="s">
        <v>3530</v>
      </c>
      <c r="Y202" t="s">
        <v>3265</v>
      </c>
      <c r="Z202" t="s">
        <v>1775</v>
      </c>
      <c r="AA202" t="s">
        <v>31</v>
      </c>
      <c r="AB202" t="s">
        <v>726</v>
      </c>
      <c r="AC202" t="s">
        <v>30</v>
      </c>
      <c r="AD202" t="s">
        <v>46</v>
      </c>
      <c r="AE202" t="s">
        <v>110</v>
      </c>
      <c r="AF202" t="s">
        <v>111</v>
      </c>
      <c r="AG202" t="s">
        <v>1775</v>
      </c>
      <c r="AH202">
        <v>9916</v>
      </c>
      <c r="AK202">
        <v>0</v>
      </c>
      <c r="AL202" t="s">
        <v>181</v>
      </c>
      <c r="AM202" t="s">
        <v>1797</v>
      </c>
      <c r="AN202" t="s">
        <v>1798</v>
      </c>
    </row>
    <row r="203" spans="1:40">
      <c r="A203" t="s">
        <v>1799</v>
      </c>
      <c r="B203" t="s">
        <v>34</v>
      </c>
      <c r="C203" t="s">
        <v>129</v>
      </c>
      <c r="D203" t="s">
        <v>1800</v>
      </c>
      <c r="E203" s="1">
        <v>46075.595185185186</v>
      </c>
      <c r="F203" t="s">
        <v>26</v>
      </c>
      <c r="G203" t="s">
        <v>776</v>
      </c>
      <c r="H203" t="s">
        <v>3665</v>
      </c>
      <c r="I203" t="s">
        <v>109</v>
      </c>
      <c r="J203" t="s">
        <v>733</v>
      </c>
      <c r="K203" t="s">
        <v>44</v>
      </c>
      <c r="M203" t="s">
        <v>3528</v>
      </c>
      <c r="O203" t="s">
        <v>3099</v>
      </c>
      <c r="P203" t="s">
        <v>3100</v>
      </c>
      <c r="Q203" t="s">
        <v>3678</v>
      </c>
      <c r="R203" t="s">
        <v>46</v>
      </c>
      <c r="S203" t="s">
        <v>110</v>
      </c>
      <c r="T203" t="s">
        <v>111</v>
      </c>
      <c r="U203" s="1">
        <v>46075.595486111109</v>
      </c>
      <c r="V203" t="s">
        <v>31</v>
      </c>
      <c r="W203" t="s">
        <v>33</v>
      </c>
      <c r="X203" t="s">
        <v>3530</v>
      </c>
      <c r="Y203" t="s">
        <v>3266</v>
      </c>
      <c r="Z203" t="s">
        <v>1775</v>
      </c>
      <c r="AA203" t="s">
        <v>31</v>
      </c>
      <c r="AB203" t="s">
        <v>726</v>
      </c>
      <c r="AC203" t="s">
        <v>30</v>
      </c>
      <c r="AD203" t="s">
        <v>46</v>
      </c>
      <c r="AE203" t="s">
        <v>110</v>
      </c>
      <c r="AF203" t="s">
        <v>111</v>
      </c>
      <c r="AG203" t="s">
        <v>1775</v>
      </c>
      <c r="AH203" t="s">
        <v>3628</v>
      </c>
      <c r="AK203">
        <v>0</v>
      </c>
      <c r="AL203" t="s">
        <v>32</v>
      </c>
      <c r="AM203" t="s">
        <v>1801</v>
      </c>
      <c r="AN203" t="s">
        <v>1802</v>
      </c>
    </row>
    <row r="204" spans="1:40">
      <c r="A204" t="s">
        <v>1808</v>
      </c>
      <c r="B204" t="s">
        <v>34</v>
      </c>
      <c r="C204" t="s">
        <v>1809</v>
      </c>
      <c r="D204" t="s">
        <v>1810</v>
      </c>
      <c r="E204" s="1">
        <v>46075.482233796298</v>
      </c>
      <c r="F204" t="s">
        <v>62</v>
      </c>
      <c r="G204" t="s">
        <v>776</v>
      </c>
      <c r="H204" t="s">
        <v>3668</v>
      </c>
      <c r="I204" t="s">
        <v>505</v>
      </c>
      <c r="J204" t="s">
        <v>733</v>
      </c>
      <c r="K204" t="s">
        <v>44</v>
      </c>
      <c r="M204" t="s">
        <v>3528</v>
      </c>
      <c r="O204" t="s">
        <v>3099</v>
      </c>
      <c r="P204" t="s">
        <v>3100</v>
      </c>
      <c r="Q204" t="s">
        <v>3678</v>
      </c>
      <c r="R204" t="s">
        <v>46</v>
      </c>
      <c r="S204" t="s">
        <v>348</v>
      </c>
      <c r="T204" t="s">
        <v>506</v>
      </c>
      <c r="U204" s="1">
        <v>46075.48332175926</v>
      </c>
      <c r="V204" t="s">
        <v>31</v>
      </c>
      <c r="W204" t="s">
        <v>33</v>
      </c>
      <c r="X204" t="s">
        <v>3364</v>
      </c>
      <c r="Y204" t="s">
        <v>3267</v>
      </c>
      <c r="Z204" t="s">
        <v>1775</v>
      </c>
      <c r="AA204" t="s">
        <v>31</v>
      </c>
      <c r="AB204" t="s">
        <v>726</v>
      </c>
      <c r="AC204" t="s">
        <v>30</v>
      </c>
      <c r="AD204" t="s">
        <v>46</v>
      </c>
      <c r="AE204" t="s">
        <v>348</v>
      </c>
      <c r="AF204" t="s">
        <v>506</v>
      </c>
      <c r="AG204" t="s">
        <v>1775</v>
      </c>
      <c r="AH204" t="s">
        <v>3630</v>
      </c>
      <c r="AK204">
        <v>0</v>
      </c>
      <c r="AL204" t="s">
        <v>32</v>
      </c>
      <c r="AM204" t="s">
        <v>1811</v>
      </c>
      <c r="AN204" t="s">
        <v>1812</v>
      </c>
    </row>
    <row r="205" spans="1:40">
      <c r="A205" t="s">
        <v>1813</v>
      </c>
      <c r="B205" t="s">
        <v>34</v>
      </c>
      <c r="C205" t="s">
        <v>261</v>
      </c>
      <c r="D205" t="s">
        <v>1814</v>
      </c>
      <c r="E205" s="1">
        <v>46075.375</v>
      </c>
      <c r="F205" t="s">
        <v>35</v>
      </c>
      <c r="G205" t="s">
        <v>776</v>
      </c>
      <c r="H205" t="s">
        <v>3672</v>
      </c>
      <c r="I205" t="s">
        <v>1815</v>
      </c>
      <c r="J205" t="s">
        <v>733</v>
      </c>
      <c r="K205" t="s">
        <v>44</v>
      </c>
      <c r="M205" t="s">
        <v>3526</v>
      </c>
      <c r="O205" t="s">
        <v>3099</v>
      </c>
      <c r="P205" t="s">
        <v>3100</v>
      </c>
      <c r="Q205" t="s">
        <v>3678</v>
      </c>
      <c r="R205" t="s">
        <v>27</v>
      </c>
      <c r="S205" t="s">
        <v>28</v>
      </c>
      <c r="T205" t="s">
        <v>406</v>
      </c>
      <c r="U205" s="1">
        <v>46078.011331018519</v>
      </c>
      <c r="V205" t="s">
        <v>31</v>
      </c>
      <c r="W205" t="s">
        <v>33</v>
      </c>
      <c r="X205" t="s">
        <v>3525</v>
      </c>
      <c r="Y205" t="s">
        <v>3269</v>
      </c>
      <c r="Z205" t="s">
        <v>38</v>
      </c>
      <c r="AA205" t="s">
        <v>31</v>
      </c>
      <c r="AB205" t="s">
        <v>1137</v>
      </c>
      <c r="AC205" t="s">
        <v>30</v>
      </c>
      <c r="AD205" t="s">
        <v>636</v>
      </c>
      <c r="AE205" t="s">
        <v>3256</v>
      </c>
      <c r="AF205" t="s">
        <v>3268</v>
      </c>
      <c r="AG205" t="s">
        <v>38</v>
      </c>
      <c r="AH205" t="s">
        <v>3631</v>
      </c>
      <c r="AK205">
        <v>3</v>
      </c>
      <c r="AL205" t="s">
        <v>32</v>
      </c>
      <c r="AM205" t="s">
        <v>1816</v>
      </c>
      <c r="AN205" t="s">
        <v>1817</v>
      </c>
    </row>
    <row r="206" spans="1:40">
      <c r="A206" t="s">
        <v>1819</v>
      </c>
      <c r="B206" t="s">
        <v>34</v>
      </c>
      <c r="C206" t="s">
        <v>1820</v>
      </c>
      <c r="D206" t="s">
        <v>1821</v>
      </c>
      <c r="E206" s="1">
        <v>46075.232881944445</v>
      </c>
      <c r="F206" t="s">
        <v>755</v>
      </c>
      <c r="G206" t="s">
        <v>776</v>
      </c>
      <c r="H206" t="s">
        <v>3669</v>
      </c>
      <c r="I206" t="s">
        <v>1188</v>
      </c>
      <c r="J206" t="s">
        <v>1149</v>
      </c>
      <c r="K206" t="s">
        <v>44</v>
      </c>
      <c r="M206" t="s">
        <v>3528</v>
      </c>
      <c r="O206" t="s">
        <v>3099</v>
      </c>
      <c r="P206" t="s">
        <v>3100</v>
      </c>
      <c r="Q206" t="s">
        <v>3678</v>
      </c>
      <c r="R206" t="s">
        <v>46</v>
      </c>
      <c r="S206" t="s">
        <v>348</v>
      </c>
      <c r="T206" t="s">
        <v>506</v>
      </c>
      <c r="U206" s="1">
        <v>46075.235474537039</v>
      </c>
      <c r="V206" t="s">
        <v>31</v>
      </c>
      <c r="W206" t="s">
        <v>33</v>
      </c>
      <c r="X206" t="s">
        <v>3530</v>
      </c>
      <c r="Y206" t="s">
        <v>3196</v>
      </c>
      <c r="Z206" t="s">
        <v>1775</v>
      </c>
      <c r="AA206" t="s">
        <v>31</v>
      </c>
      <c r="AB206" t="s">
        <v>1150</v>
      </c>
      <c r="AC206" t="s">
        <v>30</v>
      </c>
      <c r="AD206" t="s">
        <v>46</v>
      </c>
      <c r="AE206" t="s">
        <v>348</v>
      </c>
      <c r="AF206" t="s">
        <v>3197</v>
      </c>
      <c r="AG206" t="s">
        <v>1775</v>
      </c>
      <c r="AH206">
        <v>11629</v>
      </c>
      <c r="AK206">
        <v>0</v>
      </c>
      <c r="AL206" t="s">
        <v>32</v>
      </c>
      <c r="AM206" t="s">
        <v>1822</v>
      </c>
      <c r="AN206" t="s">
        <v>1823</v>
      </c>
    </row>
    <row r="207" spans="1:40">
      <c r="A207" t="s">
        <v>1824</v>
      </c>
      <c r="B207" t="s">
        <v>34</v>
      </c>
      <c r="C207" t="s">
        <v>1825</v>
      </c>
      <c r="D207" t="s">
        <v>383</v>
      </c>
      <c r="E207" s="1">
        <v>46075.232187499998</v>
      </c>
      <c r="F207" t="s">
        <v>333</v>
      </c>
      <c r="G207" t="s">
        <v>776</v>
      </c>
      <c r="H207" t="s">
        <v>3671</v>
      </c>
      <c r="I207" t="s">
        <v>1826</v>
      </c>
      <c r="J207" t="s">
        <v>1149</v>
      </c>
      <c r="K207" t="s">
        <v>44</v>
      </c>
      <c r="M207" t="s">
        <v>3528</v>
      </c>
      <c r="O207" t="s">
        <v>3099</v>
      </c>
      <c r="P207" t="s">
        <v>3100</v>
      </c>
      <c r="Q207" t="s">
        <v>3678</v>
      </c>
      <c r="R207" t="s">
        <v>46</v>
      </c>
      <c r="S207" t="s">
        <v>57</v>
      </c>
      <c r="T207" t="s">
        <v>58</v>
      </c>
      <c r="U207" s="1">
        <v>46075.235092592593</v>
      </c>
      <c r="V207" t="s">
        <v>31</v>
      </c>
      <c r="W207" t="s">
        <v>33</v>
      </c>
      <c r="X207" t="s">
        <v>3530</v>
      </c>
      <c r="Y207" t="s">
        <v>3270</v>
      </c>
      <c r="Z207" t="s">
        <v>1775</v>
      </c>
      <c r="AA207" t="s">
        <v>31</v>
      </c>
      <c r="AB207" t="s">
        <v>1150</v>
      </c>
      <c r="AC207" t="s">
        <v>30</v>
      </c>
      <c r="AD207" t="s">
        <v>46</v>
      </c>
      <c r="AE207" t="s">
        <v>57</v>
      </c>
      <c r="AF207" t="s">
        <v>58</v>
      </c>
      <c r="AG207" t="s">
        <v>1775</v>
      </c>
      <c r="AH207">
        <v>1964</v>
      </c>
      <c r="AK207">
        <v>0</v>
      </c>
      <c r="AL207" t="s">
        <v>32</v>
      </c>
      <c r="AM207" t="s">
        <v>1827</v>
      </c>
      <c r="AN207" t="s">
        <v>1828</v>
      </c>
    </row>
    <row r="208" spans="1:40">
      <c r="A208" t="s">
        <v>1829</v>
      </c>
      <c r="B208" t="s">
        <v>34</v>
      </c>
      <c r="C208" t="s">
        <v>115</v>
      </c>
      <c r="D208" t="s">
        <v>115</v>
      </c>
      <c r="E208" s="1">
        <v>46075.231400462966</v>
      </c>
      <c r="F208" t="s">
        <v>96</v>
      </c>
      <c r="G208" t="s">
        <v>776</v>
      </c>
      <c r="H208" t="s">
        <v>96</v>
      </c>
      <c r="I208" t="s">
        <v>109</v>
      </c>
      <c r="J208" t="s">
        <v>1149</v>
      </c>
      <c r="K208" t="s">
        <v>44</v>
      </c>
      <c r="M208" t="s">
        <v>3528</v>
      </c>
      <c r="O208" t="s">
        <v>3099</v>
      </c>
      <c r="P208" t="s">
        <v>3100</v>
      </c>
      <c r="Q208" t="s">
        <v>3688</v>
      </c>
      <c r="R208" t="s">
        <v>46</v>
      </c>
      <c r="S208" t="s">
        <v>110</v>
      </c>
      <c r="T208" t="s">
        <v>111</v>
      </c>
      <c r="U208" s="1">
        <v>46075.2346412037</v>
      </c>
      <c r="V208" t="s">
        <v>31</v>
      </c>
      <c r="W208" t="s">
        <v>33</v>
      </c>
      <c r="X208" t="s">
        <v>3530</v>
      </c>
      <c r="Y208" t="s">
        <v>3193</v>
      </c>
      <c r="Z208" t="s">
        <v>1775</v>
      </c>
      <c r="AA208" t="s">
        <v>31</v>
      </c>
      <c r="AB208" t="s">
        <v>1150</v>
      </c>
      <c r="AC208" t="s">
        <v>30</v>
      </c>
      <c r="AD208" t="s">
        <v>46</v>
      </c>
      <c r="AE208" t="s">
        <v>110</v>
      </c>
      <c r="AF208" t="s">
        <v>111</v>
      </c>
      <c r="AG208" t="s">
        <v>1775</v>
      </c>
      <c r="AH208">
        <v>871</v>
      </c>
      <c r="AK208">
        <v>0</v>
      </c>
      <c r="AL208" t="s">
        <v>32</v>
      </c>
      <c r="AM208" t="s">
        <v>1180</v>
      </c>
      <c r="AN208" t="s">
        <v>1181</v>
      </c>
    </row>
    <row r="209" spans="1:40">
      <c r="A209" t="s">
        <v>1830</v>
      </c>
      <c r="B209" t="s">
        <v>34</v>
      </c>
      <c r="C209" t="s">
        <v>1831</v>
      </c>
      <c r="D209" t="s">
        <v>1832</v>
      </c>
      <c r="E209" s="1">
        <v>46075.231145833335</v>
      </c>
      <c r="F209" t="s">
        <v>470</v>
      </c>
      <c r="G209" t="s">
        <v>776</v>
      </c>
      <c r="H209" t="s">
        <v>3671</v>
      </c>
      <c r="I209" t="s">
        <v>109</v>
      </c>
      <c r="J209" t="s">
        <v>1149</v>
      </c>
      <c r="K209" t="s">
        <v>44</v>
      </c>
      <c r="M209" t="s">
        <v>3528</v>
      </c>
      <c r="O209" t="s">
        <v>3099</v>
      </c>
      <c r="P209" t="s">
        <v>3100</v>
      </c>
      <c r="Q209" t="s">
        <v>3678</v>
      </c>
      <c r="R209" t="s">
        <v>46</v>
      </c>
      <c r="S209" t="s">
        <v>110</v>
      </c>
      <c r="T209" t="s">
        <v>111</v>
      </c>
      <c r="U209" s="1">
        <v>46075.234513888892</v>
      </c>
      <c r="V209" t="s">
        <v>31</v>
      </c>
      <c r="W209" t="s">
        <v>33</v>
      </c>
      <c r="X209" t="s">
        <v>3530</v>
      </c>
      <c r="Y209" t="s">
        <v>3193</v>
      </c>
      <c r="Z209" t="s">
        <v>1775</v>
      </c>
      <c r="AA209" t="s">
        <v>31</v>
      </c>
      <c r="AB209" t="s">
        <v>1150</v>
      </c>
      <c r="AC209" t="s">
        <v>30</v>
      </c>
      <c r="AD209" t="s">
        <v>46</v>
      </c>
      <c r="AE209" t="s">
        <v>110</v>
      </c>
      <c r="AF209" t="s">
        <v>111</v>
      </c>
      <c r="AG209" t="s">
        <v>1775</v>
      </c>
      <c r="AH209">
        <v>15693</v>
      </c>
      <c r="AK209">
        <v>0</v>
      </c>
      <c r="AL209" t="s">
        <v>32</v>
      </c>
      <c r="AM209" t="s">
        <v>1833</v>
      </c>
      <c r="AN209" t="s">
        <v>1834</v>
      </c>
    </row>
    <row r="210" spans="1:40">
      <c r="A210" t="s">
        <v>1835</v>
      </c>
      <c r="B210" t="s">
        <v>34</v>
      </c>
      <c r="C210" t="s">
        <v>1836</v>
      </c>
      <c r="D210" t="s">
        <v>1837</v>
      </c>
      <c r="E210" s="1">
        <v>46075.230856481481</v>
      </c>
      <c r="F210" t="s">
        <v>878</v>
      </c>
      <c r="G210" t="s">
        <v>776</v>
      </c>
      <c r="H210" t="s">
        <v>3666</v>
      </c>
      <c r="I210" t="s">
        <v>109</v>
      </c>
      <c r="J210" t="s">
        <v>1149</v>
      </c>
      <c r="K210" t="s">
        <v>44</v>
      </c>
      <c r="M210" t="s">
        <v>3528</v>
      </c>
      <c r="O210" t="s">
        <v>3099</v>
      </c>
      <c r="P210" t="s">
        <v>3100</v>
      </c>
      <c r="Q210" t="s">
        <v>3702</v>
      </c>
      <c r="R210" t="s">
        <v>46</v>
      </c>
      <c r="S210" t="s">
        <v>110</v>
      </c>
      <c r="T210" t="s">
        <v>111</v>
      </c>
      <c r="U210" s="1">
        <v>46075.234351851854</v>
      </c>
      <c r="V210" t="s">
        <v>31</v>
      </c>
      <c r="W210" t="s">
        <v>33</v>
      </c>
      <c r="X210" t="s">
        <v>3530</v>
      </c>
      <c r="Y210" t="s">
        <v>3193</v>
      </c>
      <c r="Z210" t="s">
        <v>1775</v>
      </c>
      <c r="AA210" t="s">
        <v>31</v>
      </c>
      <c r="AB210" t="s">
        <v>1150</v>
      </c>
      <c r="AC210" t="s">
        <v>30</v>
      </c>
      <c r="AD210" t="s">
        <v>46</v>
      </c>
      <c r="AE210" t="s">
        <v>110</v>
      </c>
      <c r="AF210" t="s">
        <v>111</v>
      </c>
      <c r="AG210" t="s">
        <v>1775</v>
      </c>
      <c r="AH210">
        <v>3737</v>
      </c>
      <c r="AK210">
        <v>0</v>
      </c>
      <c r="AL210" t="s">
        <v>181</v>
      </c>
      <c r="AM210" t="s">
        <v>1838</v>
      </c>
      <c r="AN210" t="s">
        <v>1839</v>
      </c>
    </row>
    <row r="211" spans="1:40">
      <c r="A211" t="s">
        <v>1840</v>
      </c>
      <c r="B211" t="s">
        <v>34</v>
      </c>
      <c r="C211" t="s">
        <v>1841</v>
      </c>
      <c r="D211" t="s">
        <v>1818</v>
      </c>
      <c r="E211" s="1">
        <v>46075.230624999997</v>
      </c>
      <c r="F211" t="s">
        <v>755</v>
      </c>
      <c r="G211" t="s">
        <v>776</v>
      </c>
      <c r="H211" t="s">
        <v>3669</v>
      </c>
      <c r="I211" t="s">
        <v>109</v>
      </c>
      <c r="J211" t="s">
        <v>1149</v>
      </c>
      <c r="K211" t="s">
        <v>44</v>
      </c>
      <c r="M211" t="s">
        <v>3528</v>
      </c>
      <c r="O211" t="s">
        <v>3099</v>
      </c>
      <c r="P211" t="s">
        <v>3100</v>
      </c>
      <c r="Q211" t="s">
        <v>3678</v>
      </c>
      <c r="R211" t="s">
        <v>46</v>
      </c>
      <c r="S211" t="s">
        <v>110</v>
      </c>
      <c r="T211" t="s">
        <v>111</v>
      </c>
      <c r="U211" s="1">
        <v>46075.234178240738</v>
      </c>
      <c r="V211" t="s">
        <v>31</v>
      </c>
      <c r="W211" t="s">
        <v>33</v>
      </c>
      <c r="X211" t="s">
        <v>3530</v>
      </c>
      <c r="Y211" t="s">
        <v>3193</v>
      </c>
      <c r="Z211" t="s">
        <v>1775</v>
      </c>
      <c r="AA211" t="s">
        <v>31</v>
      </c>
      <c r="AB211" t="s">
        <v>1150</v>
      </c>
      <c r="AC211" t="s">
        <v>30</v>
      </c>
      <c r="AD211" t="s">
        <v>46</v>
      </c>
      <c r="AE211" t="s">
        <v>110</v>
      </c>
      <c r="AF211" t="s">
        <v>111</v>
      </c>
      <c r="AG211" t="s">
        <v>1775</v>
      </c>
      <c r="AH211">
        <v>11272</v>
      </c>
      <c r="AK211">
        <v>0</v>
      </c>
      <c r="AL211" t="s">
        <v>32</v>
      </c>
      <c r="AM211" t="s">
        <v>1842</v>
      </c>
      <c r="AN211" t="s">
        <v>1843</v>
      </c>
    </row>
    <row r="212" spans="1:40">
      <c r="A212" t="s">
        <v>1844</v>
      </c>
      <c r="B212" t="s">
        <v>34</v>
      </c>
      <c r="C212" t="s">
        <v>1845</v>
      </c>
      <c r="D212" t="s">
        <v>1846</v>
      </c>
      <c r="E212" s="1">
        <v>46075.230381944442</v>
      </c>
      <c r="F212" t="s">
        <v>333</v>
      </c>
      <c r="G212" t="s">
        <v>776</v>
      </c>
      <c r="H212" t="s">
        <v>3671</v>
      </c>
      <c r="I212" t="s">
        <v>109</v>
      </c>
      <c r="J212" t="s">
        <v>1149</v>
      </c>
      <c r="K212" t="s">
        <v>44</v>
      </c>
      <c r="M212" t="s">
        <v>3528</v>
      </c>
      <c r="O212" t="s">
        <v>3099</v>
      </c>
      <c r="P212" t="s">
        <v>3100</v>
      </c>
      <c r="Q212" t="s">
        <v>3696</v>
      </c>
      <c r="R212" t="s">
        <v>46</v>
      </c>
      <c r="S212" t="s">
        <v>110</v>
      </c>
      <c r="T212" t="s">
        <v>111</v>
      </c>
      <c r="U212" s="1">
        <v>46075.233981481484</v>
      </c>
      <c r="V212" t="s">
        <v>31</v>
      </c>
      <c r="W212" t="s">
        <v>33</v>
      </c>
      <c r="X212" t="s">
        <v>3530</v>
      </c>
      <c r="Y212" t="s">
        <v>3193</v>
      </c>
      <c r="Z212" t="s">
        <v>1775</v>
      </c>
      <c r="AA212" t="s">
        <v>31</v>
      </c>
      <c r="AB212" t="s">
        <v>1150</v>
      </c>
      <c r="AC212" t="s">
        <v>30</v>
      </c>
      <c r="AD212" t="s">
        <v>46</v>
      </c>
      <c r="AE212" t="s">
        <v>110</v>
      </c>
      <c r="AF212" t="s">
        <v>111</v>
      </c>
      <c r="AG212" t="s">
        <v>1775</v>
      </c>
      <c r="AH212">
        <v>886</v>
      </c>
      <c r="AK212">
        <v>0</v>
      </c>
      <c r="AL212" t="s">
        <v>32</v>
      </c>
      <c r="AM212" t="s">
        <v>1847</v>
      </c>
      <c r="AN212" t="s">
        <v>1848</v>
      </c>
    </row>
    <row r="213" spans="1:40">
      <c r="A213" t="s">
        <v>1849</v>
      </c>
      <c r="B213" t="s">
        <v>24</v>
      </c>
      <c r="C213" t="s">
        <v>1850</v>
      </c>
      <c r="D213" t="s">
        <v>25</v>
      </c>
      <c r="E213" s="1">
        <v>46075.227916666663</v>
      </c>
      <c r="F213" t="s">
        <v>153</v>
      </c>
      <c r="G213" t="s">
        <v>776</v>
      </c>
      <c r="H213" t="s">
        <v>3669</v>
      </c>
      <c r="I213" t="s">
        <v>1851</v>
      </c>
      <c r="J213" t="s">
        <v>320</v>
      </c>
      <c r="K213" t="s">
        <v>134</v>
      </c>
      <c r="M213" t="s">
        <v>3526</v>
      </c>
      <c r="O213" t="s">
        <v>3144</v>
      </c>
      <c r="P213" t="s">
        <v>3145</v>
      </c>
      <c r="R213" t="s">
        <v>46</v>
      </c>
      <c r="S213" t="s">
        <v>338</v>
      </c>
      <c r="T213" t="s">
        <v>890</v>
      </c>
      <c r="U213" s="1">
        <v>46077.339131944442</v>
      </c>
      <c r="V213" t="s">
        <v>31</v>
      </c>
      <c r="W213" t="s">
        <v>33</v>
      </c>
      <c r="X213" t="s">
        <v>3525</v>
      </c>
      <c r="Y213" t="e">
        <f>- Ensured that SEP virus definitions are updated. - Cleaned / deleted Quarantined items. - deleted temporary files, temporary internet files and cookies. - Ran AV full scan. - No Risks were found.</f>
        <v>#NAME?</v>
      </c>
      <c r="Z213" t="s">
        <v>38</v>
      </c>
      <c r="AA213" t="s">
        <v>31</v>
      </c>
      <c r="AB213" t="s">
        <v>1150</v>
      </c>
      <c r="AC213" t="s">
        <v>284</v>
      </c>
      <c r="AD213" t="s">
        <v>46</v>
      </c>
      <c r="AE213" t="s">
        <v>338</v>
      </c>
      <c r="AF213" t="s">
        <v>890</v>
      </c>
      <c r="AG213" t="s">
        <v>38</v>
      </c>
      <c r="AH213" t="s">
        <v>3632</v>
      </c>
      <c r="AK213">
        <v>0</v>
      </c>
      <c r="AL213" t="s">
        <v>32</v>
      </c>
      <c r="AM213" t="s">
        <v>1852</v>
      </c>
      <c r="AN213" t="s">
        <v>1853</v>
      </c>
    </row>
    <row r="214" spans="1:40">
      <c r="A214" t="s">
        <v>1866</v>
      </c>
      <c r="B214" t="s">
        <v>34</v>
      </c>
      <c r="C214" t="s">
        <v>327</v>
      </c>
      <c r="D214" t="s">
        <v>1867</v>
      </c>
      <c r="E214" s="1">
        <v>46074.677025462966</v>
      </c>
      <c r="F214" t="s">
        <v>470</v>
      </c>
      <c r="G214" t="s">
        <v>776</v>
      </c>
      <c r="H214" t="s">
        <v>3671</v>
      </c>
      <c r="I214" t="s">
        <v>813</v>
      </c>
      <c r="J214" t="s">
        <v>411</v>
      </c>
      <c r="K214" t="s">
        <v>44</v>
      </c>
      <c r="M214" t="s">
        <v>3526</v>
      </c>
      <c r="O214" t="s">
        <v>3099</v>
      </c>
      <c r="P214" t="s">
        <v>3100</v>
      </c>
      <c r="Q214" t="s">
        <v>3683</v>
      </c>
      <c r="R214" t="s">
        <v>46</v>
      </c>
      <c r="S214" t="s">
        <v>188</v>
      </c>
      <c r="T214" t="s">
        <v>431</v>
      </c>
      <c r="U214" s="1">
        <v>46076.430011574077</v>
      </c>
      <c r="V214" t="s">
        <v>31</v>
      </c>
      <c r="W214" t="s">
        <v>33</v>
      </c>
      <c r="X214" t="s">
        <v>3525</v>
      </c>
      <c r="Y214" t="s">
        <v>3271</v>
      </c>
      <c r="Z214" t="s">
        <v>38</v>
      </c>
      <c r="AA214" t="s">
        <v>31</v>
      </c>
      <c r="AB214" t="s">
        <v>49</v>
      </c>
      <c r="AC214" t="s">
        <v>30</v>
      </c>
      <c r="AD214" t="s">
        <v>46</v>
      </c>
      <c r="AE214" t="s">
        <v>188</v>
      </c>
      <c r="AF214" t="s">
        <v>431</v>
      </c>
      <c r="AG214" t="s">
        <v>38</v>
      </c>
      <c r="AH214">
        <v>5033</v>
      </c>
      <c r="AK214">
        <v>1</v>
      </c>
      <c r="AL214" t="s">
        <v>32</v>
      </c>
      <c r="AM214" t="s">
        <v>1868</v>
      </c>
      <c r="AN214" t="s">
        <v>1869</v>
      </c>
    </row>
    <row r="215" spans="1:40">
      <c r="A215" t="s">
        <v>1870</v>
      </c>
      <c r="B215" t="s">
        <v>34</v>
      </c>
      <c r="C215" t="s">
        <v>1737</v>
      </c>
      <c r="D215" t="s">
        <v>244</v>
      </c>
      <c r="E215" s="1">
        <v>46074.631898148145</v>
      </c>
      <c r="F215" t="s">
        <v>62</v>
      </c>
      <c r="G215" t="s">
        <v>776</v>
      </c>
      <c r="H215" t="s">
        <v>3668</v>
      </c>
      <c r="I215" t="s">
        <v>505</v>
      </c>
      <c r="J215" t="s">
        <v>205</v>
      </c>
      <c r="K215" t="s">
        <v>44</v>
      </c>
      <c r="M215" t="s">
        <v>3528</v>
      </c>
      <c r="O215" t="s">
        <v>3099</v>
      </c>
      <c r="P215" t="s">
        <v>3100</v>
      </c>
      <c r="Q215" t="s">
        <v>3678</v>
      </c>
      <c r="R215" t="s">
        <v>46</v>
      </c>
      <c r="S215" t="s">
        <v>348</v>
      </c>
      <c r="T215" t="s">
        <v>506</v>
      </c>
      <c r="U215" s="1">
        <v>46074.63212962963</v>
      </c>
      <c r="V215" t="s">
        <v>31</v>
      </c>
      <c r="W215" t="s">
        <v>33</v>
      </c>
      <c r="X215" t="s">
        <v>3530</v>
      </c>
      <c r="Y215" t="s">
        <v>3211</v>
      </c>
      <c r="Z215" t="s">
        <v>1775</v>
      </c>
      <c r="AA215" t="s">
        <v>31</v>
      </c>
      <c r="AB215" t="s">
        <v>206</v>
      </c>
      <c r="AC215" t="s">
        <v>30</v>
      </c>
      <c r="AD215" t="s">
        <v>46</v>
      </c>
      <c r="AE215" t="s">
        <v>348</v>
      </c>
      <c r="AF215" t="s">
        <v>506</v>
      </c>
      <c r="AG215" t="s">
        <v>1775</v>
      </c>
      <c r="AH215" t="s">
        <v>3621</v>
      </c>
      <c r="AK215">
        <v>0</v>
      </c>
      <c r="AL215" t="s">
        <v>32</v>
      </c>
      <c r="AM215" t="s">
        <v>1739</v>
      </c>
      <c r="AN215" t="s">
        <v>1740</v>
      </c>
    </row>
    <row r="216" spans="1:40">
      <c r="A216" t="s">
        <v>1874</v>
      </c>
      <c r="B216" t="s">
        <v>34</v>
      </c>
      <c r="C216" t="s">
        <v>99</v>
      </c>
      <c r="D216" t="s">
        <v>100</v>
      </c>
      <c r="E216" s="1">
        <v>46074.536944444444</v>
      </c>
      <c r="F216" t="s">
        <v>101</v>
      </c>
      <c r="G216" t="s">
        <v>776</v>
      </c>
      <c r="H216" t="s">
        <v>3667</v>
      </c>
      <c r="I216" t="s">
        <v>1875</v>
      </c>
      <c r="J216" t="s">
        <v>205</v>
      </c>
      <c r="K216" t="s">
        <v>44</v>
      </c>
      <c r="M216" t="s">
        <v>3528</v>
      </c>
      <c r="O216" t="s">
        <v>3099</v>
      </c>
      <c r="P216" t="s">
        <v>3100</v>
      </c>
      <c r="Q216" t="s">
        <v>3678</v>
      </c>
      <c r="R216" t="s">
        <v>46</v>
      </c>
      <c r="S216" t="s">
        <v>188</v>
      </c>
      <c r="T216" t="s">
        <v>521</v>
      </c>
      <c r="U216" s="1">
        <v>46074.53765046296</v>
      </c>
      <c r="V216" t="s">
        <v>31</v>
      </c>
      <c r="W216" t="s">
        <v>33</v>
      </c>
      <c r="X216" t="s">
        <v>3530</v>
      </c>
      <c r="Y216" t="s">
        <v>3272</v>
      </c>
      <c r="Z216" t="s">
        <v>1775</v>
      </c>
      <c r="AA216" t="s">
        <v>31</v>
      </c>
      <c r="AB216" t="s">
        <v>206</v>
      </c>
      <c r="AC216" t="s">
        <v>30</v>
      </c>
      <c r="AD216" t="s">
        <v>46</v>
      </c>
      <c r="AE216" t="s">
        <v>188</v>
      </c>
      <c r="AF216" t="s">
        <v>521</v>
      </c>
      <c r="AG216" t="s">
        <v>1775</v>
      </c>
      <c r="AH216">
        <v>11214</v>
      </c>
      <c r="AK216">
        <v>0</v>
      </c>
      <c r="AL216" t="s">
        <v>32</v>
      </c>
      <c r="AM216" t="s">
        <v>102</v>
      </c>
      <c r="AN216" t="s">
        <v>103</v>
      </c>
    </row>
    <row r="217" spans="1:40">
      <c r="A217" t="s">
        <v>1878</v>
      </c>
      <c r="B217" t="s">
        <v>34</v>
      </c>
      <c r="C217" t="s">
        <v>99</v>
      </c>
      <c r="D217" t="s">
        <v>1879</v>
      </c>
      <c r="E217" s="1">
        <v>46074.484386574077</v>
      </c>
      <c r="F217" t="s">
        <v>333</v>
      </c>
      <c r="G217" t="s">
        <v>776</v>
      </c>
      <c r="H217" t="s">
        <v>3671</v>
      </c>
      <c r="I217" t="s">
        <v>590</v>
      </c>
      <c r="J217" t="s">
        <v>205</v>
      </c>
      <c r="K217" t="s">
        <v>44</v>
      </c>
      <c r="M217" t="s">
        <v>3528</v>
      </c>
      <c r="O217" t="s">
        <v>3099</v>
      </c>
      <c r="P217" t="s">
        <v>3100</v>
      </c>
      <c r="Q217" t="s">
        <v>3683</v>
      </c>
      <c r="R217" t="s">
        <v>46</v>
      </c>
      <c r="S217" t="s">
        <v>379</v>
      </c>
      <c r="T217" t="s">
        <v>379</v>
      </c>
      <c r="U217" s="1">
        <v>46074.484664351854</v>
      </c>
      <c r="V217" t="s">
        <v>31</v>
      </c>
      <c r="W217" t="s">
        <v>33</v>
      </c>
      <c r="X217" t="s">
        <v>3530</v>
      </c>
      <c r="Y217" t="s">
        <v>3132</v>
      </c>
      <c r="Z217" t="s">
        <v>1775</v>
      </c>
      <c r="AA217" t="s">
        <v>31</v>
      </c>
      <c r="AB217" t="s">
        <v>206</v>
      </c>
      <c r="AC217" t="s">
        <v>30</v>
      </c>
      <c r="AD217" t="s">
        <v>46</v>
      </c>
      <c r="AE217" t="s">
        <v>379</v>
      </c>
      <c r="AF217" t="s">
        <v>379</v>
      </c>
      <c r="AG217" t="s">
        <v>1775</v>
      </c>
      <c r="AH217">
        <v>1722</v>
      </c>
      <c r="AK217">
        <v>0</v>
      </c>
      <c r="AL217" t="s">
        <v>32</v>
      </c>
      <c r="AM217" t="s">
        <v>1880</v>
      </c>
      <c r="AN217" t="s">
        <v>1881</v>
      </c>
    </row>
    <row r="218" spans="1:40">
      <c r="A218" t="s">
        <v>1882</v>
      </c>
      <c r="B218" t="s">
        <v>34</v>
      </c>
      <c r="C218" t="s">
        <v>1700</v>
      </c>
      <c r="D218" t="s">
        <v>1701</v>
      </c>
      <c r="E218" s="1">
        <v>46074.477951388886</v>
      </c>
      <c r="F218" t="s">
        <v>153</v>
      </c>
      <c r="G218" t="s">
        <v>776</v>
      </c>
      <c r="H218" t="s">
        <v>3669</v>
      </c>
      <c r="I218" t="s">
        <v>590</v>
      </c>
      <c r="J218" t="s">
        <v>205</v>
      </c>
      <c r="K218" t="s">
        <v>44</v>
      </c>
      <c r="M218" t="s">
        <v>3528</v>
      </c>
      <c r="O218" t="s">
        <v>3099</v>
      </c>
      <c r="P218" t="s">
        <v>3100</v>
      </c>
      <c r="Q218" t="s">
        <v>3678</v>
      </c>
      <c r="R218" t="s">
        <v>46</v>
      </c>
      <c r="S218" t="s">
        <v>379</v>
      </c>
      <c r="T218" t="s">
        <v>379</v>
      </c>
      <c r="U218" s="1">
        <v>46074.483796296299</v>
      </c>
      <c r="V218" t="s">
        <v>31</v>
      </c>
      <c r="W218" t="s">
        <v>33</v>
      </c>
      <c r="X218" t="s">
        <v>3530</v>
      </c>
      <c r="Y218" t="s">
        <v>3132</v>
      </c>
      <c r="Z218" t="s">
        <v>1775</v>
      </c>
      <c r="AA218" t="s">
        <v>31</v>
      </c>
      <c r="AB218" t="s">
        <v>206</v>
      </c>
      <c r="AC218" t="s">
        <v>30</v>
      </c>
      <c r="AD218" t="s">
        <v>46</v>
      </c>
      <c r="AE218" t="s">
        <v>379</v>
      </c>
      <c r="AF218" t="s">
        <v>379</v>
      </c>
      <c r="AG218" t="s">
        <v>1775</v>
      </c>
      <c r="AH218" t="s">
        <v>3618</v>
      </c>
      <c r="AK218">
        <v>0</v>
      </c>
      <c r="AL218" t="s">
        <v>32</v>
      </c>
      <c r="AM218" t="s">
        <v>1702</v>
      </c>
      <c r="AN218" t="s">
        <v>1703</v>
      </c>
    </row>
    <row r="219" spans="1:40">
      <c r="A219" t="s">
        <v>1886</v>
      </c>
      <c r="B219" t="s">
        <v>34</v>
      </c>
      <c r="C219" t="s">
        <v>78</v>
      </c>
      <c r="D219" t="s">
        <v>79</v>
      </c>
      <c r="E219" s="1">
        <v>46074.389953703707</v>
      </c>
      <c r="F219" t="s">
        <v>62</v>
      </c>
      <c r="G219" t="s">
        <v>776</v>
      </c>
      <c r="H219" t="s">
        <v>3668</v>
      </c>
      <c r="I219" t="s">
        <v>535</v>
      </c>
      <c r="J219" t="s">
        <v>205</v>
      </c>
      <c r="K219" t="s">
        <v>44</v>
      </c>
      <c r="M219" t="s">
        <v>3528</v>
      </c>
      <c r="O219" t="s">
        <v>3099</v>
      </c>
      <c r="P219" t="s">
        <v>3100</v>
      </c>
      <c r="Q219" t="s">
        <v>3678</v>
      </c>
      <c r="R219" t="s">
        <v>46</v>
      </c>
      <c r="S219" t="s">
        <v>188</v>
      </c>
      <c r="T219" t="s">
        <v>431</v>
      </c>
      <c r="U219" s="1">
        <v>46074.391250000001</v>
      </c>
      <c r="V219" t="s">
        <v>31</v>
      </c>
      <c r="W219" t="s">
        <v>33</v>
      </c>
      <c r="X219" t="s">
        <v>3530</v>
      </c>
      <c r="Y219" t="s">
        <v>3273</v>
      </c>
      <c r="Z219" t="s">
        <v>1775</v>
      </c>
      <c r="AA219" t="s">
        <v>31</v>
      </c>
      <c r="AB219" t="s">
        <v>206</v>
      </c>
      <c r="AC219" t="s">
        <v>30</v>
      </c>
      <c r="AD219" t="s">
        <v>46</v>
      </c>
      <c r="AE219" t="s">
        <v>188</v>
      </c>
      <c r="AF219" t="s">
        <v>431</v>
      </c>
      <c r="AG219" t="s">
        <v>1775</v>
      </c>
      <c r="AH219" t="s">
        <v>3532</v>
      </c>
      <c r="AK219">
        <v>0</v>
      </c>
      <c r="AL219" t="s">
        <v>32</v>
      </c>
      <c r="AM219" t="s">
        <v>81</v>
      </c>
      <c r="AN219" t="s">
        <v>82</v>
      </c>
    </row>
    <row r="220" spans="1:40">
      <c r="A220" t="s">
        <v>1887</v>
      </c>
      <c r="B220" t="s">
        <v>34</v>
      </c>
      <c r="C220" t="s">
        <v>282</v>
      </c>
      <c r="D220" t="s">
        <v>1888</v>
      </c>
      <c r="E220" s="1">
        <v>46074.285243055558</v>
      </c>
      <c r="F220" t="s">
        <v>153</v>
      </c>
      <c r="G220" t="s">
        <v>776</v>
      </c>
      <c r="H220" t="s">
        <v>3669</v>
      </c>
      <c r="I220" t="s">
        <v>692</v>
      </c>
      <c r="J220" t="s">
        <v>300</v>
      </c>
      <c r="K220" t="s">
        <v>44</v>
      </c>
      <c r="M220" t="s">
        <v>3528</v>
      </c>
      <c r="O220" t="s">
        <v>3099</v>
      </c>
      <c r="P220" t="s">
        <v>3100</v>
      </c>
      <c r="Q220" t="s">
        <v>3678</v>
      </c>
      <c r="R220" t="s">
        <v>46</v>
      </c>
      <c r="S220" t="s">
        <v>379</v>
      </c>
      <c r="T220" t="s">
        <v>379</v>
      </c>
      <c r="U220" s="1">
        <v>46074.285324074073</v>
      </c>
      <c r="V220" t="s">
        <v>31</v>
      </c>
      <c r="W220" t="s">
        <v>33</v>
      </c>
      <c r="X220" t="s">
        <v>3530</v>
      </c>
      <c r="Y220" t="s">
        <v>3140</v>
      </c>
      <c r="Z220" t="s">
        <v>1775</v>
      </c>
      <c r="AA220" t="s">
        <v>31</v>
      </c>
      <c r="AB220" t="s">
        <v>399</v>
      </c>
      <c r="AC220" t="s">
        <v>30</v>
      </c>
      <c r="AD220" t="s">
        <v>46</v>
      </c>
      <c r="AE220" t="s">
        <v>379</v>
      </c>
      <c r="AF220" t="s">
        <v>379</v>
      </c>
      <c r="AG220" t="s">
        <v>1775</v>
      </c>
      <c r="AH220">
        <v>3607</v>
      </c>
      <c r="AK220">
        <v>0</v>
      </c>
      <c r="AL220" t="s">
        <v>32</v>
      </c>
      <c r="AM220" t="s">
        <v>1889</v>
      </c>
      <c r="AN220" t="s">
        <v>1890</v>
      </c>
    </row>
    <row r="221" spans="1:40">
      <c r="A221" t="s">
        <v>1891</v>
      </c>
      <c r="B221" t="s">
        <v>34</v>
      </c>
      <c r="C221" t="s">
        <v>282</v>
      </c>
      <c r="D221" t="s">
        <v>1888</v>
      </c>
      <c r="E221" s="1">
        <v>46074.285011574073</v>
      </c>
      <c r="F221" t="s">
        <v>153</v>
      </c>
      <c r="G221" t="s">
        <v>776</v>
      </c>
      <c r="H221" t="s">
        <v>3669</v>
      </c>
      <c r="I221" t="s">
        <v>692</v>
      </c>
      <c r="J221" t="s">
        <v>300</v>
      </c>
      <c r="K221" t="s">
        <v>44</v>
      </c>
      <c r="M221" t="s">
        <v>3528</v>
      </c>
      <c r="O221" t="s">
        <v>3099</v>
      </c>
      <c r="P221" t="s">
        <v>3100</v>
      </c>
      <c r="Q221" t="s">
        <v>3678</v>
      </c>
      <c r="R221" t="s">
        <v>46</v>
      </c>
      <c r="S221" t="s">
        <v>379</v>
      </c>
      <c r="T221" t="s">
        <v>379</v>
      </c>
      <c r="U221" s="1">
        <v>46074.285115740742</v>
      </c>
      <c r="V221" t="s">
        <v>31</v>
      </c>
      <c r="W221" t="s">
        <v>33</v>
      </c>
      <c r="X221" t="s">
        <v>3530</v>
      </c>
      <c r="Y221" t="s">
        <v>3140</v>
      </c>
      <c r="Z221" t="s">
        <v>1775</v>
      </c>
      <c r="AA221" t="s">
        <v>31</v>
      </c>
      <c r="AB221" t="s">
        <v>399</v>
      </c>
      <c r="AC221" t="s">
        <v>30</v>
      </c>
      <c r="AD221" t="s">
        <v>46</v>
      </c>
      <c r="AE221" t="s">
        <v>379</v>
      </c>
      <c r="AF221" t="s">
        <v>379</v>
      </c>
      <c r="AG221" t="s">
        <v>1775</v>
      </c>
      <c r="AH221">
        <v>3607</v>
      </c>
      <c r="AK221">
        <v>0</v>
      </c>
      <c r="AL221" t="s">
        <v>32</v>
      </c>
      <c r="AM221" t="s">
        <v>1889</v>
      </c>
      <c r="AN221" t="s">
        <v>1890</v>
      </c>
    </row>
    <row r="222" spans="1:40">
      <c r="A222" t="s">
        <v>1892</v>
      </c>
      <c r="B222" t="s">
        <v>34</v>
      </c>
      <c r="C222" t="s">
        <v>25</v>
      </c>
      <c r="D222" t="s">
        <v>1699</v>
      </c>
      <c r="E222" s="1">
        <v>46074.280439814815</v>
      </c>
      <c r="F222" t="s">
        <v>153</v>
      </c>
      <c r="G222" t="s">
        <v>776</v>
      </c>
      <c r="H222" t="s">
        <v>3669</v>
      </c>
      <c r="I222" t="s">
        <v>656</v>
      </c>
      <c r="J222" t="s">
        <v>300</v>
      </c>
      <c r="K222" t="s">
        <v>44</v>
      </c>
      <c r="M222" t="s">
        <v>3528</v>
      </c>
      <c r="O222" t="s">
        <v>3099</v>
      </c>
      <c r="P222" t="s">
        <v>3100</v>
      </c>
      <c r="Q222" t="s">
        <v>3678</v>
      </c>
      <c r="R222" t="s">
        <v>46</v>
      </c>
      <c r="S222" t="s">
        <v>47</v>
      </c>
      <c r="T222" t="s">
        <v>657</v>
      </c>
      <c r="U222" s="1">
        <v>46074.280555555553</v>
      </c>
      <c r="V222" t="s">
        <v>31</v>
      </c>
      <c r="W222" t="s">
        <v>33</v>
      </c>
      <c r="X222" t="s">
        <v>3530</v>
      </c>
      <c r="Y222" t="s">
        <v>3274</v>
      </c>
      <c r="Z222" t="s">
        <v>1775</v>
      </c>
      <c r="AA222" t="s">
        <v>31</v>
      </c>
      <c r="AB222" t="s">
        <v>399</v>
      </c>
      <c r="AC222" t="s">
        <v>30</v>
      </c>
      <c r="AD222" t="s">
        <v>46</v>
      </c>
      <c r="AE222" t="s">
        <v>47</v>
      </c>
      <c r="AF222" t="s">
        <v>48</v>
      </c>
      <c r="AG222" t="s">
        <v>1775</v>
      </c>
      <c r="AH222" t="s">
        <v>3634</v>
      </c>
      <c r="AK222">
        <v>0</v>
      </c>
      <c r="AL222" t="s">
        <v>32</v>
      </c>
      <c r="AM222" t="s">
        <v>1893</v>
      </c>
      <c r="AN222" t="s">
        <v>1894</v>
      </c>
    </row>
    <row r="223" spans="1:40">
      <c r="A223" t="s">
        <v>1895</v>
      </c>
      <c r="B223" t="s">
        <v>34</v>
      </c>
      <c r="C223" t="s">
        <v>737</v>
      </c>
      <c r="D223" t="s">
        <v>738</v>
      </c>
      <c r="E223" s="1">
        <v>46074.26116898148</v>
      </c>
      <c r="F223" t="s">
        <v>153</v>
      </c>
      <c r="G223" t="s">
        <v>776</v>
      </c>
      <c r="H223" t="s">
        <v>3669</v>
      </c>
      <c r="I223" t="s">
        <v>109</v>
      </c>
      <c r="J223" t="s">
        <v>300</v>
      </c>
      <c r="K223" t="s">
        <v>44</v>
      </c>
      <c r="M223" t="s">
        <v>3528</v>
      </c>
      <c r="O223" t="s">
        <v>3099</v>
      </c>
      <c r="P223" t="s">
        <v>3100</v>
      </c>
      <c r="Q223" t="s">
        <v>3678</v>
      </c>
      <c r="R223" t="s">
        <v>46</v>
      </c>
      <c r="S223" t="s">
        <v>110</v>
      </c>
      <c r="T223" t="s">
        <v>111</v>
      </c>
      <c r="U223" s="1">
        <v>46074.261273148149</v>
      </c>
      <c r="V223" t="s">
        <v>31</v>
      </c>
      <c r="W223" t="s">
        <v>33</v>
      </c>
      <c r="X223" t="s">
        <v>3530</v>
      </c>
      <c r="Y223" t="s">
        <v>3275</v>
      </c>
      <c r="Z223" t="s">
        <v>1775</v>
      </c>
      <c r="AA223" t="s">
        <v>31</v>
      </c>
      <c r="AB223" t="s">
        <v>399</v>
      </c>
      <c r="AC223" t="s">
        <v>30</v>
      </c>
      <c r="AD223" t="s">
        <v>46</v>
      </c>
      <c r="AE223" t="s">
        <v>110</v>
      </c>
      <c r="AF223" t="s">
        <v>111</v>
      </c>
      <c r="AG223" t="s">
        <v>1775</v>
      </c>
      <c r="AH223" t="s">
        <v>3577</v>
      </c>
      <c r="AK223">
        <v>0</v>
      </c>
      <c r="AL223" t="s">
        <v>32</v>
      </c>
      <c r="AM223" t="s">
        <v>740</v>
      </c>
      <c r="AN223" t="s">
        <v>741</v>
      </c>
    </row>
    <row r="224" spans="1:40">
      <c r="A224" t="s">
        <v>1896</v>
      </c>
      <c r="B224" t="s">
        <v>34</v>
      </c>
      <c r="C224" t="s">
        <v>115</v>
      </c>
      <c r="D224" t="s">
        <v>115</v>
      </c>
      <c r="E224" s="1">
        <v>46074.194108796299</v>
      </c>
      <c r="F224" t="s">
        <v>96</v>
      </c>
      <c r="G224" t="s">
        <v>776</v>
      </c>
      <c r="H224" t="s">
        <v>96</v>
      </c>
      <c r="I224" t="s">
        <v>692</v>
      </c>
      <c r="J224" t="s">
        <v>300</v>
      </c>
      <c r="K224" t="s">
        <v>44</v>
      </c>
      <c r="M224" t="s">
        <v>3528</v>
      </c>
      <c r="O224" t="s">
        <v>3099</v>
      </c>
      <c r="P224" t="s">
        <v>3100</v>
      </c>
      <c r="Q224" t="s">
        <v>3688</v>
      </c>
      <c r="R224" t="s">
        <v>46</v>
      </c>
      <c r="S224" t="s">
        <v>379</v>
      </c>
      <c r="T224" t="s">
        <v>379</v>
      </c>
      <c r="U224" s="1">
        <v>46074.194189814814</v>
      </c>
      <c r="V224" t="s">
        <v>31</v>
      </c>
      <c r="W224" t="s">
        <v>33</v>
      </c>
      <c r="X224" t="s">
        <v>3530</v>
      </c>
      <c r="Y224" t="s">
        <v>3140</v>
      </c>
      <c r="Z224" t="s">
        <v>1775</v>
      </c>
      <c r="AA224" t="s">
        <v>31</v>
      </c>
      <c r="AB224" t="s">
        <v>399</v>
      </c>
      <c r="AC224" t="s">
        <v>30</v>
      </c>
      <c r="AD224" t="s">
        <v>46</v>
      </c>
      <c r="AE224" t="s">
        <v>379</v>
      </c>
      <c r="AF224" t="s">
        <v>379</v>
      </c>
      <c r="AG224" t="s">
        <v>1775</v>
      </c>
      <c r="AH224">
        <v>871</v>
      </c>
      <c r="AK224">
        <v>0</v>
      </c>
      <c r="AL224" t="s">
        <v>32</v>
      </c>
      <c r="AM224" t="s">
        <v>1180</v>
      </c>
      <c r="AN224" t="s">
        <v>1181</v>
      </c>
    </row>
    <row r="225" spans="1:40">
      <c r="A225" t="s">
        <v>1897</v>
      </c>
      <c r="B225" t="s">
        <v>34</v>
      </c>
      <c r="C225" t="s">
        <v>115</v>
      </c>
      <c r="D225" t="s">
        <v>115</v>
      </c>
      <c r="E225" s="1">
        <v>46074.193749999999</v>
      </c>
      <c r="F225" t="s">
        <v>96</v>
      </c>
      <c r="G225" t="s">
        <v>776</v>
      </c>
      <c r="H225" t="s">
        <v>96</v>
      </c>
      <c r="I225" t="s">
        <v>590</v>
      </c>
      <c r="J225" t="s">
        <v>300</v>
      </c>
      <c r="K225" t="s">
        <v>44</v>
      </c>
      <c r="M225" t="s">
        <v>3528</v>
      </c>
      <c r="O225" t="s">
        <v>3099</v>
      </c>
      <c r="P225" t="s">
        <v>3100</v>
      </c>
      <c r="Q225" t="s">
        <v>3688</v>
      </c>
      <c r="R225" t="s">
        <v>46</v>
      </c>
      <c r="S225" t="s">
        <v>379</v>
      </c>
      <c r="T225" t="s">
        <v>379</v>
      </c>
      <c r="U225" s="1">
        <v>46074.193888888891</v>
      </c>
      <c r="V225" t="s">
        <v>31</v>
      </c>
      <c r="W225" t="s">
        <v>33</v>
      </c>
      <c r="X225" t="s">
        <v>3530</v>
      </c>
      <c r="Y225" t="s">
        <v>3132</v>
      </c>
      <c r="Z225" t="s">
        <v>1775</v>
      </c>
      <c r="AA225" t="s">
        <v>31</v>
      </c>
      <c r="AB225" t="s">
        <v>399</v>
      </c>
      <c r="AC225" t="s">
        <v>30</v>
      </c>
      <c r="AD225" t="s">
        <v>46</v>
      </c>
      <c r="AE225" t="s">
        <v>379</v>
      </c>
      <c r="AF225" t="s">
        <v>379</v>
      </c>
      <c r="AG225" t="s">
        <v>1775</v>
      </c>
      <c r="AH225">
        <v>871</v>
      </c>
      <c r="AK225">
        <v>0</v>
      </c>
      <c r="AL225" t="s">
        <v>32</v>
      </c>
      <c r="AM225" t="s">
        <v>1180</v>
      </c>
      <c r="AN225" t="s">
        <v>1181</v>
      </c>
    </row>
    <row r="226" spans="1:40">
      <c r="A226" t="s">
        <v>1898</v>
      </c>
      <c r="B226" t="s">
        <v>34</v>
      </c>
      <c r="C226" t="s">
        <v>1899</v>
      </c>
      <c r="D226" t="s">
        <v>116</v>
      </c>
      <c r="E226" s="1">
        <v>46073.964872685188</v>
      </c>
      <c r="F226" t="s">
        <v>108</v>
      </c>
      <c r="G226" t="s">
        <v>776</v>
      </c>
      <c r="H226" t="s">
        <v>3666</v>
      </c>
      <c r="I226" t="s">
        <v>109</v>
      </c>
      <c r="J226" t="s">
        <v>514</v>
      </c>
      <c r="K226" t="s">
        <v>44</v>
      </c>
      <c r="M226" t="s">
        <v>3528</v>
      </c>
      <c r="O226" t="s">
        <v>3099</v>
      </c>
      <c r="P226" t="s">
        <v>3100</v>
      </c>
      <c r="Q226" t="s">
        <v>3678</v>
      </c>
      <c r="R226" t="s">
        <v>46</v>
      </c>
      <c r="S226" t="s">
        <v>110</v>
      </c>
      <c r="T226" t="s">
        <v>111</v>
      </c>
      <c r="U226" s="1">
        <v>46073.965601851851</v>
      </c>
      <c r="V226" t="s">
        <v>31</v>
      </c>
      <c r="W226" t="s">
        <v>33</v>
      </c>
      <c r="X226" t="s">
        <v>3530</v>
      </c>
      <c r="Y226" t="s">
        <v>3276</v>
      </c>
      <c r="Z226" t="s">
        <v>1775</v>
      </c>
      <c r="AA226" t="s">
        <v>31</v>
      </c>
      <c r="AB226" t="s">
        <v>266</v>
      </c>
      <c r="AC226" t="s">
        <v>30</v>
      </c>
      <c r="AD226" t="s">
        <v>46</v>
      </c>
      <c r="AE226" t="s">
        <v>110</v>
      </c>
      <c r="AF226" t="s">
        <v>111</v>
      </c>
      <c r="AG226" t="s">
        <v>1775</v>
      </c>
      <c r="AH226" t="s">
        <v>3635</v>
      </c>
      <c r="AK226">
        <v>0</v>
      </c>
      <c r="AL226" t="s">
        <v>32</v>
      </c>
      <c r="AM226" t="s">
        <v>1268</v>
      </c>
      <c r="AN226" t="s">
        <v>1900</v>
      </c>
    </row>
    <row r="227" spans="1:40">
      <c r="A227" t="s">
        <v>1903</v>
      </c>
      <c r="B227" t="s">
        <v>24</v>
      </c>
      <c r="C227" t="s">
        <v>1904</v>
      </c>
      <c r="D227" t="s">
        <v>1905</v>
      </c>
      <c r="E227" s="1">
        <v>46073.909004629626</v>
      </c>
      <c r="F227" t="s">
        <v>153</v>
      </c>
      <c r="G227" t="s">
        <v>776</v>
      </c>
      <c r="H227" t="s">
        <v>3669</v>
      </c>
      <c r="I227" t="s">
        <v>875</v>
      </c>
      <c r="J227" t="s">
        <v>514</v>
      </c>
      <c r="K227" t="s">
        <v>44</v>
      </c>
      <c r="M227" t="s">
        <v>3528</v>
      </c>
      <c r="O227" t="s">
        <v>3103</v>
      </c>
      <c r="P227" t="s">
        <v>3104</v>
      </c>
      <c r="Q227" t="s">
        <v>3727</v>
      </c>
      <c r="R227" t="s">
        <v>46</v>
      </c>
      <c r="S227" t="s">
        <v>197</v>
      </c>
      <c r="T227" t="s">
        <v>875</v>
      </c>
      <c r="U227" s="1">
        <v>46073.91238425926</v>
      </c>
      <c r="V227" t="s">
        <v>31</v>
      </c>
      <c r="W227" t="s">
        <v>33</v>
      </c>
      <c r="X227" t="s">
        <v>3530</v>
      </c>
      <c r="Y227" t="s">
        <v>3277</v>
      </c>
      <c r="Z227" t="s">
        <v>1775</v>
      </c>
      <c r="AA227" t="s">
        <v>31</v>
      </c>
      <c r="AB227" t="s">
        <v>266</v>
      </c>
      <c r="AC227" t="s">
        <v>86</v>
      </c>
      <c r="AD227" t="s">
        <v>46</v>
      </c>
      <c r="AE227" t="s">
        <v>197</v>
      </c>
      <c r="AF227" t="s">
        <v>875</v>
      </c>
      <c r="AG227" t="s">
        <v>1775</v>
      </c>
      <c r="AH227">
        <v>1892</v>
      </c>
      <c r="AK227">
        <v>0</v>
      </c>
      <c r="AL227" t="s">
        <v>32</v>
      </c>
      <c r="AM227" t="s">
        <v>1906</v>
      </c>
      <c r="AN227" t="s">
        <v>1907</v>
      </c>
    </row>
    <row r="228" spans="1:40">
      <c r="A228" t="s">
        <v>1908</v>
      </c>
      <c r="B228" t="s">
        <v>34</v>
      </c>
      <c r="C228" t="s">
        <v>331</v>
      </c>
      <c r="D228" t="s">
        <v>25</v>
      </c>
      <c r="E228" s="1">
        <v>46073.801701388889</v>
      </c>
      <c r="F228" t="s">
        <v>186</v>
      </c>
      <c r="G228" t="s">
        <v>776</v>
      </c>
      <c r="H228" t="s">
        <v>3667</v>
      </c>
      <c r="I228" t="s">
        <v>1909</v>
      </c>
      <c r="J228" t="s">
        <v>494</v>
      </c>
      <c r="K228" t="s">
        <v>134</v>
      </c>
      <c r="M228" t="s">
        <v>3526</v>
      </c>
      <c r="O228" t="s">
        <v>3099</v>
      </c>
      <c r="P228" t="s">
        <v>3100</v>
      </c>
      <c r="Q228" t="s">
        <v>3678</v>
      </c>
      <c r="R228" t="s">
        <v>46</v>
      </c>
      <c r="S228" t="s">
        <v>751</v>
      </c>
      <c r="T228" t="s">
        <v>752</v>
      </c>
      <c r="U228" s="1">
        <v>46076.721724537034</v>
      </c>
      <c r="V228" t="s">
        <v>31</v>
      </c>
      <c r="W228" t="s">
        <v>33</v>
      </c>
      <c r="X228" t="s">
        <v>3525</v>
      </c>
      <c r="Y228" t="s">
        <v>3278</v>
      </c>
      <c r="Z228" t="s">
        <v>38</v>
      </c>
      <c r="AA228" t="s">
        <v>31</v>
      </c>
      <c r="AB228" t="s">
        <v>266</v>
      </c>
      <c r="AC228" t="s">
        <v>30</v>
      </c>
      <c r="AD228" t="s">
        <v>46</v>
      </c>
      <c r="AE228" t="s">
        <v>751</v>
      </c>
      <c r="AF228" t="s">
        <v>752</v>
      </c>
      <c r="AG228" t="s">
        <v>38</v>
      </c>
      <c r="AH228" t="s">
        <v>3636</v>
      </c>
      <c r="AK228">
        <v>1</v>
      </c>
      <c r="AL228" t="s">
        <v>32</v>
      </c>
      <c r="AM228" t="s">
        <v>1910</v>
      </c>
      <c r="AN228" t="s">
        <v>1911</v>
      </c>
    </row>
    <row r="229" spans="1:40">
      <c r="A229" t="s">
        <v>1918</v>
      </c>
      <c r="B229" t="s">
        <v>34</v>
      </c>
      <c r="C229" t="s">
        <v>1919</v>
      </c>
      <c r="D229" t="s">
        <v>1920</v>
      </c>
      <c r="E229" s="1">
        <v>46073.761712962965</v>
      </c>
      <c r="F229" t="s">
        <v>62</v>
      </c>
      <c r="G229" t="s">
        <v>776</v>
      </c>
      <c r="H229" t="s">
        <v>3668</v>
      </c>
      <c r="I229" t="s">
        <v>1921</v>
      </c>
      <c r="J229" t="s">
        <v>205</v>
      </c>
      <c r="K229" t="s">
        <v>44</v>
      </c>
      <c r="M229" t="s">
        <v>3526</v>
      </c>
      <c r="O229" t="s">
        <v>3099</v>
      </c>
      <c r="P229" t="s">
        <v>3100</v>
      </c>
      <c r="Q229" t="s">
        <v>3678</v>
      </c>
      <c r="R229" t="s">
        <v>46</v>
      </c>
      <c r="S229" t="s">
        <v>188</v>
      </c>
      <c r="T229" t="s">
        <v>431</v>
      </c>
      <c r="U229" s="1">
        <v>46077.52065972222</v>
      </c>
      <c r="V229" t="s">
        <v>31</v>
      </c>
      <c r="W229" t="s">
        <v>33</v>
      </c>
      <c r="X229" t="s">
        <v>3525</v>
      </c>
      <c r="Y229" t="s">
        <v>3188</v>
      </c>
      <c r="Z229" t="s">
        <v>38</v>
      </c>
      <c r="AA229" t="s">
        <v>31</v>
      </c>
      <c r="AB229" t="s">
        <v>266</v>
      </c>
      <c r="AC229" t="s">
        <v>30</v>
      </c>
      <c r="AD229" t="s">
        <v>46</v>
      </c>
      <c r="AE229" t="s">
        <v>188</v>
      </c>
      <c r="AF229" t="s">
        <v>431</v>
      </c>
      <c r="AG229" t="s">
        <v>38</v>
      </c>
      <c r="AH229" t="s">
        <v>3639</v>
      </c>
      <c r="AK229">
        <v>1</v>
      </c>
      <c r="AL229" t="s">
        <v>32</v>
      </c>
      <c r="AM229" t="s">
        <v>1922</v>
      </c>
      <c r="AN229" t="s">
        <v>1923</v>
      </c>
    </row>
    <row r="230" spans="1:40">
      <c r="A230" t="s">
        <v>1924</v>
      </c>
      <c r="B230" t="s">
        <v>34</v>
      </c>
      <c r="C230" t="s">
        <v>1862</v>
      </c>
      <c r="D230" t="s">
        <v>1863</v>
      </c>
      <c r="E230" s="1">
        <v>46073.737928240742</v>
      </c>
      <c r="F230" t="s">
        <v>153</v>
      </c>
      <c r="G230" t="s">
        <v>776</v>
      </c>
      <c r="H230" t="s">
        <v>3669</v>
      </c>
      <c r="I230" t="s">
        <v>543</v>
      </c>
      <c r="J230" t="s">
        <v>514</v>
      </c>
      <c r="K230" t="s">
        <v>44</v>
      </c>
      <c r="M230" t="s">
        <v>3528</v>
      </c>
      <c r="O230" t="s">
        <v>3099</v>
      </c>
      <c r="P230" t="s">
        <v>3100</v>
      </c>
      <c r="Q230" t="s">
        <v>3725</v>
      </c>
      <c r="R230" t="s">
        <v>46</v>
      </c>
      <c r="S230" t="s">
        <v>379</v>
      </c>
      <c r="T230" t="s">
        <v>379</v>
      </c>
      <c r="U230" s="1">
        <v>46073.738796296297</v>
      </c>
      <c r="V230" t="s">
        <v>31</v>
      </c>
      <c r="W230" t="s">
        <v>33</v>
      </c>
      <c r="X230" t="s">
        <v>3530</v>
      </c>
      <c r="Y230" t="s">
        <v>3279</v>
      </c>
      <c r="Z230" t="s">
        <v>1775</v>
      </c>
      <c r="AA230" t="s">
        <v>31</v>
      </c>
      <c r="AB230" t="s">
        <v>266</v>
      </c>
      <c r="AC230" t="s">
        <v>30</v>
      </c>
      <c r="AD230" t="s">
        <v>46</v>
      </c>
      <c r="AE230" t="s">
        <v>379</v>
      </c>
      <c r="AF230" t="s">
        <v>379</v>
      </c>
      <c r="AG230" t="s">
        <v>1775</v>
      </c>
      <c r="AH230">
        <v>4868</v>
      </c>
      <c r="AK230">
        <v>0</v>
      </c>
      <c r="AL230" t="s">
        <v>32</v>
      </c>
      <c r="AM230" t="s">
        <v>1864</v>
      </c>
      <c r="AN230" t="s">
        <v>1865</v>
      </c>
    </row>
    <row r="231" spans="1:40">
      <c r="A231" t="s">
        <v>1925</v>
      </c>
      <c r="B231" t="s">
        <v>34</v>
      </c>
      <c r="C231" t="s">
        <v>1926</v>
      </c>
      <c r="D231" t="s">
        <v>172</v>
      </c>
      <c r="E231" s="1">
        <v>46073.70890046296</v>
      </c>
      <c r="F231" t="s">
        <v>470</v>
      </c>
      <c r="G231" t="s">
        <v>776</v>
      </c>
      <c r="H231" t="s">
        <v>3671</v>
      </c>
      <c r="I231" t="s">
        <v>1927</v>
      </c>
      <c r="J231" t="s">
        <v>320</v>
      </c>
      <c r="K231" t="s">
        <v>134</v>
      </c>
      <c r="M231" t="s">
        <v>3526</v>
      </c>
      <c r="O231" t="s">
        <v>3099</v>
      </c>
      <c r="P231" t="s">
        <v>3100</v>
      </c>
      <c r="Q231" t="s">
        <v>3678</v>
      </c>
      <c r="R231" t="s">
        <v>46</v>
      </c>
      <c r="S231" t="s">
        <v>751</v>
      </c>
      <c r="T231" t="s">
        <v>752</v>
      </c>
      <c r="U231" s="1">
        <v>46076.334560185183</v>
      </c>
      <c r="V231" t="s">
        <v>31</v>
      </c>
      <c r="W231" t="s">
        <v>33</v>
      </c>
      <c r="X231" t="s">
        <v>3525</v>
      </c>
      <c r="Y231" t="e">
        <f>- Cleaned / deleted Quarantined items. - deleted temporary files, temporary internet files and cookies. - Ran SEP Active scan. - Completed successfully</f>
        <v>#NAME?</v>
      </c>
      <c r="Z231" t="s">
        <v>38</v>
      </c>
      <c r="AA231" t="s">
        <v>31</v>
      </c>
      <c r="AB231" t="s">
        <v>266</v>
      </c>
      <c r="AC231" t="s">
        <v>30</v>
      </c>
      <c r="AD231" t="s">
        <v>46</v>
      </c>
      <c r="AE231" t="s">
        <v>751</v>
      </c>
      <c r="AF231" t="s">
        <v>752</v>
      </c>
      <c r="AG231" t="s">
        <v>38</v>
      </c>
      <c r="AH231" t="s">
        <v>3640</v>
      </c>
      <c r="AK231">
        <v>1</v>
      </c>
      <c r="AL231" t="s">
        <v>32</v>
      </c>
      <c r="AM231" t="s">
        <v>1928</v>
      </c>
      <c r="AN231" t="s">
        <v>1929</v>
      </c>
    </row>
    <row r="232" spans="1:40">
      <c r="A232" t="s">
        <v>1930</v>
      </c>
      <c r="B232" t="s">
        <v>34</v>
      </c>
      <c r="C232" t="s">
        <v>1724</v>
      </c>
      <c r="D232" t="s">
        <v>1931</v>
      </c>
      <c r="E232" s="1">
        <v>46073.706875000003</v>
      </c>
      <c r="F232" t="s">
        <v>35</v>
      </c>
      <c r="G232" t="s">
        <v>776</v>
      </c>
      <c r="H232" t="s">
        <v>3672</v>
      </c>
      <c r="I232" t="s">
        <v>1932</v>
      </c>
      <c r="J232" t="s">
        <v>514</v>
      </c>
      <c r="K232" t="s">
        <v>44</v>
      </c>
      <c r="M232" t="s">
        <v>3528</v>
      </c>
      <c r="O232" t="s">
        <v>3099</v>
      </c>
      <c r="P232" t="s">
        <v>3100</v>
      </c>
      <c r="Q232" t="s">
        <v>3678</v>
      </c>
      <c r="R232" t="s">
        <v>46</v>
      </c>
      <c r="S232" t="s">
        <v>751</v>
      </c>
      <c r="T232" t="s">
        <v>752</v>
      </c>
      <c r="U232" s="1">
        <v>46073.718055555553</v>
      </c>
      <c r="V232" t="s">
        <v>31</v>
      </c>
      <c r="W232" t="s">
        <v>33</v>
      </c>
      <c r="X232" t="s">
        <v>3525</v>
      </c>
      <c r="Y232" t="s">
        <v>3280</v>
      </c>
      <c r="Z232" t="s">
        <v>1775</v>
      </c>
      <c r="AA232" t="s">
        <v>31</v>
      </c>
      <c r="AB232" t="s">
        <v>266</v>
      </c>
      <c r="AC232" t="s">
        <v>30</v>
      </c>
      <c r="AD232" t="s">
        <v>46</v>
      </c>
      <c r="AE232" t="s">
        <v>751</v>
      </c>
      <c r="AF232" t="s">
        <v>752</v>
      </c>
      <c r="AG232" t="s">
        <v>1775</v>
      </c>
      <c r="AH232" t="s">
        <v>3641</v>
      </c>
      <c r="AK232">
        <v>0</v>
      </c>
      <c r="AL232" t="s">
        <v>32</v>
      </c>
      <c r="AM232" t="s">
        <v>1933</v>
      </c>
      <c r="AN232" t="s">
        <v>1934</v>
      </c>
    </row>
    <row r="233" spans="1:40">
      <c r="A233" t="s">
        <v>1938</v>
      </c>
      <c r="B233" t="s">
        <v>24</v>
      </c>
      <c r="C233" t="s">
        <v>1939</v>
      </c>
      <c r="D233" t="s">
        <v>1940</v>
      </c>
      <c r="E233" s="1">
        <v>46073.674803240741</v>
      </c>
      <c r="F233" t="s">
        <v>26</v>
      </c>
      <c r="G233" t="s">
        <v>776</v>
      </c>
      <c r="H233" t="s">
        <v>3665</v>
      </c>
      <c r="I233" t="s">
        <v>1941</v>
      </c>
      <c r="J233" t="s">
        <v>135</v>
      </c>
      <c r="K233" t="s">
        <v>134</v>
      </c>
      <c r="M233" t="s">
        <v>3526</v>
      </c>
      <c r="O233" t="s">
        <v>3103</v>
      </c>
      <c r="P233" t="s">
        <v>3104</v>
      </c>
      <c r="Q233" t="s">
        <v>3689</v>
      </c>
      <c r="R233" t="s">
        <v>46</v>
      </c>
      <c r="S233" t="s">
        <v>197</v>
      </c>
      <c r="T233" t="s">
        <v>875</v>
      </c>
      <c r="U233" s="1">
        <v>46076.447696759256</v>
      </c>
      <c r="V233" t="s">
        <v>31</v>
      </c>
      <c r="W233" t="s">
        <v>33</v>
      </c>
      <c r="X233" t="s">
        <v>3525</v>
      </c>
      <c r="Y233" t="s">
        <v>3281</v>
      </c>
      <c r="Z233" t="s">
        <v>38</v>
      </c>
      <c r="AA233" t="s">
        <v>31</v>
      </c>
      <c r="AB233" t="s">
        <v>266</v>
      </c>
      <c r="AC233" t="s">
        <v>86</v>
      </c>
      <c r="AD233" t="s">
        <v>46</v>
      </c>
      <c r="AE233" t="s">
        <v>110</v>
      </c>
      <c r="AF233" t="s">
        <v>3181</v>
      </c>
      <c r="AG233" t="s">
        <v>38</v>
      </c>
      <c r="AH233">
        <v>3297</v>
      </c>
      <c r="AK233">
        <v>1</v>
      </c>
      <c r="AL233" t="s">
        <v>32</v>
      </c>
      <c r="AM233" t="s">
        <v>1942</v>
      </c>
      <c r="AN233" t="s">
        <v>1943</v>
      </c>
    </row>
    <row r="234" spans="1:40">
      <c r="A234" t="s">
        <v>1944</v>
      </c>
      <c r="B234" t="s">
        <v>24</v>
      </c>
      <c r="C234" t="s">
        <v>123</v>
      </c>
      <c r="D234" t="s">
        <v>1945</v>
      </c>
      <c r="E234" s="1">
        <v>46073.573923611111</v>
      </c>
      <c r="F234" t="s">
        <v>226</v>
      </c>
      <c r="G234" t="s">
        <v>776</v>
      </c>
      <c r="H234" t="s">
        <v>3665</v>
      </c>
      <c r="I234" t="s">
        <v>1946</v>
      </c>
      <c r="J234" t="s">
        <v>1219</v>
      </c>
      <c r="K234" t="s">
        <v>134</v>
      </c>
      <c r="M234" t="s">
        <v>3528</v>
      </c>
      <c r="O234" t="s">
        <v>3144</v>
      </c>
      <c r="P234" t="s">
        <v>3145</v>
      </c>
      <c r="Q234" t="s">
        <v>3710</v>
      </c>
      <c r="R234" t="s">
        <v>46</v>
      </c>
      <c r="S234" t="s">
        <v>314</v>
      </c>
      <c r="T234" t="s">
        <v>1947</v>
      </c>
      <c r="U234" s="1">
        <v>46073.669305555559</v>
      </c>
      <c r="V234" t="s">
        <v>31</v>
      </c>
      <c r="W234" t="s">
        <v>33</v>
      </c>
      <c r="X234" t="s">
        <v>3530</v>
      </c>
      <c r="Y234" t="s">
        <v>3282</v>
      </c>
      <c r="Z234" t="s">
        <v>1775</v>
      </c>
      <c r="AA234" t="s">
        <v>31</v>
      </c>
      <c r="AB234" t="s">
        <v>726</v>
      </c>
      <c r="AC234" t="s">
        <v>284</v>
      </c>
      <c r="AD234" t="s">
        <v>46</v>
      </c>
      <c r="AE234" t="s">
        <v>314</v>
      </c>
      <c r="AF234" t="s">
        <v>1947</v>
      </c>
      <c r="AG234" t="s">
        <v>1775</v>
      </c>
      <c r="AH234">
        <v>6110</v>
      </c>
      <c r="AK234">
        <v>1</v>
      </c>
      <c r="AL234" t="s">
        <v>32</v>
      </c>
      <c r="AM234" t="s">
        <v>1948</v>
      </c>
      <c r="AN234" t="s">
        <v>1949</v>
      </c>
    </row>
    <row r="235" spans="1:40">
      <c r="A235" t="s">
        <v>1950</v>
      </c>
      <c r="B235" t="s">
        <v>24</v>
      </c>
      <c r="C235" t="s">
        <v>169</v>
      </c>
      <c r="D235" t="s">
        <v>1951</v>
      </c>
      <c r="E235" s="1">
        <v>46073.514803240738</v>
      </c>
      <c r="F235" t="s">
        <v>74</v>
      </c>
      <c r="G235" t="s">
        <v>776</v>
      </c>
      <c r="H235" t="s">
        <v>3665</v>
      </c>
      <c r="I235" t="s">
        <v>1952</v>
      </c>
      <c r="J235" t="s">
        <v>411</v>
      </c>
      <c r="K235" t="s">
        <v>44</v>
      </c>
      <c r="M235" t="s">
        <v>3528</v>
      </c>
      <c r="O235" t="s">
        <v>3103</v>
      </c>
      <c r="P235" t="s">
        <v>3104</v>
      </c>
      <c r="Q235" t="s">
        <v>3678</v>
      </c>
      <c r="R235" t="s">
        <v>46</v>
      </c>
      <c r="S235" t="s">
        <v>559</v>
      </c>
      <c r="T235" t="s">
        <v>48</v>
      </c>
      <c r="U235" s="1">
        <v>46073.51934027778</v>
      </c>
      <c r="V235" t="s">
        <v>31</v>
      </c>
      <c r="W235" t="s">
        <v>33</v>
      </c>
      <c r="X235" t="s">
        <v>3530</v>
      </c>
      <c r="Y235" t="s">
        <v>3283</v>
      </c>
      <c r="Z235" t="s">
        <v>1775</v>
      </c>
      <c r="AA235" t="s">
        <v>31</v>
      </c>
      <c r="AB235" t="s">
        <v>413</v>
      </c>
      <c r="AC235" t="s">
        <v>86</v>
      </c>
      <c r="AD235" t="s">
        <v>46</v>
      </c>
      <c r="AE235" t="s">
        <v>559</v>
      </c>
      <c r="AF235" t="s">
        <v>48</v>
      </c>
      <c r="AG235" t="s">
        <v>1775</v>
      </c>
      <c r="AH235">
        <v>12556</v>
      </c>
      <c r="AK235">
        <v>0</v>
      </c>
      <c r="AL235" t="s">
        <v>32</v>
      </c>
      <c r="AM235" t="s">
        <v>1953</v>
      </c>
      <c r="AN235" t="s">
        <v>1954</v>
      </c>
    </row>
    <row r="236" spans="1:40">
      <c r="A236" t="s">
        <v>1955</v>
      </c>
      <c r="B236" t="s">
        <v>24</v>
      </c>
      <c r="C236" t="s">
        <v>1956</v>
      </c>
      <c r="D236" t="s">
        <v>261</v>
      </c>
      <c r="E236" s="1">
        <v>46073.506284722222</v>
      </c>
      <c r="F236" t="s">
        <v>242</v>
      </c>
      <c r="G236" t="s">
        <v>776</v>
      </c>
      <c r="H236" t="s">
        <v>3671</v>
      </c>
      <c r="I236" t="s">
        <v>453</v>
      </c>
      <c r="J236" t="s">
        <v>290</v>
      </c>
      <c r="K236" t="s">
        <v>44</v>
      </c>
      <c r="M236" t="s">
        <v>3528</v>
      </c>
      <c r="O236" t="s">
        <v>3103</v>
      </c>
      <c r="P236" t="s">
        <v>3104</v>
      </c>
      <c r="Q236" t="s">
        <v>3682</v>
      </c>
      <c r="R236" t="s">
        <v>46</v>
      </c>
      <c r="S236" t="s">
        <v>454</v>
      </c>
      <c r="T236" t="s">
        <v>1957</v>
      </c>
      <c r="U236" s="1">
        <v>46073.507245370369</v>
      </c>
      <c r="V236" t="s">
        <v>31</v>
      </c>
      <c r="W236" t="s">
        <v>33</v>
      </c>
      <c r="X236" t="s">
        <v>3530</v>
      </c>
      <c r="Y236" t="s">
        <v>3284</v>
      </c>
      <c r="Z236" t="s">
        <v>1775</v>
      </c>
      <c r="AA236" t="s">
        <v>31</v>
      </c>
      <c r="AB236" t="s">
        <v>190</v>
      </c>
      <c r="AC236" t="s">
        <v>86</v>
      </c>
      <c r="AD236" t="s">
        <v>46</v>
      </c>
      <c r="AE236" t="s">
        <v>454</v>
      </c>
      <c r="AF236" t="s">
        <v>3285</v>
      </c>
      <c r="AG236" t="s">
        <v>1775</v>
      </c>
      <c r="AH236">
        <v>13248</v>
      </c>
      <c r="AK236">
        <v>0</v>
      </c>
      <c r="AL236" t="s">
        <v>32</v>
      </c>
      <c r="AM236" t="s">
        <v>1958</v>
      </c>
      <c r="AN236" t="s">
        <v>1959</v>
      </c>
    </row>
    <row r="237" spans="1:40">
      <c r="A237" t="s">
        <v>1960</v>
      </c>
      <c r="B237" t="s">
        <v>34</v>
      </c>
      <c r="C237" t="s">
        <v>220</v>
      </c>
      <c r="D237" t="s">
        <v>91</v>
      </c>
      <c r="E237" s="1">
        <v>46073.502245370371</v>
      </c>
      <c r="F237" t="s">
        <v>118</v>
      </c>
      <c r="G237" t="s">
        <v>776</v>
      </c>
      <c r="H237" t="s">
        <v>3666</v>
      </c>
      <c r="I237" t="s">
        <v>212</v>
      </c>
      <c r="J237" t="s">
        <v>473</v>
      </c>
      <c r="K237" t="s">
        <v>44</v>
      </c>
      <c r="M237" t="s">
        <v>3526</v>
      </c>
      <c r="O237" t="s">
        <v>3099</v>
      </c>
      <c r="P237" t="s">
        <v>3100</v>
      </c>
      <c r="Q237" t="s">
        <v>3698</v>
      </c>
      <c r="R237" t="s">
        <v>162</v>
      </c>
      <c r="S237" t="s">
        <v>163</v>
      </c>
      <c r="T237" t="s">
        <v>164</v>
      </c>
      <c r="U237" s="1">
        <v>46077.44431712963</v>
      </c>
      <c r="V237" t="s">
        <v>31</v>
      </c>
      <c r="W237" t="s">
        <v>33</v>
      </c>
      <c r="X237" t="s">
        <v>3536</v>
      </c>
      <c r="Y237" t="s">
        <v>3286</v>
      </c>
      <c r="Z237" t="s">
        <v>38</v>
      </c>
      <c r="AA237" t="s">
        <v>31</v>
      </c>
      <c r="AB237" t="s">
        <v>104</v>
      </c>
      <c r="AC237" t="s">
        <v>30</v>
      </c>
      <c r="AD237" t="s">
        <v>46</v>
      </c>
      <c r="AE237" t="s">
        <v>110</v>
      </c>
      <c r="AF237" t="s">
        <v>3287</v>
      </c>
      <c r="AG237" t="s">
        <v>38</v>
      </c>
      <c r="AH237">
        <v>2850</v>
      </c>
      <c r="AK237">
        <v>7</v>
      </c>
      <c r="AL237" t="s">
        <v>32</v>
      </c>
      <c r="AM237" t="s">
        <v>380</v>
      </c>
      <c r="AN237" t="s">
        <v>381</v>
      </c>
    </row>
    <row r="238" spans="1:40">
      <c r="A238" t="s">
        <v>1961</v>
      </c>
      <c r="B238" t="s">
        <v>34</v>
      </c>
      <c r="C238" t="s">
        <v>220</v>
      </c>
      <c r="D238" t="s">
        <v>91</v>
      </c>
      <c r="E238" s="1">
        <v>46073.498217592591</v>
      </c>
      <c r="F238" t="s">
        <v>118</v>
      </c>
      <c r="G238" t="s">
        <v>776</v>
      </c>
      <c r="H238" t="s">
        <v>3666</v>
      </c>
      <c r="I238" t="s">
        <v>212</v>
      </c>
      <c r="J238" t="s">
        <v>253</v>
      </c>
      <c r="K238" t="s">
        <v>44</v>
      </c>
      <c r="M238" t="s">
        <v>3526</v>
      </c>
      <c r="O238" t="s">
        <v>3099</v>
      </c>
      <c r="P238" t="s">
        <v>3100</v>
      </c>
      <c r="Q238" t="s">
        <v>3698</v>
      </c>
      <c r="R238" t="s">
        <v>162</v>
      </c>
      <c r="S238" t="s">
        <v>163</v>
      </c>
      <c r="T238" t="s">
        <v>164</v>
      </c>
      <c r="U238" s="1">
        <v>46077.504930555559</v>
      </c>
      <c r="V238" t="s">
        <v>31</v>
      </c>
      <c r="W238" t="s">
        <v>33</v>
      </c>
      <c r="X238" t="s">
        <v>3536</v>
      </c>
      <c r="Y238" t="s">
        <v>3288</v>
      </c>
      <c r="Z238" t="s">
        <v>38</v>
      </c>
      <c r="AA238" t="s">
        <v>31</v>
      </c>
      <c r="AB238" t="s">
        <v>104</v>
      </c>
      <c r="AC238" t="s">
        <v>30</v>
      </c>
      <c r="AD238" t="s">
        <v>46</v>
      </c>
      <c r="AE238" t="s">
        <v>110</v>
      </c>
      <c r="AF238" t="s">
        <v>3110</v>
      </c>
      <c r="AG238" t="s">
        <v>38</v>
      </c>
      <c r="AH238">
        <v>2850</v>
      </c>
      <c r="AK238">
        <v>4</v>
      </c>
      <c r="AL238" t="s">
        <v>32</v>
      </c>
      <c r="AM238" t="s">
        <v>380</v>
      </c>
      <c r="AN238" t="s">
        <v>381</v>
      </c>
    </row>
    <row r="239" spans="1:40">
      <c r="A239" t="s">
        <v>1962</v>
      </c>
      <c r="B239" t="s">
        <v>34</v>
      </c>
      <c r="C239" t="s">
        <v>220</v>
      </c>
      <c r="D239" t="s">
        <v>91</v>
      </c>
      <c r="E239" s="1">
        <v>46073.495509259257</v>
      </c>
      <c r="F239" t="s">
        <v>118</v>
      </c>
      <c r="G239" t="s">
        <v>776</v>
      </c>
      <c r="H239" t="s">
        <v>3666</v>
      </c>
      <c r="I239" t="s">
        <v>212</v>
      </c>
      <c r="J239" t="s">
        <v>473</v>
      </c>
      <c r="K239" t="s">
        <v>44</v>
      </c>
      <c r="M239" t="s">
        <v>3526</v>
      </c>
      <c r="O239" t="s">
        <v>3099</v>
      </c>
      <c r="P239" t="s">
        <v>3100</v>
      </c>
      <c r="Q239" t="s">
        <v>3698</v>
      </c>
      <c r="R239" t="s">
        <v>162</v>
      </c>
      <c r="S239" t="s">
        <v>163</v>
      </c>
      <c r="T239" t="s">
        <v>164</v>
      </c>
      <c r="U239" s="1">
        <v>46077.442256944443</v>
      </c>
      <c r="V239" t="s">
        <v>31</v>
      </c>
      <c r="W239" t="s">
        <v>33</v>
      </c>
      <c r="X239" t="s">
        <v>3536</v>
      </c>
      <c r="Y239" t="s">
        <v>3289</v>
      </c>
      <c r="Z239" t="s">
        <v>38</v>
      </c>
      <c r="AA239" t="s">
        <v>31</v>
      </c>
      <c r="AB239" t="s">
        <v>104</v>
      </c>
      <c r="AC239" t="s">
        <v>30</v>
      </c>
      <c r="AD239" t="s">
        <v>46</v>
      </c>
      <c r="AE239" t="s">
        <v>110</v>
      </c>
      <c r="AF239" t="s">
        <v>3287</v>
      </c>
      <c r="AG239" t="s">
        <v>38</v>
      </c>
      <c r="AH239">
        <v>2850</v>
      </c>
      <c r="AK239">
        <v>7</v>
      </c>
      <c r="AL239" t="s">
        <v>32</v>
      </c>
      <c r="AM239" t="s">
        <v>380</v>
      </c>
      <c r="AN239" t="s">
        <v>381</v>
      </c>
    </row>
    <row r="240" spans="1:40">
      <c r="A240" t="s">
        <v>1963</v>
      </c>
      <c r="B240" t="s">
        <v>34</v>
      </c>
      <c r="C240" t="s">
        <v>1964</v>
      </c>
      <c r="D240" t="s">
        <v>1965</v>
      </c>
      <c r="E240" s="1">
        <v>46073.495127314818</v>
      </c>
      <c r="F240" t="s">
        <v>26</v>
      </c>
      <c r="G240" t="s">
        <v>776</v>
      </c>
      <c r="H240" t="s">
        <v>3665</v>
      </c>
      <c r="I240" t="s">
        <v>1320</v>
      </c>
      <c r="J240" t="s">
        <v>320</v>
      </c>
      <c r="K240" t="s">
        <v>134</v>
      </c>
      <c r="M240" t="s">
        <v>3526</v>
      </c>
      <c r="O240" t="s">
        <v>3099</v>
      </c>
      <c r="P240" t="s">
        <v>3100</v>
      </c>
      <c r="Q240" t="s">
        <v>3678</v>
      </c>
      <c r="R240" t="s">
        <v>162</v>
      </c>
      <c r="S240" t="s">
        <v>163</v>
      </c>
      <c r="T240" t="s">
        <v>164</v>
      </c>
      <c r="U240" s="1">
        <v>46078.366712962961</v>
      </c>
      <c r="V240" t="s">
        <v>31</v>
      </c>
      <c r="W240" t="s">
        <v>33</v>
      </c>
      <c r="X240" t="s">
        <v>3536</v>
      </c>
      <c r="Y240" t="e">
        <f>- after troubleshooting the issue, found it is hardware issue. - Escalated to AMC support team - they visited and replaced the Faulty keyboards.</f>
        <v>#NAME?</v>
      </c>
      <c r="Z240" t="s">
        <v>38</v>
      </c>
      <c r="AA240" t="s">
        <v>31</v>
      </c>
      <c r="AB240" t="s">
        <v>104</v>
      </c>
      <c r="AC240" t="s">
        <v>30</v>
      </c>
      <c r="AD240" t="s">
        <v>46</v>
      </c>
      <c r="AE240" t="s">
        <v>582</v>
      </c>
      <c r="AF240" t="s">
        <v>3290</v>
      </c>
      <c r="AG240" t="s">
        <v>38</v>
      </c>
      <c r="AH240" t="s">
        <v>3642</v>
      </c>
      <c r="AK240">
        <v>6</v>
      </c>
      <c r="AL240" t="s">
        <v>32</v>
      </c>
      <c r="AM240" t="s">
        <v>1966</v>
      </c>
      <c r="AN240" t="s">
        <v>1967</v>
      </c>
    </row>
    <row r="241" spans="1:40">
      <c r="A241" t="s">
        <v>1968</v>
      </c>
      <c r="B241" t="s">
        <v>34</v>
      </c>
      <c r="C241" t="s">
        <v>169</v>
      </c>
      <c r="D241" t="s">
        <v>257</v>
      </c>
      <c r="E241" s="1">
        <v>46073.489560185182</v>
      </c>
      <c r="F241" t="s">
        <v>62</v>
      </c>
      <c r="G241" t="s">
        <v>776</v>
      </c>
      <c r="H241" t="s">
        <v>3668</v>
      </c>
      <c r="I241" t="s">
        <v>535</v>
      </c>
      <c r="J241" t="s">
        <v>411</v>
      </c>
      <c r="K241" t="s">
        <v>44</v>
      </c>
      <c r="M241" t="s">
        <v>3528</v>
      </c>
      <c r="O241" t="s">
        <v>3099</v>
      </c>
      <c r="P241" t="s">
        <v>3100</v>
      </c>
      <c r="Q241" t="s">
        <v>3686</v>
      </c>
      <c r="R241" t="s">
        <v>46</v>
      </c>
      <c r="S241" t="s">
        <v>188</v>
      </c>
      <c r="T241" t="s">
        <v>431</v>
      </c>
      <c r="U241" s="1">
        <v>46073.49</v>
      </c>
      <c r="V241" t="s">
        <v>31</v>
      </c>
      <c r="W241" t="s">
        <v>33</v>
      </c>
      <c r="X241" t="s">
        <v>3530</v>
      </c>
      <c r="Y241" t="s">
        <v>3291</v>
      </c>
      <c r="Z241" t="s">
        <v>1775</v>
      </c>
      <c r="AA241" t="s">
        <v>31</v>
      </c>
      <c r="AB241" t="s">
        <v>413</v>
      </c>
      <c r="AC241" t="s">
        <v>30</v>
      </c>
      <c r="AD241" t="s">
        <v>46</v>
      </c>
      <c r="AE241" t="s">
        <v>188</v>
      </c>
      <c r="AF241" t="s">
        <v>431</v>
      </c>
      <c r="AG241" t="s">
        <v>1775</v>
      </c>
      <c r="AH241">
        <v>12173</v>
      </c>
      <c r="AK241">
        <v>0</v>
      </c>
      <c r="AL241" t="s">
        <v>32</v>
      </c>
      <c r="AM241" t="s">
        <v>258</v>
      </c>
      <c r="AN241" t="s">
        <v>259</v>
      </c>
    </row>
    <row r="242" spans="1:40">
      <c r="A242" t="s">
        <v>1969</v>
      </c>
      <c r="B242" t="s">
        <v>34</v>
      </c>
      <c r="C242" t="s">
        <v>25</v>
      </c>
      <c r="D242" t="s">
        <v>964</v>
      </c>
      <c r="E242" s="1">
        <v>46073.486111111109</v>
      </c>
      <c r="F242" t="s">
        <v>26</v>
      </c>
      <c r="G242" t="s">
        <v>776</v>
      </c>
      <c r="H242" t="s">
        <v>3665</v>
      </c>
      <c r="I242" t="s">
        <v>421</v>
      </c>
      <c r="J242" t="s">
        <v>514</v>
      </c>
      <c r="K242" t="s">
        <v>44</v>
      </c>
      <c r="M242" t="s">
        <v>3526</v>
      </c>
      <c r="O242" t="s">
        <v>3099</v>
      </c>
      <c r="P242" t="s">
        <v>3100</v>
      </c>
      <c r="R242" t="s">
        <v>162</v>
      </c>
      <c r="S242" t="s">
        <v>163</v>
      </c>
      <c r="T242" t="s">
        <v>164</v>
      </c>
      <c r="U242" s="1">
        <v>46077.532951388886</v>
      </c>
      <c r="V242" t="s">
        <v>31</v>
      </c>
      <c r="W242" t="s">
        <v>33</v>
      </c>
      <c r="X242" t="s">
        <v>3536</v>
      </c>
      <c r="Y242" t="s">
        <v>3172</v>
      </c>
      <c r="Z242" t="s">
        <v>38</v>
      </c>
      <c r="AA242" t="s">
        <v>31</v>
      </c>
      <c r="AB242" t="s">
        <v>104</v>
      </c>
      <c r="AC242" t="s">
        <v>30</v>
      </c>
      <c r="AD242" t="s">
        <v>46</v>
      </c>
      <c r="AE242" t="s">
        <v>94</v>
      </c>
      <c r="AF242" t="s">
        <v>95</v>
      </c>
      <c r="AG242" t="s">
        <v>38</v>
      </c>
      <c r="AH242" t="s">
        <v>3589</v>
      </c>
      <c r="AK242">
        <v>5</v>
      </c>
      <c r="AL242" t="s">
        <v>32</v>
      </c>
      <c r="AM242" t="s">
        <v>965</v>
      </c>
      <c r="AN242" t="s">
        <v>966</v>
      </c>
    </row>
    <row r="243" spans="1:40">
      <c r="A243" t="s">
        <v>1970</v>
      </c>
      <c r="B243" t="s">
        <v>34</v>
      </c>
      <c r="C243" t="s">
        <v>1971</v>
      </c>
      <c r="D243" t="s">
        <v>1972</v>
      </c>
      <c r="E243" s="1">
        <v>46073.486701388887</v>
      </c>
      <c r="F243" t="s">
        <v>353</v>
      </c>
      <c r="G243" t="s">
        <v>776</v>
      </c>
      <c r="H243" t="s">
        <v>3671</v>
      </c>
      <c r="I243" t="s">
        <v>1973</v>
      </c>
      <c r="J243" t="s">
        <v>253</v>
      </c>
      <c r="K243" t="s">
        <v>44</v>
      </c>
      <c r="M243" t="s">
        <v>3528</v>
      </c>
      <c r="O243" t="s">
        <v>3099</v>
      </c>
      <c r="P243" t="s">
        <v>3100</v>
      </c>
      <c r="R243" t="s">
        <v>120</v>
      </c>
      <c r="S243" t="s">
        <v>121</v>
      </c>
      <c r="T243" t="s">
        <v>122</v>
      </c>
      <c r="U243" s="1">
        <v>46073.491527777776</v>
      </c>
      <c r="V243" t="s">
        <v>31</v>
      </c>
      <c r="W243" t="s">
        <v>33</v>
      </c>
      <c r="X243" t="s">
        <v>3530</v>
      </c>
      <c r="Y243" t="s">
        <v>3292</v>
      </c>
      <c r="Z243" t="s">
        <v>1775</v>
      </c>
      <c r="AA243" t="s">
        <v>31</v>
      </c>
      <c r="AB243" t="s">
        <v>367</v>
      </c>
      <c r="AC243" t="s">
        <v>30</v>
      </c>
      <c r="AD243" t="s">
        <v>46</v>
      </c>
      <c r="AE243" t="s">
        <v>188</v>
      </c>
      <c r="AF243" t="s">
        <v>431</v>
      </c>
      <c r="AG243" t="s">
        <v>1775</v>
      </c>
      <c r="AH243">
        <v>15648</v>
      </c>
      <c r="AK243">
        <v>0</v>
      </c>
      <c r="AL243" t="s">
        <v>32</v>
      </c>
      <c r="AM243" t="s">
        <v>1974</v>
      </c>
      <c r="AN243" t="s">
        <v>1975</v>
      </c>
    </row>
    <row r="244" spans="1:40">
      <c r="A244" t="s">
        <v>1976</v>
      </c>
      <c r="B244" t="s">
        <v>34</v>
      </c>
      <c r="C244" t="s">
        <v>759</v>
      </c>
      <c r="D244" t="s">
        <v>1007</v>
      </c>
      <c r="E244" s="1">
        <v>46073.484224537038</v>
      </c>
      <c r="F244" t="s">
        <v>108</v>
      </c>
      <c r="G244" t="s">
        <v>776</v>
      </c>
      <c r="H244" t="s">
        <v>3666</v>
      </c>
      <c r="I244" t="s">
        <v>379</v>
      </c>
      <c r="J244" t="s">
        <v>253</v>
      </c>
      <c r="K244" t="s">
        <v>44</v>
      </c>
      <c r="M244" t="s">
        <v>3528</v>
      </c>
      <c r="O244" t="s">
        <v>3099</v>
      </c>
      <c r="P244" t="s">
        <v>3100</v>
      </c>
      <c r="Q244" t="s">
        <v>3678</v>
      </c>
      <c r="R244" t="s">
        <v>46</v>
      </c>
      <c r="S244" t="s">
        <v>379</v>
      </c>
      <c r="T244" t="s">
        <v>379</v>
      </c>
      <c r="U244" s="1">
        <v>46073.494143518517</v>
      </c>
      <c r="V244" t="s">
        <v>31</v>
      </c>
      <c r="W244" t="s">
        <v>33</v>
      </c>
      <c r="X244" t="s">
        <v>3530</v>
      </c>
      <c r="Y244" t="s">
        <v>3293</v>
      </c>
      <c r="Z244" t="s">
        <v>1775</v>
      </c>
      <c r="AA244" t="s">
        <v>31</v>
      </c>
      <c r="AB244" t="s">
        <v>367</v>
      </c>
      <c r="AC244" t="s">
        <v>30</v>
      </c>
      <c r="AD244" t="s">
        <v>46</v>
      </c>
      <c r="AE244" t="s">
        <v>379</v>
      </c>
      <c r="AF244" t="s">
        <v>379</v>
      </c>
      <c r="AG244" t="s">
        <v>1775</v>
      </c>
      <c r="AH244">
        <v>13289</v>
      </c>
      <c r="AK244">
        <v>0</v>
      </c>
      <c r="AL244" t="s">
        <v>32</v>
      </c>
      <c r="AM244" t="s">
        <v>1977</v>
      </c>
      <c r="AN244" t="s">
        <v>1978</v>
      </c>
    </row>
    <row r="245" spans="1:40">
      <c r="A245" t="s">
        <v>1979</v>
      </c>
      <c r="B245" t="s">
        <v>34</v>
      </c>
      <c r="C245" t="s">
        <v>1053</v>
      </c>
      <c r="D245" t="s">
        <v>1054</v>
      </c>
      <c r="E245" s="1">
        <v>46073.481168981481</v>
      </c>
      <c r="F245" t="s">
        <v>353</v>
      </c>
      <c r="G245" t="s">
        <v>776</v>
      </c>
      <c r="H245" t="s">
        <v>3671</v>
      </c>
      <c r="I245" t="s">
        <v>813</v>
      </c>
      <c r="J245" t="s">
        <v>253</v>
      </c>
      <c r="K245" t="s">
        <v>44</v>
      </c>
      <c r="M245" t="s">
        <v>3526</v>
      </c>
      <c r="O245" t="s">
        <v>3099</v>
      </c>
      <c r="P245" t="s">
        <v>3100</v>
      </c>
      <c r="R245" t="s">
        <v>46</v>
      </c>
      <c r="S245" t="s">
        <v>188</v>
      </c>
      <c r="T245" t="s">
        <v>431</v>
      </c>
      <c r="U245" s="1">
        <v>46076.462465277778</v>
      </c>
      <c r="V245" t="s">
        <v>31</v>
      </c>
      <c r="W245" t="s">
        <v>33</v>
      </c>
      <c r="X245" t="s">
        <v>3530</v>
      </c>
      <c r="Y245" t="s">
        <v>3294</v>
      </c>
      <c r="Z245" t="s">
        <v>38</v>
      </c>
      <c r="AA245" t="s">
        <v>31</v>
      </c>
      <c r="AB245" t="s">
        <v>367</v>
      </c>
      <c r="AC245" t="s">
        <v>30</v>
      </c>
      <c r="AD245" t="s">
        <v>46</v>
      </c>
      <c r="AE245" t="s">
        <v>188</v>
      </c>
      <c r="AF245" t="s">
        <v>431</v>
      </c>
      <c r="AG245" t="s">
        <v>38</v>
      </c>
      <c r="AH245">
        <v>15874</v>
      </c>
      <c r="AK245">
        <v>0</v>
      </c>
      <c r="AL245" t="s">
        <v>32</v>
      </c>
      <c r="AM245" t="s">
        <v>1056</v>
      </c>
      <c r="AN245" t="s">
        <v>1057</v>
      </c>
    </row>
    <row r="246" spans="1:40">
      <c r="A246" t="s">
        <v>1980</v>
      </c>
      <c r="B246" t="s">
        <v>34</v>
      </c>
      <c r="C246" t="s">
        <v>1747</v>
      </c>
      <c r="D246" t="s">
        <v>1748</v>
      </c>
      <c r="E246" s="1">
        <v>46073.475937499999</v>
      </c>
      <c r="F246" t="s">
        <v>424</v>
      </c>
      <c r="G246" t="s">
        <v>776</v>
      </c>
      <c r="H246" t="s">
        <v>3668</v>
      </c>
      <c r="I246" t="s">
        <v>1981</v>
      </c>
      <c r="J246" t="s">
        <v>253</v>
      </c>
      <c r="K246" t="s">
        <v>44</v>
      </c>
      <c r="M246" t="s">
        <v>3528</v>
      </c>
      <c r="O246" t="s">
        <v>3099</v>
      </c>
      <c r="P246" t="s">
        <v>3100</v>
      </c>
      <c r="R246" t="s">
        <v>46</v>
      </c>
      <c r="S246" t="s">
        <v>348</v>
      </c>
      <c r="T246" t="s">
        <v>506</v>
      </c>
      <c r="U246" s="1">
        <v>46073.478900462964</v>
      </c>
      <c r="V246" t="s">
        <v>31</v>
      </c>
      <c r="W246" t="s">
        <v>33</v>
      </c>
      <c r="X246" t="s">
        <v>3530</v>
      </c>
      <c r="Y246" t="s">
        <v>3295</v>
      </c>
      <c r="Z246" t="s">
        <v>1775</v>
      </c>
      <c r="AA246" t="s">
        <v>31</v>
      </c>
      <c r="AB246" t="s">
        <v>367</v>
      </c>
      <c r="AC246" t="s">
        <v>30</v>
      </c>
      <c r="AD246" t="s">
        <v>46</v>
      </c>
      <c r="AE246" t="s">
        <v>348</v>
      </c>
      <c r="AF246" t="s">
        <v>506</v>
      </c>
      <c r="AG246" t="s">
        <v>1775</v>
      </c>
      <c r="AH246">
        <v>3128</v>
      </c>
      <c r="AK246">
        <v>0</v>
      </c>
      <c r="AL246" t="s">
        <v>181</v>
      </c>
      <c r="AM246" t="s">
        <v>1749</v>
      </c>
      <c r="AN246" t="s">
        <v>1750</v>
      </c>
    </row>
    <row r="247" spans="1:40">
      <c r="A247" t="s">
        <v>1982</v>
      </c>
      <c r="B247" t="s">
        <v>24</v>
      </c>
      <c r="C247" t="s">
        <v>1983</v>
      </c>
      <c r="D247" t="s">
        <v>1984</v>
      </c>
      <c r="E247" s="1">
        <v>46073.462847222225</v>
      </c>
      <c r="F247" t="s">
        <v>238</v>
      </c>
      <c r="G247" t="s">
        <v>776</v>
      </c>
      <c r="H247" t="s">
        <v>3665</v>
      </c>
      <c r="I247" t="s">
        <v>1985</v>
      </c>
      <c r="J247" t="s">
        <v>253</v>
      </c>
      <c r="K247" t="s">
        <v>44</v>
      </c>
      <c r="M247" t="s">
        <v>3528</v>
      </c>
      <c r="O247" t="s">
        <v>3103</v>
      </c>
      <c r="P247" t="s">
        <v>3104</v>
      </c>
      <c r="Q247" t="s">
        <v>3678</v>
      </c>
      <c r="R247" t="s">
        <v>162</v>
      </c>
      <c r="S247" t="s">
        <v>163</v>
      </c>
      <c r="T247" t="s">
        <v>164</v>
      </c>
      <c r="U247" s="1">
        <v>46073.516111111108</v>
      </c>
      <c r="V247" t="s">
        <v>31</v>
      </c>
      <c r="W247" t="s">
        <v>33</v>
      </c>
      <c r="X247" t="s">
        <v>3536</v>
      </c>
      <c r="Y247" t="s">
        <v>3296</v>
      </c>
      <c r="Z247" t="s">
        <v>1775</v>
      </c>
      <c r="AA247" t="s">
        <v>31</v>
      </c>
      <c r="AB247" t="s">
        <v>104</v>
      </c>
      <c r="AC247" t="s">
        <v>86</v>
      </c>
      <c r="AD247" t="s">
        <v>46</v>
      </c>
      <c r="AE247" t="s">
        <v>374</v>
      </c>
      <c r="AF247" t="s">
        <v>618</v>
      </c>
      <c r="AG247" t="s">
        <v>1775</v>
      </c>
      <c r="AH247">
        <v>15868</v>
      </c>
      <c r="AK247">
        <v>2</v>
      </c>
      <c r="AL247" t="s">
        <v>32</v>
      </c>
      <c r="AM247" t="s">
        <v>1986</v>
      </c>
      <c r="AN247" t="s">
        <v>1987</v>
      </c>
    </row>
    <row r="248" spans="1:40">
      <c r="A248" t="s">
        <v>1988</v>
      </c>
      <c r="B248" t="s">
        <v>34</v>
      </c>
      <c r="C248" t="s">
        <v>930</v>
      </c>
      <c r="D248" t="s">
        <v>821</v>
      </c>
      <c r="E248" s="1">
        <v>46073.451226851852</v>
      </c>
      <c r="F248" t="s">
        <v>173</v>
      </c>
      <c r="G248" t="s">
        <v>776</v>
      </c>
      <c r="H248" t="s">
        <v>3666</v>
      </c>
      <c r="I248" t="s">
        <v>109</v>
      </c>
      <c r="J248" t="s">
        <v>1149</v>
      </c>
      <c r="K248" t="s">
        <v>44</v>
      </c>
      <c r="M248" t="s">
        <v>3528</v>
      </c>
      <c r="O248" t="s">
        <v>3099</v>
      </c>
      <c r="P248" t="s">
        <v>3100</v>
      </c>
      <c r="Q248" t="s">
        <v>3678</v>
      </c>
      <c r="R248" t="s">
        <v>46</v>
      </c>
      <c r="S248" t="s">
        <v>110</v>
      </c>
      <c r="T248" t="s">
        <v>111</v>
      </c>
      <c r="U248" s="1">
        <v>46073.45244212963</v>
      </c>
      <c r="V248" t="s">
        <v>31</v>
      </c>
      <c r="W248" t="s">
        <v>33</v>
      </c>
      <c r="X248" t="s">
        <v>3530</v>
      </c>
      <c r="Y248" t="s">
        <v>3193</v>
      </c>
      <c r="Z248" t="s">
        <v>1775</v>
      </c>
      <c r="AA248" t="s">
        <v>31</v>
      </c>
      <c r="AB248" t="s">
        <v>1150</v>
      </c>
      <c r="AC248" t="s">
        <v>30</v>
      </c>
      <c r="AD248" t="s">
        <v>46</v>
      </c>
      <c r="AE248" t="s">
        <v>110</v>
      </c>
      <c r="AF248" t="s">
        <v>111</v>
      </c>
      <c r="AG248" t="s">
        <v>1775</v>
      </c>
      <c r="AH248">
        <v>12898</v>
      </c>
      <c r="AK248">
        <v>0</v>
      </c>
      <c r="AL248" t="s">
        <v>32</v>
      </c>
      <c r="AM248" t="s">
        <v>1989</v>
      </c>
      <c r="AN248" t="s">
        <v>1990</v>
      </c>
    </row>
    <row r="249" spans="1:40">
      <c r="A249" t="s">
        <v>1996</v>
      </c>
      <c r="B249" t="s">
        <v>34</v>
      </c>
      <c r="C249" t="s">
        <v>363</v>
      </c>
      <c r="D249" t="s">
        <v>1997</v>
      </c>
      <c r="E249" s="1">
        <v>46073.451122685183</v>
      </c>
      <c r="F249" t="s">
        <v>39</v>
      </c>
      <c r="G249" t="s">
        <v>776</v>
      </c>
      <c r="H249" t="s">
        <v>3667</v>
      </c>
      <c r="I249" t="s">
        <v>1998</v>
      </c>
      <c r="J249" t="s">
        <v>179</v>
      </c>
      <c r="K249" t="s">
        <v>44</v>
      </c>
      <c r="M249" t="s">
        <v>3528</v>
      </c>
      <c r="O249" t="s">
        <v>3099</v>
      </c>
      <c r="P249" t="s">
        <v>3100</v>
      </c>
      <c r="Q249" t="s">
        <v>3678</v>
      </c>
      <c r="R249" t="s">
        <v>46</v>
      </c>
      <c r="S249" t="s">
        <v>379</v>
      </c>
      <c r="T249" t="s">
        <v>379</v>
      </c>
      <c r="U249" s="1">
        <v>46073.451226851852</v>
      </c>
      <c r="V249" t="s">
        <v>31</v>
      </c>
      <c r="W249" t="s">
        <v>33</v>
      </c>
      <c r="X249" t="s">
        <v>3530</v>
      </c>
      <c r="Y249" t="s">
        <v>3297</v>
      </c>
      <c r="Z249" t="s">
        <v>1775</v>
      </c>
      <c r="AA249" t="s">
        <v>31</v>
      </c>
      <c r="AB249" t="s">
        <v>350</v>
      </c>
      <c r="AC249" t="s">
        <v>30</v>
      </c>
      <c r="AD249" t="s">
        <v>46</v>
      </c>
      <c r="AE249" t="s">
        <v>379</v>
      </c>
      <c r="AF249" t="s">
        <v>379</v>
      </c>
      <c r="AG249" t="s">
        <v>1775</v>
      </c>
      <c r="AH249" t="s">
        <v>3644</v>
      </c>
      <c r="AK249">
        <v>0</v>
      </c>
      <c r="AL249" t="s">
        <v>32</v>
      </c>
      <c r="AM249" t="s">
        <v>1999</v>
      </c>
      <c r="AN249" t="s">
        <v>2000</v>
      </c>
    </row>
    <row r="250" spans="1:40">
      <c r="A250" t="s">
        <v>2005</v>
      </c>
      <c r="B250" t="s">
        <v>34</v>
      </c>
      <c r="C250" t="s">
        <v>391</v>
      </c>
      <c r="D250" t="s">
        <v>65</v>
      </c>
      <c r="E250" s="1">
        <v>46073.413726851853</v>
      </c>
      <c r="F250" t="s">
        <v>35</v>
      </c>
      <c r="G250" t="s">
        <v>776</v>
      </c>
      <c r="H250" t="s">
        <v>3672</v>
      </c>
      <c r="I250" t="s">
        <v>1158</v>
      </c>
      <c r="J250" t="s">
        <v>1149</v>
      </c>
      <c r="K250" t="s">
        <v>44</v>
      </c>
      <c r="M250" t="s">
        <v>3528</v>
      </c>
      <c r="O250" t="s">
        <v>3099</v>
      </c>
      <c r="P250" t="s">
        <v>3100</v>
      </c>
      <c r="Q250" t="s">
        <v>3728</v>
      </c>
      <c r="R250" t="s">
        <v>46</v>
      </c>
      <c r="S250" t="s">
        <v>379</v>
      </c>
      <c r="T250" t="s">
        <v>379</v>
      </c>
      <c r="U250" s="1">
        <v>46073.4455787037</v>
      </c>
      <c r="V250" t="s">
        <v>31</v>
      </c>
      <c r="W250" t="s">
        <v>33</v>
      </c>
      <c r="X250" t="s">
        <v>3530</v>
      </c>
      <c r="Y250" t="s">
        <v>3195</v>
      </c>
      <c r="Z250" t="s">
        <v>1775</v>
      </c>
      <c r="AA250" t="s">
        <v>31</v>
      </c>
      <c r="AB250" t="s">
        <v>1150</v>
      </c>
      <c r="AC250" t="s">
        <v>30</v>
      </c>
      <c r="AD250" t="s">
        <v>46</v>
      </c>
      <c r="AE250" t="s">
        <v>379</v>
      </c>
      <c r="AF250" t="s">
        <v>379</v>
      </c>
      <c r="AG250" t="s">
        <v>1775</v>
      </c>
      <c r="AH250">
        <v>9892</v>
      </c>
      <c r="AK250">
        <v>0</v>
      </c>
      <c r="AL250" t="s">
        <v>181</v>
      </c>
      <c r="AM250" t="s">
        <v>2006</v>
      </c>
      <c r="AN250" t="s">
        <v>2007</v>
      </c>
    </row>
    <row r="251" spans="1:40">
      <c r="A251" t="s">
        <v>2008</v>
      </c>
      <c r="B251" t="s">
        <v>34</v>
      </c>
      <c r="C251" t="s">
        <v>66</v>
      </c>
      <c r="D251" t="s">
        <v>2009</v>
      </c>
      <c r="E251" s="1">
        <v>46073.410995370374</v>
      </c>
      <c r="F251" t="s">
        <v>153</v>
      </c>
      <c r="G251" t="s">
        <v>776</v>
      </c>
      <c r="H251" t="s">
        <v>3669</v>
      </c>
      <c r="I251" t="s">
        <v>80</v>
      </c>
      <c r="J251" t="s">
        <v>179</v>
      </c>
      <c r="K251" t="s">
        <v>44</v>
      </c>
      <c r="M251" t="s">
        <v>3528</v>
      </c>
      <c r="O251" t="s">
        <v>3099</v>
      </c>
      <c r="P251" t="s">
        <v>3100</v>
      </c>
      <c r="Q251" t="s">
        <v>3724</v>
      </c>
      <c r="R251" t="s">
        <v>46</v>
      </c>
      <c r="S251" t="s">
        <v>110</v>
      </c>
      <c r="T251" t="s">
        <v>301</v>
      </c>
      <c r="U251" s="1">
        <v>46073.411550925928</v>
      </c>
      <c r="V251" t="s">
        <v>31</v>
      </c>
      <c r="W251" t="s">
        <v>33</v>
      </c>
      <c r="X251" t="s">
        <v>3530</v>
      </c>
      <c r="Y251" t="s">
        <v>3298</v>
      </c>
      <c r="Z251" t="s">
        <v>1775</v>
      </c>
      <c r="AA251" t="s">
        <v>31</v>
      </c>
      <c r="AB251" t="s">
        <v>350</v>
      </c>
      <c r="AC251" t="s">
        <v>30</v>
      </c>
      <c r="AD251" t="s">
        <v>46</v>
      </c>
      <c r="AE251" t="s">
        <v>110</v>
      </c>
      <c r="AF251" t="s">
        <v>3252</v>
      </c>
      <c r="AG251" t="s">
        <v>1775</v>
      </c>
      <c r="AH251">
        <v>581</v>
      </c>
      <c r="AK251">
        <v>0</v>
      </c>
      <c r="AL251" t="s">
        <v>32</v>
      </c>
      <c r="AM251" t="s">
        <v>2010</v>
      </c>
      <c r="AN251" t="s">
        <v>2011</v>
      </c>
    </row>
    <row r="252" spans="1:40">
      <c r="A252" t="s">
        <v>2012</v>
      </c>
      <c r="B252" t="s">
        <v>24</v>
      </c>
      <c r="C252" t="s">
        <v>66</v>
      </c>
      <c r="D252" t="s">
        <v>2009</v>
      </c>
      <c r="E252" s="1">
        <v>46073.410208333335</v>
      </c>
      <c r="F252" t="s">
        <v>153</v>
      </c>
      <c r="G252" t="s">
        <v>776</v>
      </c>
      <c r="H252" t="s">
        <v>3669</v>
      </c>
      <c r="I252" t="s">
        <v>2013</v>
      </c>
      <c r="J252" t="s">
        <v>179</v>
      </c>
      <c r="K252" t="s">
        <v>44</v>
      </c>
      <c r="M252" t="s">
        <v>3526</v>
      </c>
      <c r="O252" t="s">
        <v>3103</v>
      </c>
      <c r="P252" t="s">
        <v>3104</v>
      </c>
      <c r="Q252" t="s">
        <v>3724</v>
      </c>
      <c r="R252" t="s">
        <v>27</v>
      </c>
      <c r="S252" t="s">
        <v>28</v>
      </c>
      <c r="T252" t="s">
        <v>75</v>
      </c>
      <c r="U252" s="1">
        <v>46077.462627314817</v>
      </c>
      <c r="V252" t="s">
        <v>31</v>
      </c>
      <c r="W252" t="s">
        <v>33</v>
      </c>
      <c r="X252" t="s">
        <v>3530</v>
      </c>
      <c r="Y252" t="s">
        <v>3236</v>
      </c>
      <c r="Z252" t="s">
        <v>38</v>
      </c>
      <c r="AA252" t="s">
        <v>31</v>
      </c>
      <c r="AB252" t="s">
        <v>350</v>
      </c>
      <c r="AC252" t="s">
        <v>86</v>
      </c>
      <c r="AD252" t="s">
        <v>27</v>
      </c>
      <c r="AE252" t="s">
        <v>28</v>
      </c>
      <c r="AF252" t="s">
        <v>75</v>
      </c>
      <c r="AG252" t="s">
        <v>38</v>
      </c>
      <c r="AH252">
        <v>581</v>
      </c>
      <c r="AK252">
        <v>2</v>
      </c>
      <c r="AL252" t="s">
        <v>32</v>
      </c>
      <c r="AM252" t="s">
        <v>2010</v>
      </c>
      <c r="AN252" t="s">
        <v>2011</v>
      </c>
    </row>
    <row r="253" spans="1:40">
      <c r="A253" t="s">
        <v>2018</v>
      </c>
      <c r="B253" t="s">
        <v>24</v>
      </c>
      <c r="C253" t="s">
        <v>1971</v>
      </c>
      <c r="D253" t="s">
        <v>1972</v>
      </c>
      <c r="E253" s="1">
        <v>46073.402002314811</v>
      </c>
      <c r="F253" t="s">
        <v>353</v>
      </c>
      <c r="G253" t="s">
        <v>776</v>
      </c>
      <c r="H253" t="s">
        <v>3671</v>
      </c>
      <c r="I253" t="s">
        <v>187</v>
      </c>
      <c r="J253" t="s">
        <v>290</v>
      </c>
      <c r="K253" t="s">
        <v>44</v>
      </c>
      <c r="M253" t="s">
        <v>3526</v>
      </c>
      <c r="O253" t="s">
        <v>3103</v>
      </c>
      <c r="P253" t="s">
        <v>3104</v>
      </c>
      <c r="Q253" t="s">
        <v>3678</v>
      </c>
      <c r="R253" t="s">
        <v>46</v>
      </c>
      <c r="S253" t="s">
        <v>188</v>
      </c>
      <c r="T253" t="s">
        <v>189</v>
      </c>
      <c r="U253" s="1">
        <v>46077.377604166664</v>
      </c>
      <c r="V253" t="s">
        <v>31</v>
      </c>
      <c r="W253" t="s">
        <v>33</v>
      </c>
      <c r="X253" t="s">
        <v>3530</v>
      </c>
      <c r="Y253" t="s">
        <v>3299</v>
      </c>
      <c r="Z253" t="s">
        <v>38</v>
      </c>
      <c r="AA253" t="s">
        <v>31</v>
      </c>
      <c r="AB253" t="s">
        <v>190</v>
      </c>
      <c r="AC253" t="s">
        <v>86</v>
      </c>
      <c r="AD253" t="s">
        <v>46</v>
      </c>
      <c r="AE253" t="s">
        <v>188</v>
      </c>
      <c r="AF253" t="s">
        <v>189</v>
      </c>
      <c r="AG253" t="s">
        <v>38</v>
      </c>
      <c r="AH253">
        <v>15648</v>
      </c>
      <c r="AK253">
        <v>2</v>
      </c>
      <c r="AL253" t="s">
        <v>32</v>
      </c>
      <c r="AM253" t="s">
        <v>1974</v>
      </c>
      <c r="AN253" t="s">
        <v>1975</v>
      </c>
    </row>
    <row r="254" spans="1:40">
      <c r="A254" t="s">
        <v>2020</v>
      </c>
      <c r="B254" t="s">
        <v>34</v>
      </c>
      <c r="C254" t="s">
        <v>124</v>
      </c>
      <c r="D254" t="s">
        <v>383</v>
      </c>
      <c r="E254" s="1">
        <v>46073.420578703706</v>
      </c>
      <c r="F254" t="s">
        <v>226</v>
      </c>
      <c r="G254" t="s">
        <v>776</v>
      </c>
      <c r="H254" t="s">
        <v>3665</v>
      </c>
      <c r="I254" t="s">
        <v>608</v>
      </c>
      <c r="J254" t="s">
        <v>205</v>
      </c>
      <c r="K254" t="s">
        <v>44</v>
      </c>
      <c r="M254" t="s">
        <v>3528</v>
      </c>
      <c r="O254" t="s">
        <v>3099</v>
      </c>
      <c r="P254" t="s">
        <v>3100</v>
      </c>
      <c r="Q254" t="s">
        <v>3678</v>
      </c>
      <c r="R254" t="s">
        <v>46</v>
      </c>
      <c r="S254" t="s">
        <v>379</v>
      </c>
      <c r="T254" t="s">
        <v>379</v>
      </c>
      <c r="U254" s="1">
        <v>46073.422719907408</v>
      </c>
      <c r="V254" t="s">
        <v>31</v>
      </c>
      <c r="W254" t="s">
        <v>33</v>
      </c>
      <c r="X254" t="s">
        <v>3530</v>
      </c>
      <c r="Y254" t="s">
        <v>3134</v>
      </c>
      <c r="Z254" t="s">
        <v>1775</v>
      </c>
      <c r="AA254" t="s">
        <v>31</v>
      </c>
      <c r="AB254" t="s">
        <v>206</v>
      </c>
      <c r="AC254" t="s">
        <v>30</v>
      </c>
      <c r="AD254" t="s">
        <v>46</v>
      </c>
      <c r="AE254" t="s">
        <v>379</v>
      </c>
      <c r="AF254" t="s">
        <v>379</v>
      </c>
      <c r="AG254" t="s">
        <v>1775</v>
      </c>
      <c r="AH254">
        <v>14548</v>
      </c>
      <c r="AK254">
        <v>0</v>
      </c>
      <c r="AL254" t="s">
        <v>32</v>
      </c>
      <c r="AM254" t="s">
        <v>2021</v>
      </c>
      <c r="AN254" t="s">
        <v>2022</v>
      </c>
    </row>
    <row r="255" spans="1:40">
      <c r="A255" t="s">
        <v>2023</v>
      </c>
      <c r="B255" t="s">
        <v>34</v>
      </c>
      <c r="C255" t="s">
        <v>2024</v>
      </c>
      <c r="D255" t="s">
        <v>1507</v>
      </c>
      <c r="E255" s="1">
        <v>46073.392650462964</v>
      </c>
      <c r="F255" t="s">
        <v>108</v>
      </c>
      <c r="G255" t="s">
        <v>776</v>
      </c>
      <c r="H255" t="s">
        <v>3666</v>
      </c>
      <c r="I255" t="s">
        <v>109</v>
      </c>
      <c r="J255" t="s">
        <v>1149</v>
      </c>
      <c r="K255" t="s">
        <v>44</v>
      </c>
      <c r="M255" t="s">
        <v>3528</v>
      </c>
      <c r="O255" t="s">
        <v>3099</v>
      </c>
      <c r="P255" t="s">
        <v>3100</v>
      </c>
      <c r="R255" t="s">
        <v>46</v>
      </c>
      <c r="S255" t="s">
        <v>110</v>
      </c>
      <c r="T255" t="s">
        <v>111</v>
      </c>
      <c r="U255" s="1">
        <v>46073.452268518522</v>
      </c>
      <c r="V255" t="s">
        <v>31</v>
      </c>
      <c r="W255" t="s">
        <v>33</v>
      </c>
      <c r="X255" t="s">
        <v>3530</v>
      </c>
      <c r="Y255" t="s">
        <v>3193</v>
      </c>
      <c r="Z255" t="s">
        <v>1775</v>
      </c>
      <c r="AA255" t="s">
        <v>31</v>
      </c>
      <c r="AB255" t="s">
        <v>1150</v>
      </c>
      <c r="AC255" t="s">
        <v>30</v>
      </c>
      <c r="AD255" t="s">
        <v>46</v>
      </c>
      <c r="AE255" t="s">
        <v>110</v>
      </c>
      <c r="AF255" t="s">
        <v>111</v>
      </c>
      <c r="AG255" t="s">
        <v>1775</v>
      </c>
      <c r="AH255">
        <v>15008</v>
      </c>
      <c r="AK255">
        <v>0</v>
      </c>
      <c r="AL255" t="s">
        <v>32</v>
      </c>
      <c r="AM255" t="s">
        <v>2025</v>
      </c>
      <c r="AN255" t="s">
        <v>2026</v>
      </c>
    </row>
    <row r="256" spans="1:40">
      <c r="A256" t="s">
        <v>2027</v>
      </c>
      <c r="B256" t="s">
        <v>34</v>
      </c>
      <c r="C256" t="s">
        <v>1616</v>
      </c>
      <c r="D256" t="s">
        <v>1617</v>
      </c>
      <c r="E256" s="1">
        <v>46073.388958333337</v>
      </c>
      <c r="F256" t="s">
        <v>353</v>
      </c>
      <c r="G256" t="s">
        <v>776</v>
      </c>
      <c r="H256" t="s">
        <v>3671</v>
      </c>
      <c r="I256" t="s">
        <v>2028</v>
      </c>
      <c r="J256" t="s">
        <v>1149</v>
      </c>
      <c r="K256" t="s">
        <v>44</v>
      </c>
      <c r="M256" t="s">
        <v>3528</v>
      </c>
      <c r="O256" t="s">
        <v>3099</v>
      </c>
      <c r="P256" t="s">
        <v>3100</v>
      </c>
      <c r="Q256" t="s">
        <v>910</v>
      </c>
      <c r="R256" t="s">
        <v>46</v>
      </c>
      <c r="S256" t="s">
        <v>188</v>
      </c>
      <c r="T256" t="s">
        <v>431</v>
      </c>
      <c r="U256" s="1">
        <v>46073.452048611114</v>
      </c>
      <c r="V256" t="s">
        <v>31</v>
      </c>
      <c r="W256" t="s">
        <v>33</v>
      </c>
      <c r="X256" t="s">
        <v>3530</v>
      </c>
      <c r="Y256" t="s">
        <v>3196</v>
      </c>
      <c r="Z256" t="s">
        <v>1775</v>
      </c>
      <c r="AA256" t="s">
        <v>31</v>
      </c>
      <c r="AB256" t="s">
        <v>1150</v>
      </c>
      <c r="AC256" t="s">
        <v>30</v>
      </c>
      <c r="AD256" t="s">
        <v>46</v>
      </c>
      <c r="AE256" t="s">
        <v>188</v>
      </c>
      <c r="AF256" t="s">
        <v>431</v>
      </c>
      <c r="AG256" t="s">
        <v>1775</v>
      </c>
      <c r="AH256">
        <v>4160</v>
      </c>
      <c r="AK256">
        <v>0</v>
      </c>
      <c r="AL256" t="s">
        <v>32</v>
      </c>
      <c r="AM256" t="s">
        <v>1618</v>
      </c>
      <c r="AN256" t="s">
        <v>1619</v>
      </c>
    </row>
    <row r="257" spans="1:40">
      <c r="A257" t="s">
        <v>2029</v>
      </c>
      <c r="B257" t="s">
        <v>34</v>
      </c>
      <c r="C257" t="s">
        <v>311</v>
      </c>
      <c r="D257" t="s">
        <v>332</v>
      </c>
      <c r="E257" s="1">
        <v>46073.38962962963</v>
      </c>
      <c r="F257" t="s">
        <v>245</v>
      </c>
      <c r="G257" t="s">
        <v>776</v>
      </c>
      <c r="H257" t="s">
        <v>3665</v>
      </c>
      <c r="I257" t="s">
        <v>608</v>
      </c>
      <c r="J257" t="s">
        <v>205</v>
      </c>
      <c r="K257" t="s">
        <v>44</v>
      </c>
      <c r="M257" t="s">
        <v>3528</v>
      </c>
      <c r="O257" t="s">
        <v>3099</v>
      </c>
      <c r="P257" t="s">
        <v>3100</v>
      </c>
      <c r="Q257" t="s">
        <v>3678</v>
      </c>
      <c r="R257" t="s">
        <v>46</v>
      </c>
      <c r="S257" t="s">
        <v>379</v>
      </c>
      <c r="T257" t="s">
        <v>379</v>
      </c>
      <c r="U257" s="1">
        <v>46073.389988425923</v>
      </c>
      <c r="V257" t="s">
        <v>31</v>
      </c>
      <c r="W257" t="s">
        <v>33</v>
      </c>
      <c r="X257" t="s">
        <v>3530</v>
      </c>
      <c r="Y257" t="s">
        <v>3134</v>
      </c>
      <c r="Z257" t="s">
        <v>1775</v>
      </c>
      <c r="AA257" t="s">
        <v>31</v>
      </c>
      <c r="AB257" t="s">
        <v>206</v>
      </c>
      <c r="AC257" t="s">
        <v>30</v>
      </c>
      <c r="AD257" t="s">
        <v>46</v>
      </c>
      <c r="AE257" t="s">
        <v>379</v>
      </c>
      <c r="AF257" t="s">
        <v>379</v>
      </c>
      <c r="AG257" t="s">
        <v>1775</v>
      </c>
      <c r="AH257">
        <v>15822</v>
      </c>
      <c r="AK257">
        <v>0</v>
      </c>
      <c r="AL257" t="s">
        <v>32</v>
      </c>
      <c r="AM257" t="s">
        <v>2030</v>
      </c>
      <c r="AN257" t="s">
        <v>2031</v>
      </c>
    </row>
    <row r="258" spans="1:40">
      <c r="A258" t="s">
        <v>2032</v>
      </c>
      <c r="B258" t="s">
        <v>34</v>
      </c>
      <c r="C258" t="s">
        <v>2033</v>
      </c>
      <c r="D258" t="s">
        <v>2034</v>
      </c>
      <c r="E258" s="1">
        <v>46073.386354166665</v>
      </c>
      <c r="F258" t="s">
        <v>39</v>
      </c>
      <c r="G258" t="s">
        <v>776</v>
      </c>
      <c r="H258" t="s">
        <v>3667</v>
      </c>
      <c r="I258" t="s">
        <v>535</v>
      </c>
      <c r="J258" t="s">
        <v>733</v>
      </c>
      <c r="K258" t="s">
        <v>44</v>
      </c>
      <c r="M258" t="s">
        <v>3528</v>
      </c>
      <c r="O258" t="s">
        <v>3099</v>
      </c>
      <c r="P258" t="s">
        <v>3100</v>
      </c>
      <c r="Q258" t="s">
        <v>3678</v>
      </c>
      <c r="R258" t="s">
        <v>46</v>
      </c>
      <c r="S258" t="s">
        <v>188</v>
      </c>
      <c r="T258" t="s">
        <v>431</v>
      </c>
      <c r="U258" s="1">
        <v>46073.422060185185</v>
      </c>
      <c r="V258" t="s">
        <v>31</v>
      </c>
      <c r="W258" t="s">
        <v>33</v>
      </c>
      <c r="X258" t="s">
        <v>3530</v>
      </c>
      <c r="Y258" t="s">
        <v>3210</v>
      </c>
      <c r="Z258" t="s">
        <v>1775</v>
      </c>
      <c r="AA258" t="s">
        <v>31</v>
      </c>
      <c r="AB258" t="s">
        <v>726</v>
      </c>
      <c r="AC258" t="s">
        <v>30</v>
      </c>
      <c r="AD258" t="s">
        <v>46</v>
      </c>
      <c r="AE258" t="s">
        <v>188</v>
      </c>
      <c r="AF258" t="s">
        <v>431</v>
      </c>
      <c r="AG258" t="s">
        <v>1775</v>
      </c>
      <c r="AH258">
        <v>15789</v>
      </c>
      <c r="AK258">
        <v>2</v>
      </c>
      <c r="AL258" t="s">
        <v>32</v>
      </c>
      <c r="AM258" t="s">
        <v>2035</v>
      </c>
      <c r="AN258" t="s">
        <v>2036</v>
      </c>
    </row>
    <row r="259" spans="1:40">
      <c r="A259" t="s">
        <v>2037</v>
      </c>
      <c r="B259" t="s">
        <v>34</v>
      </c>
      <c r="C259" t="s">
        <v>1616</v>
      </c>
      <c r="D259" t="s">
        <v>1617</v>
      </c>
      <c r="E259" s="1">
        <v>46073.380891203706</v>
      </c>
      <c r="F259" t="s">
        <v>353</v>
      </c>
      <c r="G259" t="s">
        <v>776</v>
      </c>
      <c r="H259" t="s">
        <v>3671</v>
      </c>
      <c r="I259" t="s">
        <v>2038</v>
      </c>
      <c r="J259" t="s">
        <v>1149</v>
      </c>
      <c r="K259" t="s">
        <v>44</v>
      </c>
      <c r="M259" t="s">
        <v>3528</v>
      </c>
      <c r="O259" t="s">
        <v>3099</v>
      </c>
      <c r="P259" t="s">
        <v>3100</v>
      </c>
      <c r="Q259" t="s">
        <v>910</v>
      </c>
      <c r="R259" t="s">
        <v>46</v>
      </c>
      <c r="S259" t="s">
        <v>110</v>
      </c>
      <c r="T259" t="s">
        <v>111</v>
      </c>
      <c r="U259" s="1">
        <v>46073.451666666668</v>
      </c>
      <c r="V259" t="s">
        <v>31</v>
      </c>
      <c r="W259" t="s">
        <v>33</v>
      </c>
      <c r="X259" t="s">
        <v>3530</v>
      </c>
      <c r="Y259" t="s">
        <v>3300</v>
      </c>
      <c r="Z259" t="s">
        <v>1775</v>
      </c>
      <c r="AA259" t="s">
        <v>31</v>
      </c>
      <c r="AB259" t="s">
        <v>1150</v>
      </c>
      <c r="AC259" t="s">
        <v>30</v>
      </c>
      <c r="AD259" t="s">
        <v>46</v>
      </c>
      <c r="AE259" t="s">
        <v>110</v>
      </c>
      <c r="AF259" t="s">
        <v>111</v>
      </c>
      <c r="AG259" t="s">
        <v>1775</v>
      </c>
      <c r="AH259">
        <v>4160</v>
      </c>
      <c r="AK259">
        <v>0</v>
      </c>
      <c r="AL259" t="s">
        <v>32</v>
      </c>
      <c r="AM259" t="s">
        <v>1618</v>
      </c>
      <c r="AN259" t="s">
        <v>1619</v>
      </c>
    </row>
    <row r="260" spans="1:40">
      <c r="A260" t="s">
        <v>2039</v>
      </c>
      <c r="B260" t="s">
        <v>34</v>
      </c>
      <c r="C260" t="s">
        <v>914</v>
      </c>
      <c r="D260" t="s">
        <v>235</v>
      </c>
      <c r="E260" s="1">
        <v>46073.376377314817</v>
      </c>
      <c r="F260" t="s">
        <v>555</v>
      </c>
      <c r="G260" t="s">
        <v>776</v>
      </c>
      <c r="H260" t="s">
        <v>3666</v>
      </c>
      <c r="I260" t="s">
        <v>1158</v>
      </c>
      <c r="J260" t="s">
        <v>1149</v>
      </c>
      <c r="K260" t="s">
        <v>44</v>
      </c>
      <c r="M260" t="s">
        <v>3528</v>
      </c>
      <c r="O260" t="s">
        <v>3099</v>
      </c>
      <c r="P260" t="s">
        <v>3100</v>
      </c>
      <c r="Q260" t="s">
        <v>3678</v>
      </c>
      <c r="R260" t="s">
        <v>46</v>
      </c>
      <c r="S260" t="s">
        <v>379</v>
      </c>
      <c r="T260" t="s">
        <v>379</v>
      </c>
      <c r="U260" s="1">
        <v>46073.444780092592</v>
      </c>
      <c r="V260" t="s">
        <v>31</v>
      </c>
      <c r="W260" t="s">
        <v>33</v>
      </c>
      <c r="X260" t="s">
        <v>3530</v>
      </c>
      <c r="Y260" t="s">
        <v>3195</v>
      </c>
      <c r="Z260" t="s">
        <v>1775</v>
      </c>
      <c r="AA260" t="s">
        <v>31</v>
      </c>
      <c r="AB260" t="s">
        <v>1150</v>
      </c>
      <c r="AC260" t="s">
        <v>30</v>
      </c>
      <c r="AD260" t="s">
        <v>46</v>
      </c>
      <c r="AE260" t="s">
        <v>379</v>
      </c>
      <c r="AF260" t="s">
        <v>379</v>
      </c>
      <c r="AG260" t="s">
        <v>1775</v>
      </c>
      <c r="AH260">
        <v>12083</v>
      </c>
      <c r="AK260">
        <v>0</v>
      </c>
      <c r="AL260" t="s">
        <v>32</v>
      </c>
      <c r="AM260" t="s">
        <v>1085</v>
      </c>
      <c r="AN260" t="s">
        <v>1086</v>
      </c>
    </row>
    <row r="261" spans="1:40">
      <c r="A261" t="s">
        <v>2040</v>
      </c>
      <c r="B261" t="s">
        <v>34</v>
      </c>
      <c r="C261" t="s">
        <v>116</v>
      </c>
      <c r="D261" t="s">
        <v>572</v>
      </c>
      <c r="E261" s="1">
        <v>46073.375740740739</v>
      </c>
      <c r="F261" t="s">
        <v>209</v>
      </c>
      <c r="G261" t="s">
        <v>776</v>
      </c>
      <c r="H261" t="s">
        <v>3672</v>
      </c>
      <c r="I261" t="s">
        <v>1092</v>
      </c>
      <c r="J261" t="s">
        <v>179</v>
      </c>
      <c r="K261" t="s">
        <v>44</v>
      </c>
      <c r="M261" t="s">
        <v>3528</v>
      </c>
      <c r="O261" t="s">
        <v>3099</v>
      </c>
      <c r="P261" t="s">
        <v>3100</v>
      </c>
      <c r="Q261" t="s">
        <v>3678</v>
      </c>
      <c r="R261" t="s">
        <v>46</v>
      </c>
      <c r="S261" t="s">
        <v>188</v>
      </c>
      <c r="T261" t="s">
        <v>431</v>
      </c>
      <c r="U261" s="1">
        <v>46073.378981481481</v>
      </c>
      <c r="V261" t="s">
        <v>31</v>
      </c>
      <c r="W261" t="s">
        <v>33</v>
      </c>
      <c r="X261" t="s">
        <v>3530</v>
      </c>
      <c r="Y261" t="s">
        <v>3189</v>
      </c>
      <c r="Z261" t="s">
        <v>1775</v>
      </c>
      <c r="AA261" t="s">
        <v>31</v>
      </c>
      <c r="AB261" t="s">
        <v>350</v>
      </c>
      <c r="AC261" t="s">
        <v>30</v>
      </c>
      <c r="AD261" t="s">
        <v>46</v>
      </c>
      <c r="AE261" t="s">
        <v>188</v>
      </c>
      <c r="AF261" t="s">
        <v>431</v>
      </c>
      <c r="AG261" t="s">
        <v>1775</v>
      </c>
      <c r="AH261">
        <v>15703</v>
      </c>
      <c r="AK261">
        <v>0</v>
      </c>
      <c r="AL261" t="s">
        <v>32</v>
      </c>
      <c r="AM261" t="s">
        <v>573</v>
      </c>
      <c r="AN261" t="s">
        <v>574</v>
      </c>
    </row>
    <row r="262" spans="1:40">
      <c r="A262" t="s">
        <v>2043</v>
      </c>
      <c r="B262" t="s">
        <v>34</v>
      </c>
      <c r="C262" t="s">
        <v>346</v>
      </c>
      <c r="D262" t="s">
        <v>1705</v>
      </c>
      <c r="E262" s="1">
        <v>46073.371261574073</v>
      </c>
      <c r="F262" t="s">
        <v>226</v>
      </c>
      <c r="G262" t="s">
        <v>776</v>
      </c>
      <c r="H262" t="s">
        <v>3665</v>
      </c>
      <c r="I262" t="s">
        <v>109</v>
      </c>
      <c r="J262" t="s">
        <v>1149</v>
      </c>
      <c r="K262" t="s">
        <v>44</v>
      </c>
      <c r="M262" t="s">
        <v>3528</v>
      </c>
      <c r="O262" t="s">
        <v>3099</v>
      </c>
      <c r="P262" t="s">
        <v>3100</v>
      </c>
      <c r="Q262" t="s">
        <v>3678</v>
      </c>
      <c r="R262" t="s">
        <v>46</v>
      </c>
      <c r="S262" t="s">
        <v>110</v>
      </c>
      <c r="T262" t="s">
        <v>111</v>
      </c>
      <c r="U262" s="1">
        <v>46073.444409722222</v>
      </c>
      <c r="V262" t="s">
        <v>31</v>
      </c>
      <c r="W262" t="s">
        <v>33</v>
      </c>
      <c r="X262" t="s">
        <v>3530</v>
      </c>
      <c r="Y262" t="s">
        <v>3193</v>
      </c>
      <c r="Z262" t="s">
        <v>1775</v>
      </c>
      <c r="AA262" t="s">
        <v>31</v>
      </c>
      <c r="AB262" t="s">
        <v>1150</v>
      </c>
      <c r="AC262" t="s">
        <v>30</v>
      </c>
      <c r="AD262" t="s">
        <v>46</v>
      </c>
      <c r="AE262" t="s">
        <v>110</v>
      </c>
      <c r="AF262" t="s">
        <v>111</v>
      </c>
      <c r="AG262" t="s">
        <v>1775</v>
      </c>
      <c r="AH262">
        <v>15128</v>
      </c>
      <c r="AK262">
        <v>0</v>
      </c>
      <c r="AL262" t="s">
        <v>32</v>
      </c>
      <c r="AM262" t="s">
        <v>1707</v>
      </c>
      <c r="AN262" t="s">
        <v>1708</v>
      </c>
    </row>
    <row r="263" spans="1:40">
      <c r="A263" t="s">
        <v>2050</v>
      </c>
      <c r="B263" t="s">
        <v>34</v>
      </c>
      <c r="C263" t="s">
        <v>2051</v>
      </c>
      <c r="D263" t="s">
        <v>2052</v>
      </c>
      <c r="E263" s="1">
        <v>46073.368159722224</v>
      </c>
      <c r="F263" t="s">
        <v>93</v>
      </c>
      <c r="G263" t="s">
        <v>776</v>
      </c>
      <c r="H263" t="s">
        <v>3666</v>
      </c>
      <c r="I263" t="s">
        <v>2053</v>
      </c>
      <c r="J263" t="s">
        <v>1149</v>
      </c>
      <c r="K263" t="s">
        <v>44</v>
      </c>
      <c r="M263" t="s">
        <v>3528</v>
      </c>
      <c r="O263" t="s">
        <v>3099</v>
      </c>
      <c r="P263" t="s">
        <v>3100</v>
      </c>
      <c r="Q263" t="s">
        <v>3729</v>
      </c>
      <c r="R263" t="s">
        <v>46</v>
      </c>
      <c r="S263" t="s">
        <v>57</v>
      </c>
      <c r="T263" t="s">
        <v>58</v>
      </c>
      <c r="U263" s="1">
        <v>46073.444004629629</v>
      </c>
      <c r="V263" t="s">
        <v>31</v>
      </c>
      <c r="W263" t="s">
        <v>33</v>
      </c>
      <c r="X263" t="s">
        <v>3530</v>
      </c>
      <c r="Y263" t="s">
        <v>3301</v>
      </c>
      <c r="Z263" t="s">
        <v>1775</v>
      </c>
      <c r="AA263" t="s">
        <v>31</v>
      </c>
      <c r="AB263" t="s">
        <v>1150</v>
      </c>
      <c r="AC263" t="s">
        <v>30</v>
      </c>
      <c r="AD263" t="s">
        <v>46</v>
      </c>
      <c r="AE263" t="s">
        <v>188</v>
      </c>
      <c r="AF263" t="s">
        <v>3302</v>
      </c>
      <c r="AG263" t="s">
        <v>1775</v>
      </c>
      <c r="AH263">
        <v>13737</v>
      </c>
      <c r="AK263">
        <v>0</v>
      </c>
      <c r="AL263" t="s">
        <v>32</v>
      </c>
      <c r="AM263" t="s">
        <v>2054</v>
      </c>
      <c r="AN263" t="s">
        <v>2055</v>
      </c>
    </row>
    <row r="264" spans="1:40">
      <c r="A264" t="s">
        <v>2056</v>
      </c>
      <c r="B264" t="s">
        <v>34</v>
      </c>
      <c r="C264" t="s">
        <v>2045</v>
      </c>
      <c r="D264" t="s">
        <v>2046</v>
      </c>
      <c r="E264" s="1">
        <v>46073.370046296295</v>
      </c>
      <c r="F264" t="s">
        <v>132</v>
      </c>
      <c r="G264" t="s">
        <v>776</v>
      </c>
      <c r="H264" t="s">
        <v>3665</v>
      </c>
      <c r="I264" t="s">
        <v>80</v>
      </c>
      <c r="J264" t="s">
        <v>205</v>
      </c>
      <c r="K264" t="s">
        <v>44</v>
      </c>
      <c r="M264" t="s">
        <v>3528</v>
      </c>
      <c r="O264" t="s">
        <v>3099</v>
      </c>
      <c r="P264" t="s">
        <v>3100</v>
      </c>
      <c r="R264" t="s">
        <v>46</v>
      </c>
      <c r="S264" t="s">
        <v>110</v>
      </c>
      <c r="T264" t="s">
        <v>301</v>
      </c>
      <c r="U264" s="1">
        <v>46073.370937500003</v>
      </c>
      <c r="V264" t="s">
        <v>31</v>
      </c>
      <c r="W264" t="s">
        <v>33</v>
      </c>
      <c r="X264" t="s">
        <v>3530</v>
      </c>
      <c r="Y264" t="s">
        <v>3303</v>
      </c>
      <c r="Z264" t="s">
        <v>1775</v>
      </c>
      <c r="AA264" t="s">
        <v>31</v>
      </c>
      <c r="AB264" t="s">
        <v>206</v>
      </c>
      <c r="AC264" t="s">
        <v>30</v>
      </c>
      <c r="AD264" t="s">
        <v>46</v>
      </c>
      <c r="AE264" t="s">
        <v>110</v>
      </c>
      <c r="AF264" t="s">
        <v>3252</v>
      </c>
      <c r="AG264" t="s">
        <v>1775</v>
      </c>
      <c r="AH264" t="s">
        <v>3646</v>
      </c>
      <c r="AK264">
        <v>0</v>
      </c>
      <c r="AL264" t="s">
        <v>32</v>
      </c>
      <c r="AM264" t="s">
        <v>2048</v>
      </c>
      <c r="AN264" t="s">
        <v>2049</v>
      </c>
    </row>
    <row r="265" spans="1:40">
      <c r="A265" t="s">
        <v>2057</v>
      </c>
      <c r="B265" t="s">
        <v>34</v>
      </c>
      <c r="C265" t="s">
        <v>1595</v>
      </c>
      <c r="D265" t="s">
        <v>1596</v>
      </c>
      <c r="E265" s="1">
        <v>46073.362002314818</v>
      </c>
      <c r="F265" t="s">
        <v>62</v>
      </c>
      <c r="G265" t="s">
        <v>776</v>
      </c>
      <c r="H265" t="s">
        <v>3668</v>
      </c>
      <c r="I265" t="s">
        <v>535</v>
      </c>
      <c r="J265" t="s">
        <v>205</v>
      </c>
      <c r="K265" t="s">
        <v>44</v>
      </c>
      <c r="M265" t="s">
        <v>3528</v>
      </c>
      <c r="O265" t="s">
        <v>3099</v>
      </c>
      <c r="P265" t="s">
        <v>3100</v>
      </c>
      <c r="Q265" t="s">
        <v>3678</v>
      </c>
      <c r="R265" t="s">
        <v>46</v>
      </c>
      <c r="S265" t="s">
        <v>188</v>
      </c>
      <c r="T265" t="s">
        <v>431</v>
      </c>
      <c r="U265" s="1">
        <v>46073.362233796295</v>
      </c>
      <c r="V265" t="s">
        <v>31</v>
      </c>
      <c r="W265" t="s">
        <v>33</v>
      </c>
      <c r="X265" t="s">
        <v>3530</v>
      </c>
      <c r="Y265" t="s">
        <v>3304</v>
      </c>
      <c r="Z265" t="s">
        <v>1775</v>
      </c>
      <c r="AA265" t="s">
        <v>31</v>
      </c>
      <c r="AB265" t="s">
        <v>206</v>
      </c>
      <c r="AC265" t="s">
        <v>30</v>
      </c>
      <c r="AD265" t="s">
        <v>46</v>
      </c>
      <c r="AE265" t="s">
        <v>188</v>
      </c>
      <c r="AF265" t="s">
        <v>431</v>
      </c>
      <c r="AG265" t="s">
        <v>1775</v>
      </c>
      <c r="AH265" t="s">
        <v>3615</v>
      </c>
      <c r="AK265">
        <v>0</v>
      </c>
      <c r="AL265" t="s">
        <v>32</v>
      </c>
      <c r="AM265" t="s">
        <v>1597</v>
      </c>
      <c r="AN265" t="s">
        <v>1598</v>
      </c>
    </row>
    <row r="266" spans="1:40">
      <c r="A266" t="s">
        <v>2058</v>
      </c>
      <c r="B266" t="s">
        <v>34</v>
      </c>
      <c r="C266" t="s">
        <v>2051</v>
      </c>
      <c r="D266" t="s">
        <v>2052</v>
      </c>
      <c r="E266" s="1">
        <v>46073.357905092591</v>
      </c>
      <c r="F266" t="s">
        <v>93</v>
      </c>
      <c r="G266" t="s">
        <v>776</v>
      </c>
      <c r="H266" t="s">
        <v>3666</v>
      </c>
      <c r="I266" t="s">
        <v>2059</v>
      </c>
      <c r="J266" t="s">
        <v>1149</v>
      </c>
      <c r="K266" t="s">
        <v>44</v>
      </c>
      <c r="M266" t="s">
        <v>3528</v>
      </c>
      <c r="O266" t="s">
        <v>3099</v>
      </c>
      <c r="P266" t="s">
        <v>3100</v>
      </c>
      <c r="Q266" t="s">
        <v>3729</v>
      </c>
      <c r="R266" t="s">
        <v>46</v>
      </c>
      <c r="S266" t="s">
        <v>188</v>
      </c>
      <c r="T266" t="s">
        <v>431</v>
      </c>
      <c r="U266" s="1">
        <v>46073.443298611113</v>
      </c>
      <c r="V266" t="s">
        <v>31</v>
      </c>
      <c r="W266" t="s">
        <v>33</v>
      </c>
      <c r="X266" t="s">
        <v>3530</v>
      </c>
      <c r="Y266" t="s">
        <v>3305</v>
      </c>
      <c r="Z266" t="s">
        <v>1775</v>
      </c>
      <c r="AA266" t="s">
        <v>31</v>
      </c>
      <c r="AB266" t="s">
        <v>1150</v>
      </c>
      <c r="AC266" t="s">
        <v>30</v>
      </c>
      <c r="AD266" t="s">
        <v>46</v>
      </c>
      <c r="AE266" t="s">
        <v>188</v>
      </c>
      <c r="AF266" t="s">
        <v>431</v>
      </c>
      <c r="AG266" t="s">
        <v>1775</v>
      </c>
      <c r="AH266">
        <v>13737</v>
      </c>
      <c r="AK266">
        <v>0</v>
      </c>
      <c r="AL266" t="s">
        <v>32</v>
      </c>
      <c r="AM266" t="s">
        <v>2054</v>
      </c>
      <c r="AN266" t="s">
        <v>2055</v>
      </c>
    </row>
    <row r="267" spans="1:40">
      <c r="A267" t="s">
        <v>2060</v>
      </c>
      <c r="B267" t="s">
        <v>34</v>
      </c>
      <c r="C267" t="s">
        <v>169</v>
      </c>
      <c r="D267" t="s">
        <v>170</v>
      </c>
      <c r="E267" s="1">
        <v>46073.354062500002</v>
      </c>
      <c r="F267" t="s">
        <v>153</v>
      </c>
      <c r="G267" t="s">
        <v>776</v>
      </c>
      <c r="H267" t="s">
        <v>3669</v>
      </c>
      <c r="I267" t="s">
        <v>109</v>
      </c>
      <c r="J267" t="s">
        <v>1149</v>
      </c>
      <c r="K267" t="s">
        <v>44</v>
      </c>
      <c r="M267" t="s">
        <v>3528</v>
      </c>
      <c r="O267" t="s">
        <v>3099</v>
      </c>
      <c r="P267" t="s">
        <v>3100</v>
      </c>
      <c r="Q267" t="s">
        <v>3678</v>
      </c>
      <c r="R267" t="s">
        <v>46</v>
      </c>
      <c r="S267" t="s">
        <v>110</v>
      </c>
      <c r="T267" t="s">
        <v>111</v>
      </c>
      <c r="U267" s="1">
        <v>46073.442395833335</v>
      </c>
      <c r="V267" t="s">
        <v>31</v>
      </c>
      <c r="W267" t="s">
        <v>33</v>
      </c>
      <c r="X267" t="s">
        <v>3530</v>
      </c>
      <c r="Y267" t="s">
        <v>3193</v>
      </c>
      <c r="Z267" t="s">
        <v>1775</v>
      </c>
      <c r="AA267" t="s">
        <v>31</v>
      </c>
      <c r="AB267" t="s">
        <v>1150</v>
      </c>
      <c r="AC267" t="s">
        <v>30</v>
      </c>
      <c r="AD267" t="s">
        <v>46</v>
      </c>
      <c r="AE267" t="s">
        <v>110</v>
      </c>
      <c r="AF267" t="s">
        <v>111</v>
      </c>
      <c r="AG267" t="s">
        <v>1775</v>
      </c>
      <c r="AH267">
        <v>15115</v>
      </c>
      <c r="AK267">
        <v>0</v>
      </c>
      <c r="AL267" t="s">
        <v>32</v>
      </c>
      <c r="AM267" t="s">
        <v>2061</v>
      </c>
      <c r="AN267" t="s">
        <v>2062</v>
      </c>
    </row>
    <row r="268" spans="1:40">
      <c r="A268" t="s">
        <v>2063</v>
      </c>
      <c r="B268" t="s">
        <v>34</v>
      </c>
      <c r="C268" t="s">
        <v>2064</v>
      </c>
      <c r="D268" t="s">
        <v>2065</v>
      </c>
      <c r="E268" s="1">
        <v>46073.350902777776</v>
      </c>
      <c r="F268" t="s">
        <v>77</v>
      </c>
      <c r="G268" t="s">
        <v>776</v>
      </c>
      <c r="H268" t="s">
        <v>3669</v>
      </c>
      <c r="I268" t="s">
        <v>109</v>
      </c>
      <c r="J268" t="s">
        <v>1149</v>
      </c>
      <c r="K268" t="s">
        <v>44</v>
      </c>
      <c r="M268" t="s">
        <v>3528</v>
      </c>
      <c r="O268" t="s">
        <v>3099</v>
      </c>
      <c r="P268" t="s">
        <v>3100</v>
      </c>
      <c r="Q268" t="s">
        <v>3678</v>
      </c>
      <c r="R268" t="s">
        <v>46</v>
      </c>
      <c r="S268" t="s">
        <v>110</v>
      </c>
      <c r="T268" t="s">
        <v>111</v>
      </c>
      <c r="U268" s="1">
        <v>46073.44222222222</v>
      </c>
      <c r="V268" t="s">
        <v>31</v>
      </c>
      <c r="W268" t="s">
        <v>33</v>
      </c>
      <c r="X268" t="s">
        <v>3530</v>
      </c>
      <c r="Y268" t="s">
        <v>3193</v>
      </c>
      <c r="Z268" t="s">
        <v>1775</v>
      </c>
      <c r="AA268" t="s">
        <v>31</v>
      </c>
      <c r="AB268" t="s">
        <v>1150</v>
      </c>
      <c r="AC268" t="s">
        <v>30</v>
      </c>
      <c r="AD268" t="s">
        <v>46</v>
      </c>
      <c r="AE268" t="s">
        <v>110</v>
      </c>
      <c r="AF268" t="s">
        <v>111</v>
      </c>
      <c r="AG268" t="s">
        <v>1775</v>
      </c>
      <c r="AH268" t="s">
        <v>3647</v>
      </c>
      <c r="AK268">
        <v>0</v>
      </c>
      <c r="AL268" t="s">
        <v>32</v>
      </c>
      <c r="AM268" t="s">
        <v>2066</v>
      </c>
      <c r="AN268" t="s">
        <v>2067</v>
      </c>
    </row>
    <row r="269" spans="1:40">
      <c r="A269" t="s">
        <v>2068</v>
      </c>
      <c r="B269" t="s">
        <v>34</v>
      </c>
      <c r="C269" t="s">
        <v>1233</v>
      </c>
      <c r="D269" t="s">
        <v>172</v>
      </c>
      <c r="E269" s="1">
        <v>46073.34542824074</v>
      </c>
      <c r="F269" t="s">
        <v>283</v>
      </c>
      <c r="G269" t="s">
        <v>776</v>
      </c>
      <c r="H269" t="s">
        <v>3670</v>
      </c>
      <c r="I269" t="s">
        <v>109</v>
      </c>
      <c r="J269" t="s">
        <v>1149</v>
      </c>
      <c r="K269" t="s">
        <v>44</v>
      </c>
      <c r="M269" t="s">
        <v>3528</v>
      </c>
      <c r="O269" t="s">
        <v>3099</v>
      </c>
      <c r="P269" t="s">
        <v>3100</v>
      </c>
      <c r="Q269" t="s">
        <v>3678</v>
      </c>
      <c r="R269" t="s">
        <v>46</v>
      </c>
      <c r="S269" t="s">
        <v>110</v>
      </c>
      <c r="T269" t="s">
        <v>111</v>
      </c>
      <c r="U269" s="1">
        <v>46073.442025462966</v>
      </c>
      <c r="V269" t="s">
        <v>31</v>
      </c>
      <c r="W269" t="s">
        <v>33</v>
      </c>
      <c r="X269" t="s">
        <v>3530</v>
      </c>
      <c r="Y269" t="s">
        <v>3193</v>
      </c>
      <c r="Z269" t="s">
        <v>1775</v>
      </c>
      <c r="AA269" t="s">
        <v>31</v>
      </c>
      <c r="AB269" t="s">
        <v>1150</v>
      </c>
      <c r="AC269" t="s">
        <v>30</v>
      </c>
      <c r="AD269" t="s">
        <v>46</v>
      </c>
      <c r="AE269" t="s">
        <v>110</v>
      </c>
      <c r="AF269" t="s">
        <v>111</v>
      </c>
      <c r="AG269" t="s">
        <v>1775</v>
      </c>
      <c r="AH269">
        <v>15279</v>
      </c>
      <c r="AK269">
        <v>0</v>
      </c>
      <c r="AL269" t="s">
        <v>32</v>
      </c>
      <c r="AM269" t="s">
        <v>2069</v>
      </c>
      <c r="AN269" t="s">
        <v>2070</v>
      </c>
    </row>
    <row r="270" spans="1:40">
      <c r="A270" t="s">
        <v>2071</v>
      </c>
      <c r="B270" t="s">
        <v>34</v>
      </c>
      <c r="C270" t="s">
        <v>115</v>
      </c>
      <c r="D270" t="s">
        <v>2072</v>
      </c>
      <c r="E270" s="1">
        <v>46073.341909722221</v>
      </c>
      <c r="F270" t="s">
        <v>173</v>
      </c>
      <c r="G270" t="s">
        <v>776</v>
      </c>
      <c r="H270" t="s">
        <v>3666</v>
      </c>
      <c r="I270" t="s">
        <v>109</v>
      </c>
      <c r="J270" t="s">
        <v>205</v>
      </c>
      <c r="K270" t="s">
        <v>44</v>
      </c>
      <c r="M270" t="s">
        <v>3528</v>
      </c>
      <c r="O270" t="s">
        <v>3099</v>
      </c>
      <c r="P270" t="s">
        <v>3100</v>
      </c>
      <c r="Q270" t="s">
        <v>3730</v>
      </c>
      <c r="R270" t="s">
        <v>46</v>
      </c>
      <c r="S270" t="s">
        <v>110</v>
      </c>
      <c r="T270" t="s">
        <v>111</v>
      </c>
      <c r="U270" s="1">
        <v>46073.342118055552</v>
      </c>
      <c r="V270" t="s">
        <v>180</v>
      </c>
      <c r="W270" t="s">
        <v>33</v>
      </c>
      <c r="X270" t="s">
        <v>3530</v>
      </c>
      <c r="Y270" t="s">
        <v>3134</v>
      </c>
      <c r="Z270" t="s">
        <v>1775</v>
      </c>
      <c r="AA270" t="s">
        <v>180</v>
      </c>
      <c r="AB270" t="s">
        <v>206</v>
      </c>
      <c r="AC270" t="s">
        <v>30</v>
      </c>
      <c r="AD270" t="s">
        <v>46</v>
      </c>
      <c r="AE270" t="s">
        <v>110</v>
      </c>
      <c r="AF270" t="s">
        <v>111</v>
      </c>
      <c r="AG270" t="s">
        <v>1775</v>
      </c>
      <c r="AH270">
        <v>10030</v>
      </c>
      <c r="AK270">
        <v>0</v>
      </c>
      <c r="AL270" t="s">
        <v>181</v>
      </c>
      <c r="AM270" t="s">
        <v>2073</v>
      </c>
      <c r="AN270" t="s">
        <v>2074</v>
      </c>
    </row>
    <row r="271" spans="1:40">
      <c r="A271" t="s">
        <v>2075</v>
      </c>
      <c r="B271" t="s">
        <v>24</v>
      </c>
      <c r="C271" t="s">
        <v>1825</v>
      </c>
      <c r="D271" t="s">
        <v>2076</v>
      </c>
      <c r="E271" s="1">
        <v>46073.375578703701</v>
      </c>
      <c r="F271" t="s">
        <v>333</v>
      </c>
      <c r="G271" t="s">
        <v>776</v>
      </c>
      <c r="H271" t="s">
        <v>3671</v>
      </c>
      <c r="I271" t="s">
        <v>2077</v>
      </c>
      <c r="J271" t="s">
        <v>1149</v>
      </c>
      <c r="K271" t="s">
        <v>44</v>
      </c>
      <c r="M271" t="s">
        <v>3528</v>
      </c>
      <c r="O271" t="s">
        <v>3103</v>
      </c>
      <c r="P271" t="s">
        <v>3104</v>
      </c>
      <c r="Q271" t="s">
        <v>3683</v>
      </c>
      <c r="R271" t="s">
        <v>46</v>
      </c>
      <c r="S271" t="s">
        <v>443</v>
      </c>
      <c r="T271" t="s">
        <v>869</v>
      </c>
      <c r="U271" s="1">
        <v>46073.453402777777</v>
      </c>
      <c r="V271" t="s">
        <v>31</v>
      </c>
      <c r="W271" t="s">
        <v>33</v>
      </c>
      <c r="X271" t="s">
        <v>3530</v>
      </c>
      <c r="Y271" t="s">
        <v>3306</v>
      </c>
      <c r="Z271" t="s">
        <v>1775</v>
      </c>
      <c r="AA271" t="s">
        <v>31</v>
      </c>
      <c r="AB271" t="s">
        <v>1150</v>
      </c>
      <c r="AC271" t="s">
        <v>86</v>
      </c>
      <c r="AD271" t="s">
        <v>46</v>
      </c>
      <c r="AE271" t="s">
        <v>3113</v>
      </c>
      <c r="AF271" t="s">
        <v>3163</v>
      </c>
      <c r="AG271" t="s">
        <v>1775</v>
      </c>
      <c r="AH271">
        <v>696</v>
      </c>
      <c r="AK271">
        <v>0</v>
      </c>
      <c r="AL271" t="s">
        <v>32</v>
      </c>
      <c r="AM271" t="s">
        <v>2078</v>
      </c>
      <c r="AN271" t="s">
        <v>2079</v>
      </c>
    </row>
    <row r="272" spans="1:40">
      <c r="A272" t="s">
        <v>2080</v>
      </c>
      <c r="B272" t="s">
        <v>34</v>
      </c>
      <c r="C272" t="s">
        <v>425</v>
      </c>
      <c r="D272" t="s">
        <v>1259</v>
      </c>
      <c r="E272" s="1">
        <v>46073.305625000001</v>
      </c>
      <c r="F272" t="s">
        <v>173</v>
      </c>
      <c r="G272" t="s">
        <v>776</v>
      </c>
      <c r="H272" t="s">
        <v>3666</v>
      </c>
      <c r="I272" t="s">
        <v>1079</v>
      </c>
      <c r="J272" t="s">
        <v>300</v>
      </c>
      <c r="K272" t="s">
        <v>44</v>
      </c>
      <c r="M272" t="s">
        <v>3528</v>
      </c>
      <c r="O272" t="s">
        <v>3099</v>
      </c>
      <c r="P272" t="s">
        <v>3100</v>
      </c>
      <c r="Q272" t="s">
        <v>3678</v>
      </c>
      <c r="R272" t="s">
        <v>46</v>
      </c>
      <c r="S272" t="s">
        <v>379</v>
      </c>
      <c r="T272" t="s">
        <v>379</v>
      </c>
      <c r="U272" s="1">
        <v>46073.305914351855</v>
      </c>
      <c r="V272" t="s">
        <v>31</v>
      </c>
      <c r="W272" t="s">
        <v>33</v>
      </c>
      <c r="X272" t="s">
        <v>3530</v>
      </c>
      <c r="Y272" t="s">
        <v>3187</v>
      </c>
      <c r="Z272" t="s">
        <v>1775</v>
      </c>
      <c r="AA272" t="s">
        <v>31</v>
      </c>
      <c r="AB272" t="s">
        <v>399</v>
      </c>
      <c r="AC272" t="s">
        <v>30</v>
      </c>
      <c r="AD272" t="s">
        <v>46</v>
      </c>
      <c r="AE272" t="s">
        <v>379</v>
      </c>
      <c r="AF272" t="s">
        <v>379</v>
      </c>
      <c r="AG272" t="s">
        <v>1775</v>
      </c>
      <c r="AH272" t="s">
        <v>3602</v>
      </c>
      <c r="AK272">
        <v>0</v>
      </c>
      <c r="AL272" t="s">
        <v>32</v>
      </c>
      <c r="AM272" t="s">
        <v>1260</v>
      </c>
      <c r="AN272" t="s">
        <v>1261</v>
      </c>
    </row>
    <row r="273" spans="1:40">
      <c r="A273" t="s">
        <v>2081</v>
      </c>
      <c r="B273" t="s">
        <v>34</v>
      </c>
      <c r="C273" t="s">
        <v>2082</v>
      </c>
      <c r="D273" t="s">
        <v>2083</v>
      </c>
      <c r="E273" s="1">
        <v>46073.29965277778</v>
      </c>
      <c r="F273" t="s">
        <v>153</v>
      </c>
      <c r="G273" t="s">
        <v>776</v>
      </c>
      <c r="H273" t="s">
        <v>3669</v>
      </c>
      <c r="I273" t="s">
        <v>2084</v>
      </c>
      <c r="J273" t="s">
        <v>300</v>
      </c>
      <c r="K273" t="s">
        <v>44</v>
      </c>
      <c r="M273" t="s">
        <v>3528</v>
      </c>
      <c r="O273" t="s">
        <v>3099</v>
      </c>
      <c r="P273" t="s">
        <v>3100</v>
      </c>
      <c r="Q273" t="s">
        <v>3731</v>
      </c>
      <c r="R273" t="s">
        <v>46</v>
      </c>
      <c r="S273" t="s">
        <v>379</v>
      </c>
      <c r="T273" t="s">
        <v>379</v>
      </c>
      <c r="U273" s="1">
        <v>46073.299791666665</v>
      </c>
      <c r="V273" t="s">
        <v>31</v>
      </c>
      <c r="W273" t="s">
        <v>33</v>
      </c>
      <c r="X273" t="s">
        <v>3530</v>
      </c>
      <c r="Y273" t="s">
        <v>2084</v>
      </c>
      <c r="Z273" t="s">
        <v>1775</v>
      </c>
      <c r="AA273" t="s">
        <v>31</v>
      </c>
      <c r="AB273" t="s">
        <v>399</v>
      </c>
      <c r="AC273" t="s">
        <v>30</v>
      </c>
      <c r="AD273" t="s">
        <v>46</v>
      </c>
      <c r="AE273" t="s">
        <v>379</v>
      </c>
      <c r="AF273" t="s">
        <v>379</v>
      </c>
      <c r="AG273" t="s">
        <v>1775</v>
      </c>
      <c r="AH273">
        <v>3610</v>
      </c>
      <c r="AK273">
        <v>0</v>
      </c>
      <c r="AL273" t="s">
        <v>32</v>
      </c>
      <c r="AM273" t="s">
        <v>2085</v>
      </c>
      <c r="AN273" t="s">
        <v>2086</v>
      </c>
    </row>
    <row r="274" spans="1:40">
      <c r="A274" t="s">
        <v>2087</v>
      </c>
      <c r="B274" t="s">
        <v>34</v>
      </c>
      <c r="C274" t="s">
        <v>2088</v>
      </c>
      <c r="D274" t="s">
        <v>2089</v>
      </c>
      <c r="E274" s="1">
        <v>46073.298460648148</v>
      </c>
      <c r="F274" t="s">
        <v>161</v>
      </c>
      <c r="G274" t="s">
        <v>776</v>
      </c>
      <c r="H274" t="s">
        <v>3667</v>
      </c>
      <c r="I274" t="s">
        <v>2090</v>
      </c>
      <c r="J274" t="s">
        <v>300</v>
      </c>
      <c r="K274" t="s">
        <v>44</v>
      </c>
      <c r="M274" t="s">
        <v>3528</v>
      </c>
      <c r="O274" t="s">
        <v>3099</v>
      </c>
      <c r="P274" t="s">
        <v>3100</v>
      </c>
      <c r="Q274" t="s">
        <v>3678</v>
      </c>
      <c r="R274" t="s">
        <v>46</v>
      </c>
      <c r="S274" t="s">
        <v>188</v>
      </c>
      <c r="T274" t="s">
        <v>431</v>
      </c>
      <c r="U274" s="1">
        <v>46073.298807870371</v>
      </c>
      <c r="V274" t="s">
        <v>31</v>
      </c>
      <c r="W274" t="s">
        <v>33</v>
      </c>
      <c r="X274" t="s">
        <v>3530</v>
      </c>
      <c r="Y274" t="s">
        <v>3307</v>
      </c>
      <c r="Z274" t="s">
        <v>1775</v>
      </c>
      <c r="AA274" t="s">
        <v>31</v>
      </c>
      <c r="AB274" t="s">
        <v>399</v>
      </c>
      <c r="AC274" t="s">
        <v>30</v>
      </c>
      <c r="AD274" t="s">
        <v>46</v>
      </c>
      <c r="AE274" t="s">
        <v>188</v>
      </c>
      <c r="AF274" t="s">
        <v>431</v>
      </c>
      <c r="AG274" t="s">
        <v>1775</v>
      </c>
      <c r="AH274">
        <v>15780</v>
      </c>
      <c r="AK274">
        <v>0</v>
      </c>
      <c r="AL274" t="s">
        <v>32</v>
      </c>
      <c r="AM274" t="s">
        <v>2091</v>
      </c>
      <c r="AN274" t="s">
        <v>2092</v>
      </c>
    </row>
    <row r="275" spans="1:40">
      <c r="A275" t="s">
        <v>2093</v>
      </c>
      <c r="B275" t="s">
        <v>34</v>
      </c>
      <c r="C275" t="s">
        <v>425</v>
      </c>
      <c r="D275" t="s">
        <v>1259</v>
      </c>
      <c r="E275" s="1">
        <v>46073.277939814812</v>
      </c>
      <c r="F275" t="s">
        <v>173</v>
      </c>
      <c r="G275" t="s">
        <v>776</v>
      </c>
      <c r="H275" t="s">
        <v>3666</v>
      </c>
      <c r="I275" t="s">
        <v>1079</v>
      </c>
      <c r="J275" t="s">
        <v>300</v>
      </c>
      <c r="K275" t="s">
        <v>44</v>
      </c>
      <c r="M275" t="s">
        <v>3528</v>
      </c>
      <c r="O275" t="s">
        <v>3099</v>
      </c>
      <c r="P275" t="s">
        <v>3100</v>
      </c>
      <c r="Q275" t="s">
        <v>3678</v>
      </c>
      <c r="R275" t="s">
        <v>46</v>
      </c>
      <c r="S275" t="s">
        <v>379</v>
      </c>
      <c r="T275" t="s">
        <v>379</v>
      </c>
      <c r="U275" s="1">
        <v>46073.278090277781</v>
      </c>
      <c r="V275" t="s">
        <v>31</v>
      </c>
      <c r="W275" t="s">
        <v>33</v>
      </c>
      <c r="X275" t="s">
        <v>3530</v>
      </c>
      <c r="Y275" t="s">
        <v>3187</v>
      </c>
      <c r="Z275" t="s">
        <v>1775</v>
      </c>
      <c r="AA275" t="s">
        <v>31</v>
      </c>
      <c r="AB275" t="s">
        <v>399</v>
      </c>
      <c r="AC275" t="s">
        <v>30</v>
      </c>
      <c r="AD275" t="s">
        <v>46</v>
      </c>
      <c r="AE275" t="s">
        <v>379</v>
      </c>
      <c r="AF275" t="s">
        <v>379</v>
      </c>
      <c r="AG275" t="s">
        <v>1775</v>
      </c>
      <c r="AH275" t="s">
        <v>3602</v>
      </c>
      <c r="AK275">
        <v>0</v>
      </c>
      <c r="AL275" t="s">
        <v>32</v>
      </c>
      <c r="AM275" t="s">
        <v>1260</v>
      </c>
      <c r="AN275" t="s">
        <v>1261</v>
      </c>
    </row>
    <row r="276" spans="1:40">
      <c r="A276" t="s">
        <v>2096</v>
      </c>
      <c r="B276" t="s">
        <v>34</v>
      </c>
      <c r="C276" t="s">
        <v>769</v>
      </c>
      <c r="D276" t="s">
        <v>770</v>
      </c>
      <c r="E276" s="1">
        <v>46073.180636574078</v>
      </c>
      <c r="F276" t="s">
        <v>62</v>
      </c>
      <c r="G276" t="s">
        <v>776</v>
      </c>
      <c r="H276" t="s">
        <v>3668</v>
      </c>
      <c r="I276" t="s">
        <v>2097</v>
      </c>
      <c r="J276" t="s">
        <v>772</v>
      </c>
      <c r="K276" t="s">
        <v>651</v>
      </c>
      <c r="M276" t="s">
        <v>3528</v>
      </c>
      <c r="O276" t="s">
        <v>3099</v>
      </c>
      <c r="P276" t="s">
        <v>3100</v>
      </c>
      <c r="Q276" t="s">
        <v>3678</v>
      </c>
      <c r="R276" t="s">
        <v>46</v>
      </c>
      <c r="S276" t="s">
        <v>751</v>
      </c>
      <c r="T276" t="s">
        <v>752</v>
      </c>
      <c r="U276" s="1">
        <v>46073.396990740737</v>
      </c>
      <c r="V276" t="s">
        <v>31</v>
      </c>
      <c r="W276" t="s">
        <v>33</v>
      </c>
      <c r="X276" t="s">
        <v>3525</v>
      </c>
      <c r="Y276" t="s">
        <v>3308</v>
      </c>
      <c r="Z276" t="s">
        <v>1775</v>
      </c>
      <c r="AA276" t="s">
        <v>31</v>
      </c>
      <c r="AB276" t="s">
        <v>399</v>
      </c>
      <c r="AC276" t="s">
        <v>30</v>
      </c>
      <c r="AD276" t="s">
        <v>46</v>
      </c>
      <c r="AE276" t="s">
        <v>751</v>
      </c>
      <c r="AF276" t="s">
        <v>752</v>
      </c>
      <c r="AG276" t="s">
        <v>1775</v>
      </c>
      <c r="AH276" t="s">
        <v>3580</v>
      </c>
      <c r="AK276">
        <v>1</v>
      </c>
      <c r="AL276" t="s">
        <v>32</v>
      </c>
      <c r="AM276" t="s">
        <v>773</v>
      </c>
      <c r="AN276" t="s">
        <v>774</v>
      </c>
    </row>
    <row r="277" spans="1:40">
      <c r="A277" t="s">
        <v>2102</v>
      </c>
      <c r="B277" t="s">
        <v>34</v>
      </c>
      <c r="C277" t="s">
        <v>1401</v>
      </c>
      <c r="D277" t="s">
        <v>99</v>
      </c>
      <c r="E277" s="1">
        <v>46073.146689814814</v>
      </c>
      <c r="F277" t="s">
        <v>161</v>
      </c>
      <c r="G277" t="s">
        <v>776</v>
      </c>
      <c r="H277" t="s">
        <v>3667</v>
      </c>
      <c r="I277" t="s">
        <v>813</v>
      </c>
      <c r="J277" t="s">
        <v>300</v>
      </c>
      <c r="K277" t="s">
        <v>44</v>
      </c>
      <c r="M277" t="s">
        <v>3528</v>
      </c>
      <c r="O277" t="s">
        <v>3099</v>
      </c>
      <c r="P277" t="s">
        <v>3100</v>
      </c>
      <c r="Q277" t="s">
        <v>3678</v>
      </c>
      <c r="R277" t="s">
        <v>46</v>
      </c>
      <c r="S277" t="s">
        <v>188</v>
      </c>
      <c r="T277" t="s">
        <v>431</v>
      </c>
      <c r="U277" s="1">
        <v>46073.147037037037</v>
      </c>
      <c r="V277" t="s">
        <v>31</v>
      </c>
      <c r="W277" t="s">
        <v>33</v>
      </c>
      <c r="X277" t="s">
        <v>3530</v>
      </c>
      <c r="Y277" t="s">
        <v>3309</v>
      </c>
      <c r="Z277" t="s">
        <v>1775</v>
      </c>
      <c r="AA277" t="s">
        <v>31</v>
      </c>
      <c r="AB277" t="s">
        <v>399</v>
      </c>
      <c r="AC277" t="s">
        <v>30</v>
      </c>
      <c r="AD277" t="s">
        <v>46</v>
      </c>
      <c r="AE277" t="s">
        <v>188</v>
      </c>
      <c r="AF277" t="s">
        <v>431</v>
      </c>
      <c r="AG277" t="s">
        <v>1775</v>
      </c>
      <c r="AH277">
        <v>13678</v>
      </c>
      <c r="AK277">
        <v>0</v>
      </c>
      <c r="AL277" t="s">
        <v>32</v>
      </c>
      <c r="AM277" t="s">
        <v>1402</v>
      </c>
      <c r="AN277" t="s">
        <v>1403</v>
      </c>
    </row>
    <row r="278" spans="1:40">
      <c r="A278" t="s">
        <v>2103</v>
      </c>
      <c r="B278" t="s">
        <v>34</v>
      </c>
      <c r="C278" t="s">
        <v>142</v>
      </c>
      <c r="D278" t="s">
        <v>2104</v>
      </c>
      <c r="E278" s="1">
        <v>46073.136458333334</v>
      </c>
      <c r="F278" t="s">
        <v>168</v>
      </c>
      <c r="G278" t="s">
        <v>776</v>
      </c>
      <c r="H278" t="s">
        <v>3669</v>
      </c>
      <c r="I278" t="s">
        <v>692</v>
      </c>
      <c r="J278" t="s">
        <v>300</v>
      </c>
      <c r="K278" t="s">
        <v>44</v>
      </c>
      <c r="M278" t="s">
        <v>3528</v>
      </c>
      <c r="O278" t="s">
        <v>3099</v>
      </c>
      <c r="P278" t="s">
        <v>3100</v>
      </c>
      <c r="Q278" t="s">
        <v>3678</v>
      </c>
      <c r="R278" t="s">
        <v>46</v>
      </c>
      <c r="S278" t="s">
        <v>379</v>
      </c>
      <c r="T278" t="s">
        <v>379</v>
      </c>
      <c r="U278" s="1">
        <v>46073.136701388888</v>
      </c>
      <c r="V278" t="s">
        <v>31</v>
      </c>
      <c r="W278" t="s">
        <v>33</v>
      </c>
      <c r="X278" t="s">
        <v>3530</v>
      </c>
      <c r="Y278" t="s">
        <v>3140</v>
      </c>
      <c r="Z278" t="s">
        <v>1775</v>
      </c>
      <c r="AA278" t="s">
        <v>31</v>
      </c>
      <c r="AB278" t="s">
        <v>399</v>
      </c>
      <c r="AC278" t="s">
        <v>30</v>
      </c>
      <c r="AD278" t="s">
        <v>46</v>
      </c>
      <c r="AE278" t="s">
        <v>379</v>
      </c>
      <c r="AF278" t="s">
        <v>379</v>
      </c>
      <c r="AG278" t="s">
        <v>1775</v>
      </c>
      <c r="AH278">
        <v>15368</v>
      </c>
      <c r="AK278">
        <v>0</v>
      </c>
      <c r="AL278" t="s">
        <v>32</v>
      </c>
      <c r="AM278" t="s">
        <v>2105</v>
      </c>
      <c r="AN278" t="s">
        <v>2106</v>
      </c>
    </row>
    <row r="279" spans="1:40">
      <c r="A279" t="s">
        <v>2107</v>
      </c>
      <c r="B279" t="s">
        <v>34</v>
      </c>
      <c r="C279" t="s">
        <v>1747</v>
      </c>
      <c r="D279" t="s">
        <v>1748</v>
      </c>
      <c r="E279" s="1">
        <v>46073.10292824074</v>
      </c>
      <c r="F279" t="s">
        <v>424</v>
      </c>
      <c r="G279" t="s">
        <v>776</v>
      </c>
      <c r="H279" t="s">
        <v>3668</v>
      </c>
      <c r="I279" t="s">
        <v>212</v>
      </c>
      <c r="J279" t="s">
        <v>300</v>
      </c>
      <c r="K279" t="s">
        <v>44</v>
      </c>
      <c r="M279" t="s">
        <v>3528</v>
      </c>
      <c r="O279" t="s">
        <v>3099</v>
      </c>
      <c r="P279" t="s">
        <v>3100</v>
      </c>
      <c r="Q279" t="s">
        <v>3705</v>
      </c>
      <c r="R279" t="s">
        <v>162</v>
      </c>
      <c r="S279" t="s">
        <v>163</v>
      </c>
      <c r="T279" t="s">
        <v>164</v>
      </c>
      <c r="U279" s="1">
        <v>46073.475115740737</v>
      </c>
      <c r="V279" t="s">
        <v>31</v>
      </c>
      <c r="W279" t="s">
        <v>33</v>
      </c>
      <c r="X279" t="s">
        <v>3536</v>
      </c>
      <c r="Y279" t="s">
        <v>3310</v>
      </c>
      <c r="Z279" t="s">
        <v>1775</v>
      </c>
      <c r="AA279" t="s">
        <v>31</v>
      </c>
      <c r="AB279" t="s">
        <v>104</v>
      </c>
      <c r="AC279" t="s">
        <v>30</v>
      </c>
      <c r="AD279" t="s">
        <v>46</v>
      </c>
      <c r="AE279" t="s">
        <v>110</v>
      </c>
      <c r="AF279" t="s">
        <v>3110</v>
      </c>
      <c r="AG279" t="s">
        <v>1775</v>
      </c>
      <c r="AH279">
        <v>3128</v>
      </c>
      <c r="AK279">
        <v>4</v>
      </c>
      <c r="AL279" t="s">
        <v>181</v>
      </c>
      <c r="AM279" t="s">
        <v>1749</v>
      </c>
      <c r="AN279" t="s">
        <v>1750</v>
      </c>
    </row>
    <row r="280" spans="1:40">
      <c r="A280" t="s">
        <v>2108</v>
      </c>
      <c r="B280" t="s">
        <v>34</v>
      </c>
      <c r="C280" t="s">
        <v>2109</v>
      </c>
      <c r="D280" t="s">
        <v>2110</v>
      </c>
      <c r="E280" s="1">
        <v>46073.100821759261</v>
      </c>
      <c r="F280" t="s">
        <v>755</v>
      </c>
      <c r="G280" t="s">
        <v>776</v>
      </c>
      <c r="H280" t="s">
        <v>3669</v>
      </c>
      <c r="I280" t="s">
        <v>692</v>
      </c>
      <c r="J280" t="s">
        <v>300</v>
      </c>
      <c r="K280" t="s">
        <v>44</v>
      </c>
      <c r="M280" t="s">
        <v>3528</v>
      </c>
      <c r="O280" t="s">
        <v>3099</v>
      </c>
      <c r="P280" t="s">
        <v>3100</v>
      </c>
      <c r="Q280" t="s">
        <v>3700</v>
      </c>
      <c r="R280" t="s">
        <v>46</v>
      </c>
      <c r="S280" t="s">
        <v>379</v>
      </c>
      <c r="T280" t="s">
        <v>379</v>
      </c>
      <c r="U280" s="1">
        <v>46073.100983796299</v>
      </c>
      <c r="V280" t="s">
        <v>31</v>
      </c>
      <c r="W280" t="s">
        <v>33</v>
      </c>
      <c r="X280" t="s">
        <v>3530</v>
      </c>
      <c r="Y280" t="s">
        <v>3140</v>
      </c>
      <c r="Z280" t="s">
        <v>1775</v>
      </c>
      <c r="AA280" t="s">
        <v>31</v>
      </c>
      <c r="AB280" t="s">
        <v>399</v>
      </c>
      <c r="AC280" t="s">
        <v>30</v>
      </c>
      <c r="AD280" t="s">
        <v>46</v>
      </c>
      <c r="AE280" t="s">
        <v>379</v>
      </c>
      <c r="AF280" t="s">
        <v>379</v>
      </c>
      <c r="AG280" t="s">
        <v>1775</v>
      </c>
      <c r="AH280">
        <v>5257</v>
      </c>
      <c r="AK280">
        <v>0</v>
      </c>
      <c r="AL280" t="s">
        <v>32</v>
      </c>
      <c r="AM280" t="s">
        <v>2111</v>
      </c>
      <c r="AN280" t="s">
        <v>2112</v>
      </c>
    </row>
    <row r="281" spans="1:40">
      <c r="A281" t="s">
        <v>2113</v>
      </c>
      <c r="B281" t="s">
        <v>34</v>
      </c>
      <c r="C281" t="s">
        <v>1282</v>
      </c>
      <c r="D281" t="s">
        <v>1083</v>
      </c>
      <c r="E281" s="1">
        <v>46073.014178240737</v>
      </c>
      <c r="F281" t="s">
        <v>226</v>
      </c>
      <c r="G281" t="s">
        <v>776</v>
      </c>
      <c r="H281" t="s">
        <v>3665</v>
      </c>
      <c r="I281" t="s">
        <v>2114</v>
      </c>
      <c r="J281" t="s">
        <v>300</v>
      </c>
      <c r="K281" t="s">
        <v>44</v>
      </c>
      <c r="M281" t="s">
        <v>3528</v>
      </c>
      <c r="O281" t="s">
        <v>3099</v>
      </c>
      <c r="P281" t="s">
        <v>3100</v>
      </c>
      <c r="Q281" t="s">
        <v>3678</v>
      </c>
      <c r="R281" t="s">
        <v>46</v>
      </c>
      <c r="S281" t="s">
        <v>784</v>
      </c>
      <c r="T281" t="s">
        <v>785</v>
      </c>
      <c r="U281" s="1">
        <v>46073.014560185184</v>
      </c>
      <c r="V281" t="s">
        <v>31</v>
      </c>
      <c r="W281" t="s">
        <v>33</v>
      </c>
      <c r="X281" t="s">
        <v>3530</v>
      </c>
      <c r="Y281" t="s">
        <v>3311</v>
      </c>
      <c r="Z281" t="s">
        <v>1775</v>
      </c>
      <c r="AA281" t="s">
        <v>31</v>
      </c>
      <c r="AB281" t="s">
        <v>399</v>
      </c>
      <c r="AC281" t="s">
        <v>30</v>
      </c>
      <c r="AD281" t="s">
        <v>46</v>
      </c>
      <c r="AE281" t="s">
        <v>784</v>
      </c>
      <c r="AF281" t="s">
        <v>785</v>
      </c>
      <c r="AG281" t="s">
        <v>1775</v>
      </c>
      <c r="AH281">
        <v>13877</v>
      </c>
      <c r="AK281">
        <v>0</v>
      </c>
      <c r="AL281" t="s">
        <v>32</v>
      </c>
      <c r="AM281" t="s">
        <v>2094</v>
      </c>
      <c r="AN281" t="s">
        <v>2095</v>
      </c>
    </row>
    <row r="282" spans="1:40">
      <c r="A282" t="s">
        <v>2115</v>
      </c>
      <c r="B282" t="s">
        <v>34</v>
      </c>
      <c r="C282" t="s">
        <v>53</v>
      </c>
      <c r="D282" t="s">
        <v>960</v>
      </c>
      <c r="E282" s="1">
        <v>46072.942777777775</v>
      </c>
      <c r="F282" t="s">
        <v>108</v>
      </c>
      <c r="G282" t="s">
        <v>776</v>
      </c>
      <c r="H282" t="s">
        <v>3666</v>
      </c>
      <c r="I282" t="s">
        <v>1915</v>
      </c>
      <c r="J282" t="s">
        <v>514</v>
      </c>
      <c r="K282" t="s">
        <v>44</v>
      </c>
      <c r="M282" t="s">
        <v>3528</v>
      </c>
      <c r="O282" t="s">
        <v>3099</v>
      </c>
      <c r="P282" t="s">
        <v>3100</v>
      </c>
      <c r="Q282" t="s">
        <v>3678</v>
      </c>
      <c r="R282" t="s">
        <v>46</v>
      </c>
      <c r="S282" t="s">
        <v>188</v>
      </c>
      <c r="T282" t="s">
        <v>431</v>
      </c>
      <c r="U282" s="1">
        <v>46072.944456018522</v>
      </c>
      <c r="V282" t="s">
        <v>31</v>
      </c>
      <c r="W282" t="s">
        <v>33</v>
      </c>
      <c r="X282" t="s">
        <v>3530</v>
      </c>
      <c r="Y282" t="s">
        <v>3130</v>
      </c>
      <c r="Z282" t="s">
        <v>1775</v>
      </c>
      <c r="AA282" t="s">
        <v>31</v>
      </c>
      <c r="AB282" t="s">
        <v>266</v>
      </c>
      <c r="AC282" t="s">
        <v>30</v>
      </c>
      <c r="AD282" t="s">
        <v>46</v>
      </c>
      <c r="AE282" t="s">
        <v>188</v>
      </c>
      <c r="AF282" t="s">
        <v>431</v>
      </c>
      <c r="AG282" t="s">
        <v>1775</v>
      </c>
      <c r="AH282">
        <v>15977</v>
      </c>
      <c r="AK282">
        <v>0</v>
      </c>
      <c r="AL282" t="s">
        <v>32</v>
      </c>
      <c r="AM282" t="s">
        <v>961</v>
      </c>
      <c r="AN282" t="s">
        <v>962</v>
      </c>
    </row>
    <row r="283" spans="1:40">
      <c r="A283" t="s">
        <v>2129</v>
      </c>
      <c r="B283" t="s">
        <v>24</v>
      </c>
      <c r="C283" t="s">
        <v>53</v>
      </c>
      <c r="D283" t="s">
        <v>116</v>
      </c>
      <c r="E283" s="1">
        <v>46072.885648148149</v>
      </c>
      <c r="F283" t="s">
        <v>26</v>
      </c>
      <c r="G283" t="s">
        <v>776</v>
      </c>
      <c r="H283" t="s">
        <v>3665</v>
      </c>
      <c r="I283" t="s">
        <v>2130</v>
      </c>
      <c r="J283" t="s">
        <v>320</v>
      </c>
      <c r="K283" t="s">
        <v>134</v>
      </c>
      <c r="M283" t="s">
        <v>3526</v>
      </c>
      <c r="O283" t="s">
        <v>3144</v>
      </c>
      <c r="P283" t="s">
        <v>3145</v>
      </c>
      <c r="Q283" t="s">
        <v>3678</v>
      </c>
      <c r="R283" t="s">
        <v>46</v>
      </c>
      <c r="S283" t="s">
        <v>338</v>
      </c>
      <c r="T283" t="s">
        <v>890</v>
      </c>
      <c r="U283" s="1">
        <v>46076.365162037036</v>
      </c>
      <c r="V283" t="s">
        <v>31</v>
      </c>
      <c r="W283" t="s">
        <v>33</v>
      </c>
      <c r="X283" t="s">
        <v>3525</v>
      </c>
      <c r="Y283" t="e">
        <f>- Ensured that SEP virus definitions are updated. - Cleaned / deleted Quarantined items. - deleted temporary files, temporary internet files and cookies. - Ran AV full scan. - No Risks were found.</f>
        <v>#NAME?</v>
      </c>
      <c r="Z283" t="s">
        <v>38</v>
      </c>
      <c r="AA283" t="s">
        <v>31</v>
      </c>
      <c r="AB283" t="s">
        <v>266</v>
      </c>
      <c r="AC283" t="s">
        <v>284</v>
      </c>
      <c r="AD283" t="s">
        <v>46</v>
      </c>
      <c r="AE283" t="s">
        <v>338</v>
      </c>
      <c r="AF283" t="s">
        <v>890</v>
      </c>
      <c r="AG283" t="s">
        <v>38</v>
      </c>
      <c r="AH283">
        <v>15695</v>
      </c>
      <c r="AK283">
        <v>4</v>
      </c>
      <c r="AL283" t="s">
        <v>32</v>
      </c>
      <c r="AM283" t="s">
        <v>2131</v>
      </c>
      <c r="AN283" t="s">
        <v>2132</v>
      </c>
    </row>
    <row r="284" spans="1:40">
      <c r="A284" t="s">
        <v>2133</v>
      </c>
      <c r="B284" t="s">
        <v>34</v>
      </c>
      <c r="C284" t="s">
        <v>2134</v>
      </c>
      <c r="D284" t="s">
        <v>2135</v>
      </c>
      <c r="E284" s="1">
        <v>46072.838043981479</v>
      </c>
      <c r="F284" t="s">
        <v>39</v>
      </c>
      <c r="G284" t="s">
        <v>776</v>
      </c>
      <c r="H284" t="s">
        <v>3667</v>
      </c>
      <c r="I284" t="s">
        <v>2136</v>
      </c>
      <c r="J284" t="s">
        <v>514</v>
      </c>
      <c r="K284" t="s">
        <v>44</v>
      </c>
      <c r="M284" t="s">
        <v>3528</v>
      </c>
      <c r="O284" t="s">
        <v>3099</v>
      </c>
      <c r="P284" t="s">
        <v>3100</v>
      </c>
      <c r="Q284" t="s">
        <v>3678</v>
      </c>
      <c r="R284" t="s">
        <v>46</v>
      </c>
      <c r="S284" t="s">
        <v>751</v>
      </c>
      <c r="T284" t="s">
        <v>752</v>
      </c>
      <c r="U284" s="1">
        <v>46072.839687500003</v>
      </c>
      <c r="V284" t="s">
        <v>31</v>
      </c>
      <c r="W284" t="s">
        <v>33</v>
      </c>
      <c r="X284" t="s">
        <v>3525</v>
      </c>
      <c r="Y284" t="s">
        <v>3312</v>
      </c>
      <c r="Z284" t="s">
        <v>1775</v>
      </c>
      <c r="AA284" t="s">
        <v>31</v>
      </c>
      <c r="AB284" t="s">
        <v>266</v>
      </c>
      <c r="AC284" t="s">
        <v>30</v>
      </c>
      <c r="AD284" t="s">
        <v>46</v>
      </c>
      <c r="AE284" t="s">
        <v>751</v>
      </c>
      <c r="AF284" t="s">
        <v>752</v>
      </c>
      <c r="AG284" t="s">
        <v>1775</v>
      </c>
      <c r="AH284">
        <v>15828</v>
      </c>
      <c r="AK284">
        <v>0</v>
      </c>
      <c r="AL284" t="s">
        <v>32</v>
      </c>
      <c r="AM284" t="s">
        <v>2137</v>
      </c>
      <c r="AN284" t="s">
        <v>2138</v>
      </c>
    </row>
    <row r="285" spans="1:40">
      <c r="A285" t="s">
        <v>2139</v>
      </c>
      <c r="B285" t="s">
        <v>34</v>
      </c>
      <c r="C285" t="s">
        <v>83</v>
      </c>
      <c r="D285" t="s">
        <v>84</v>
      </c>
      <c r="E285" s="1">
        <v>46072.834861111114</v>
      </c>
      <c r="F285" t="s">
        <v>85</v>
      </c>
      <c r="G285" t="s">
        <v>776</v>
      </c>
      <c r="H285" t="s">
        <v>3668</v>
      </c>
      <c r="I285" t="s">
        <v>2140</v>
      </c>
      <c r="J285" t="s">
        <v>514</v>
      </c>
      <c r="K285" t="s">
        <v>44</v>
      </c>
      <c r="M285" t="s">
        <v>3528</v>
      </c>
      <c r="O285" t="s">
        <v>3099</v>
      </c>
      <c r="P285" t="s">
        <v>3100</v>
      </c>
      <c r="Q285" t="s">
        <v>3678</v>
      </c>
      <c r="R285" t="s">
        <v>46</v>
      </c>
      <c r="S285" t="s">
        <v>751</v>
      </c>
      <c r="T285" t="s">
        <v>752</v>
      </c>
      <c r="U285" s="1">
        <v>46073.902418981481</v>
      </c>
      <c r="V285" t="s">
        <v>31</v>
      </c>
      <c r="W285" t="s">
        <v>33</v>
      </c>
      <c r="X285" t="s">
        <v>3525</v>
      </c>
      <c r="Y285" t="s">
        <v>3313</v>
      </c>
      <c r="Z285" t="s">
        <v>1775</v>
      </c>
      <c r="AA285" t="s">
        <v>31</v>
      </c>
      <c r="AB285" t="s">
        <v>266</v>
      </c>
      <c r="AC285" t="s">
        <v>30</v>
      </c>
      <c r="AD285" t="s">
        <v>46</v>
      </c>
      <c r="AE285" t="s">
        <v>751</v>
      </c>
      <c r="AF285" t="s">
        <v>752</v>
      </c>
      <c r="AG285" t="s">
        <v>1775</v>
      </c>
      <c r="AH285" t="s">
        <v>3533</v>
      </c>
      <c r="AK285">
        <v>0</v>
      </c>
      <c r="AL285" t="s">
        <v>32</v>
      </c>
      <c r="AM285" t="s">
        <v>87</v>
      </c>
      <c r="AN285" t="s">
        <v>88</v>
      </c>
    </row>
    <row r="286" spans="1:40">
      <c r="A286" t="s">
        <v>2141</v>
      </c>
      <c r="B286" t="s">
        <v>34</v>
      </c>
      <c r="C286" t="s">
        <v>65</v>
      </c>
      <c r="D286" t="s">
        <v>1935</v>
      </c>
      <c r="E286" s="1">
        <v>46072.816863425927</v>
      </c>
      <c r="F286" t="s">
        <v>96</v>
      </c>
      <c r="G286" t="s">
        <v>776</v>
      </c>
      <c r="H286" t="s">
        <v>96</v>
      </c>
      <c r="I286" t="s">
        <v>2142</v>
      </c>
      <c r="J286" t="s">
        <v>514</v>
      </c>
      <c r="K286" t="s">
        <v>44</v>
      </c>
      <c r="M286" t="s">
        <v>3526</v>
      </c>
      <c r="O286" t="s">
        <v>3099</v>
      </c>
      <c r="P286" t="s">
        <v>3100</v>
      </c>
      <c r="Q286" t="s">
        <v>3678</v>
      </c>
      <c r="R286" t="s">
        <v>46</v>
      </c>
      <c r="S286" t="s">
        <v>751</v>
      </c>
      <c r="T286" t="s">
        <v>752</v>
      </c>
      <c r="U286" s="1">
        <v>46078.394166666665</v>
      </c>
      <c r="V286" t="s">
        <v>31</v>
      </c>
      <c r="W286" t="s">
        <v>33</v>
      </c>
      <c r="X286" t="s">
        <v>3525</v>
      </c>
      <c r="Y286" t="s">
        <v>3314</v>
      </c>
      <c r="Z286" t="s">
        <v>38</v>
      </c>
      <c r="AA286" t="s">
        <v>31</v>
      </c>
      <c r="AB286" t="s">
        <v>266</v>
      </c>
      <c r="AC286" t="s">
        <v>30</v>
      </c>
      <c r="AD286" t="s">
        <v>46</v>
      </c>
      <c r="AE286" t="s">
        <v>751</v>
      </c>
      <c r="AF286" t="s">
        <v>752</v>
      </c>
      <c r="AG286" t="s">
        <v>38</v>
      </c>
      <c r="AH286">
        <v>11812</v>
      </c>
      <c r="AK286">
        <v>0</v>
      </c>
      <c r="AL286" t="s">
        <v>32</v>
      </c>
      <c r="AM286" t="s">
        <v>1936</v>
      </c>
      <c r="AN286" t="s">
        <v>1937</v>
      </c>
    </row>
    <row r="287" spans="1:40">
      <c r="A287" t="s">
        <v>2143</v>
      </c>
      <c r="B287" t="s">
        <v>34</v>
      </c>
      <c r="C287" t="s">
        <v>801</v>
      </c>
      <c r="D287" t="s">
        <v>2144</v>
      </c>
      <c r="E287" s="1">
        <v>46072.807256944441</v>
      </c>
      <c r="F287" t="s">
        <v>26</v>
      </c>
      <c r="G287" t="s">
        <v>776</v>
      </c>
      <c r="H287" t="s">
        <v>3665</v>
      </c>
      <c r="I287" t="s">
        <v>80</v>
      </c>
      <c r="J287" t="s">
        <v>514</v>
      </c>
      <c r="K287" t="s">
        <v>44</v>
      </c>
      <c r="M287" t="s">
        <v>3528</v>
      </c>
      <c r="O287" t="s">
        <v>3099</v>
      </c>
      <c r="P287" t="s">
        <v>3100</v>
      </c>
      <c r="Q287" t="s">
        <v>3678</v>
      </c>
      <c r="R287" t="s">
        <v>46</v>
      </c>
      <c r="S287" t="s">
        <v>110</v>
      </c>
      <c r="T287" t="s">
        <v>301</v>
      </c>
      <c r="U287" s="1">
        <v>46072.808252314811</v>
      </c>
      <c r="V287" t="s">
        <v>31</v>
      </c>
      <c r="W287" t="s">
        <v>33</v>
      </c>
      <c r="X287" t="s">
        <v>3530</v>
      </c>
      <c r="Y287" t="e">
        <f>- the password has been reset successfully.  - it has been shared with the Users privately SMS</f>
        <v>#NAME?</v>
      </c>
      <c r="Z287" t="s">
        <v>1775</v>
      </c>
      <c r="AA287" t="s">
        <v>31</v>
      </c>
      <c r="AB287" t="s">
        <v>266</v>
      </c>
      <c r="AC287" t="s">
        <v>30</v>
      </c>
      <c r="AD287" t="s">
        <v>46</v>
      </c>
      <c r="AE287" t="s">
        <v>110</v>
      </c>
      <c r="AF287" t="s">
        <v>3252</v>
      </c>
      <c r="AG287" t="s">
        <v>1775</v>
      </c>
      <c r="AH287" t="s">
        <v>3649</v>
      </c>
      <c r="AK287">
        <v>0</v>
      </c>
      <c r="AL287" t="s">
        <v>32</v>
      </c>
      <c r="AM287" t="s">
        <v>2145</v>
      </c>
      <c r="AN287" t="s">
        <v>2146</v>
      </c>
    </row>
    <row r="288" spans="1:40">
      <c r="A288" t="s">
        <v>2147</v>
      </c>
      <c r="B288" t="s">
        <v>24</v>
      </c>
      <c r="C288" t="s">
        <v>1862</v>
      </c>
      <c r="D288" t="s">
        <v>1863</v>
      </c>
      <c r="E288" s="1">
        <v>46072.803437499999</v>
      </c>
      <c r="F288" t="s">
        <v>153</v>
      </c>
      <c r="G288" t="s">
        <v>776</v>
      </c>
      <c r="H288" t="s">
        <v>3669</v>
      </c>
      <c r="I288" t="s">
        <v>2148</v>
      </c>
      <c r="J288" t="s">
        <v>514</v>
      </c>
      <c r="K288" t="s">
        <v>44</v>
      </c>
      <c r="M288" t="s">
        <v>3528</v>
      </c>
      <c r="O288" t="s">
        <v>3103</v>
      </c>
      <c r="P288" t="s">
        <v>3104</v>
      </c>
      <c r="Q288" t="s">
        <v>3725</v>
      </c>
      <c r="R288" t="s">
        <v>46</v>
      </c>
      <c r="S288" t="s">
        <v>374</v>
      </c>
      <c r="T288" t="s">
        <v>2149</v>
      </c>
      <c r="U288" s="1">
        <v>46072.806898148148</v>
      </c>
      <c r="V288" t="s">
        <v>31</v>
      </c>
      <c r="W288" t="s">
        <v>33</v>
      </c>
      <c r="X288" t="s">
        <v>3530</v>
      </c>
      <c r="Y288" t="s">
        <v>3315</v>
      </c>
      <c r="Z288" t="s">
        <v>1775</v>
      </c>
      <c r="AA288" t="s">
        <v>31</v>
      </c>
      <c r="AB288" t="s">
        <v>266</v>
      </c>
      <c r="AC288" t="s">
        <v>86</v>
      </c>
      <c r="AD288" t="s">
        <v>46</v>
      </c>
      <c r="AE288" t="s">
        <v>374</v>
      </c>
      <c r="AF288" t="s">
        <v>3120</v>
      </c>
      <c r="AG288" t="s">
        <v>1775</v>
      </c>
      <c r="AH288">
        <v>4868</v>
      </c>
      <c r="AK288">
        <v>0</v>
      </c>
      <c r="AL288" t="s">
        <v>32</v>
      </c>
      <c r="AM288" t="s">
        <v>1864</v>
      </c>
      <c r="AN288" t="s">
        <v>1865</v>
      </c>
    </row>
    <row r="289" spans="1:40">
      <c r="A289" t="s">
        <v>2150</v>
      </c>
      <c r="B289" t="s">
        <v>34</v>
      </c>
      <c r="C289" t="s">
        <v>575</v>
      </c>
      <c r="D289" t="s">
        <v>2151</v>
      </c>
      <c r="E289" s="1">
        <v>46072.741724537038</v>
      </c>
      <c r="F289" t="s">
        <v>150</v>
      </c>
      <c r="G289" t="s">
        <v>776</v>
      </c>
      <c r="H289" t="s">
        <v>3671</v>
      </c>
      <c r="I289" t="s">
        <v>543</v>
      </c>
      <c r="J289" t="s">
        <v>514</v>
      </c>
      <c r="K289" t="s">
        <v>44</v>
      </c>
      <c r="M289" t="s">
        <v>3528</v>
      </c>
      <c r="O289" t="s">
        <v>3099</v>
      </c>
      <c r="P289" t="s">
        <v>3100</v>
      </c>
      <c r="Q289" t="s">
        <v>3732</v>
      </c>
      <c r="R289" t="s">
        <v>46</v>
      </c>
      <c r="S289" t="s">
        <v>379</v>
      </c>
      <c r="T289" t="s">
        <v>379</v>
      </c>
      <c r="U289" s="1">
        <v>46072.742824074077</v>
      </c>
      <c r="V289" t="s">
        <v>31</v>
      </c>
      <c r="W289" t="s">
        <v>33</v>
      </c>
      <c r="X289" t="s">
        <v>3530</v>
      </c>
      <c r="Y289" t="s">
        <v>3316</v>
      </c>
      <c r="Z289" t="s">
        <v>1775</v>
      </c>
      <c r="AA289" t="s">
        <v>31</v>
      </c>
      <c r="AB289" t="s">
        <v>266</v>
      </c>
      <c r="AC289" t="s">
        <v>30</v>
      </c>
      <c r="AD289" t="s">
        <v>46</v>
      </c>
      <c r="AE289" t="s">
        <v>379</v>
      </c>
      <c r="AF289" t="s">
        <v>379</v>
      </c>
      <c r="AG289" t="s">
        <v>1775</v>
      </c>
      <c r="AH289">
        <v>3686</v>
      </c>
      <c r="AK289">
        <v>0</v>
      </c>
      <c r="AL289" t="s">
        <v>32</v>
      </c>
      <c r="AM289" t="s">
        <v>2152</v>
      </c>
      <c r="AN289" t="s">
        <v>2153</v>
      </c>
    </row>
    <row r="290" spans="1:40">
      <c r="A290" t="s">
        <v>2154</v>
      </c>
      <c r="B290" t="s">
        <v>34</v>
      </c>
      <c r="C290" t="s">
        <v>169</v>
      </c>
      <c r="D290" t="s">
        <v>2155</v>
      </c>
      <c r="E290" s="1">
        <v>46072.722696759258</v>
      </c>
      <c r="F290" t="s">
        <v>242</v>
      </c>
      <c r="G290" t="s">
        <v>776</v>
      </c>
      <c r="H290" t="s">
        <v>3671</v>
      </c>
      <c r="I290" t="s">
        <v>2156</v>
      </c>
      <c r="J290" t="s">
        <v>2157</v>
      </c>
      <c r="K290" t="s">
        <v>134</v>
      </c>
      <c r="M290" t="s">
        <v>3526</v>
      </c>
      <c r="O290" t="s">
        <v>3099</v>
      </c>
      <c r="P290" t="s">
        <v>3100</v>
      </c>
      <c r="Q290" t="s">
        <v>3678</v>
      </c>
      <c r="R290" t="s">
        <v>46</v>
      </c>
      <c r="S290" t="s">
        <v>751</v>
      </c>
      <c r="T290" t="s">
        <v>752</v>
      </c>
      <c r="U290" s="1">
        <v>46076.37945601852</v>
      </c>
      <c r="V290" t="s">
        <v>31</v>
      </c>
      <c r="W290" t="s">
        <v>33</v>
      </c>
      <c r="X290" t="s">
        <v>3525</v>
      </c>
      <c r="Y290" t="s">
        <v>3317</v>
      </c>
      <c r="Z290" t="s">
        <v>38</v>
      </c>
      <c r="AA290" t="s">
        <v>31</v>
      </c>
      <c r="AB290" t="s">
        <v>266</v>
      </c>
      <c r="AC290" t="s">
        <v>30</v>
      </c>
      <c r="AD290" t="s">
        <v>46</v>
      </c>
      <c r="AE290" t="s">
        <v>751</v>
      </c>
      <c r="AF290" t="s">
        <v>752</v>
      </c>
      <c r="AG290" t="s">
        <v>38</v>
      </c>
      <c r="AH290">
        <v>12642</v>
      </c>
      <c r="AK290">
        <v>1</v>
      </c>
      <c r="AL290" t="s">
        <v>32</v>
      </c>
      <c r="AM290" t="s">
        <v>2158</v>
      </c>
      <c r="AN290" t="s">
        <v>2159</v>
      </c>
    </row>
    <row r="291" spans="1:40">
      <c r="A291" t="s">
        <v>2160</v>
      </c>
      <c r="B291" t="s">
        <v>34</v>
      </c>
      <c r="C291" t="s">
        <v>2161</v>
      </c>
      <c r="D291" t="s">
        <v>79</v>
      </c>
      <c r="E291" s="1">
        <v>46072.716192129628</v>
      </c>
      <c r="F291" t="s">
        <v>242</v>
      </c>
      <c r="G291" t="s">
        <v>776</v>
      </c>
      <c r="H291" t="s">
        <v>3671</v>
      </c>
      <c r="I291" t="s">
        <v>2162</v>
      </c>
      <c r="J291" t="s">
        <v>514</v>
      </c>
      <c r="K291" t="s">
        <v>44</v>
      </c>
      <c r="M291" t="s">
        <v>3526</v>
      </c>
      <c r="O291" t="s">
        <v>3099</v>
      </c>
      <c r="P291" t="s">
        <v>3100</v>
      </c>
      <c r="Q291" t="s">
        <v>3678</v>
      </c>
      <c r="R291" t="s">
        <v>46</v>
      </c>
      <c r="S291" t="s">
        <v>751</v>
      </c>
      <c r="T291" t="s">
        <v>752</v>
      </c>
      <c r="U291" s="1">
        <v>46078.560370370367</v>
      </c>
      <c r="V291" t="s">
        <v>31</v>
      </c>
      <c r="W291" t="s">
        <v>33</v>
      </c>
      <c r="X291" t="s">
        <v>3525</v>
      </c>
      <c r="Y291" t="s">
        <v>3318</v>
      </c>
      <c r="Z291" t="s">
        <v>38</v>
      </c>
      <c r="AA291" t="s">
        <v>31</v>
      </c>
      <c r="AB291" t="s">
        <v>266</v>
      </c>
      <c r="AC291" t="s">
        <v>30</v>
      </c>
      <c r="AD291" t="s">
        <v>46</v>
      </c>
      <c r="AE291" t="s">
        <v>751</v>
      </c>
      <c r="AF291" t="s">
        <v>752</v>
      </c>
      <c r="AG291" t="s">
        <v>38</v>
      </c>
      <c r="AH291" t="s">
        <v>3650</v>
      </c>
      <c r="AK291">
        <v>0</v>
      </c>
      <c r="AL291" t="s">
        <v>32</v>
      </c>
      <c r="AM291" t="s">
        <v>2163</v>
      </c>
      <c r="AN291" t="s">
        <v>2164</v>
      </c>
    </row>
    <row r="292" spans="1:40">
      <c r="A292" t="s">
        <v>2165</v>
      </c>
      <c r="B292" t="s">
        <v>24</v>
      </c>
      <c r="C292" t="s">
        <v>287</v>
      </c>
      <c r="D292" t="s">
        <v>1439</v>
      </c>
      <c r="E292" s="1">
        <v>46072.715243055558</v>
      </c>
      <c r="F292" t="s">
        <v>74</v>
      </c>
      <c r="G292" t="s">
        <v>776</v>
      </c>
      <c r="H292" t="s">
        <v>3665</v>
      </c>
      <c r="I292" t="s">
        <v>2166</v>
      </c>
      <c r="J292" t="s">
        <v>494</v>
      </c>
      <c r="K292" t="s">
        <v>134</v>
      </c>
      <c r="M292" t="s">
        <v>3526</v>
      </c>
      <c r="O292" t="s">
        <v>3144</v>
      </c>
      <c r="P292" t="s">
        <v>3145</v>
      </c>
      <c r="Q292" t="s">
        <v>3678</v>
      </c>
      <c r="R292" t="s">
        <v>46</v>
      </c>
      <c r="S292" t="s">
        <v>338</v>
      </c>
      <c r="T292" t="s">
        <v>890</v>
      </c>
      <c r="U292" s="1">
        <v>46076.522893518515</v>
      </c>
      <c r="V292" t="s">
        <v>31</v>
      </c>
      <c r="W292" t="s">
        <v>33</v>
      </c>
      <c r="X292" t="s">
        <v>3525</v>
      </c>
      <c r="Y292" t="s">
        <v>3319</v>
      </c>
      <c r="Z292" t="s">
        <v>38</v>
      </c>
      <c r="AA292" t="s">
        <v>31</v>
      </c>
      <c r="AB292" t="s">
        <v>266</v>
      </c>
      <c r="AC292" t="s">
        <v>284</v>
      </c>
      <c r="AD292" t="s">
        <v>46</v>
      </c>
      <c r="AE292" t="s">
        <v>338</v>
      </c>
      <c r="AF292" t="s">
        <v>890</v>
      </c>
      <c r="AG292" t="s">
        <v>38</v>
      </c>
      <c r="AH292">
        <v>14560</v>
      </c>
      <c r="AK292">
        <v>1</v>
      </c>
      <c r="AL292" t="s">
        <v>32</v>
      </c>
      <c r="AM292" t="s">
        <v>1441</v>
      </c>
      <c r="AN292" t="s">
        <v>1442</v>
      </c>
    </row>
    <row r="293" spans="1:40">
      <c r="A293" t="s">
        <v>2169</v>
      </c>
      <c r="B293" t="s">
        <v>34</v>
      </c>
      <c r="C293" t="s">
        <v>1124</v>
      </c>
      <c r="D293" t="s">
        <v>1125</v>
      </c>
      <c r="E293" s="1">
        <v>46072.667013888888</v>
      </c>
      <c r="F293" t="s">
        <v>62</v>
      </c>
      <c r="G293" t="s">
        <v>776</v>
      </c>
      <c r="H293" t="s">
        <v>3668</v>
      </c>
      <c r="I293" t="s">
        <v>2170</v>
      </c>
      <c r="J293" t="s">
        <v>273</v>
      </c>
      <c r="K293" t="s">
        <v>134</v>
      </c>
      <c r="M293" t="s">
        <v>3526</v>
      </c>
      <c r="O293" t="s">
        <v>3099</v>
      </c>
      <c r="P293" t="s">
        <v>3100</v>
      </c>
      <c r="Q293" t="s">
        <v>3697</v>
      </c>
      <c r="R293" t="s">
        <v>491</v>
      </c>
      <c r="S293" t="s">
        <v>1126</v>
      </c>
      <c r="T293" t="s">
        <v>1127</v>
      </c>
      <c r="U293" s="1">
        <v>46078.473668981482</v>
      </c>
      <c r="V293" t="s">
        <v>31</v>
      </c>
      <c r="W293" t="s">
        <v>33</v>
      </c>
      <c r="X293" t="s">
        <v>3525</v>
      </c>
      <c r="Y293" t="s">
        <v>3320</v>
      </c>
      <c r="Z293" t="s">
        <v>38</v>
      </c>
      <c r="AA293" t="s">
        <v>31</v>
      </c>
      <c r="AB293" t="s">
        <v>1128</v>
      </c>
      <c r="AC293" t="s">
        <v>30</v>
      </c>
      <c r="AD293" t="s">
        <v>491</v>
      </c>
      <c r="AE293" t="s">
        <v>1126</v>
      </c>
      <c r="AF293" t="s">
        <v>1127</v>
      </c>
      <c r="AG293" t="s">
        <v>38</v>
      </c>
      <c r="AJ293">
        <v>191742</v>
      </c>
      <c r="AK293">
        <v>6</v>
      </c>
      <c r="AL293" t="s">
        <v>32</v>
      </c>
      <c r="AM293" t="s">
        <v>1128</v>
      </c>
      <c r="AN293" t="s">
        <v>1129</v>
      </c>
    </row>
    <row r="294" spans="1:40">
      <c r="A294" t="s">
        <v>2171</v>
      </c>
      <c r="B294" t="s">
        <v>34</v>
      </c>
      <c r="C294" t="s">
        <v>1124</v>
      </c>
      <c r="D294" t="s">
        <v>1125</v>
      </c>
      <c r="E294" s="1">
        <v>46072.667013888888</v>
      </c>
      <c r="F294" t="s">
        <v>62</v>
      </c>
      <c r="G294" t="s">
        <v>776</v>
      </c>
      <c r="H294" t="s">
        <v>3668</v>
      </c>
      <c r="I294" t="s">
        <v>2172</v>
      </c>
      <c r="J294" t="s">
        <v>1501</v>
      </c>
      <c r="K294" t="s">
        <v>134</v>
      </c>
      <c r="M294" t="s">
        <v>3534</v>
      </c>
      <c r="O294" t="s">
        <v>3099</v>
      </c>
      <c r="P294" t="s">
        <v>3100</v>
      </c>
      <c r="Q294" t="s">
        <v>3697</v>
      </c>
      <c r="R294" t="s">
        <v>491</v>
      </c>
      <c r="S294" t="s">
        <v>1126</v>
      </c>
      <c r="T294" t="s">
        <v>1127</v>
      </c>
      <c r="U294" s="1">
        <v>46076.362881944442</v>
      </c>
      <c r="V294" t="s">
        <v>31</v>
      </c>
      <c r="W294" t="s">
        <v>33</v>
      </c>
      <c r="X294" t="s">
        <v>3525</v>
      </c>
      <c r="Y294" t="s">
        <v>3321</v>
      </c>
      <c r="Z294" t="s">
        <v>38</v>
      </c>
      <c r="AA294" t="s">
        <v>31</v>
      </c>
      <c r="AB294" t="s">
        <v>1128</v>
      </c>
      <c r="AC294" t="s">
        <v>30</v>
      </c>
      <c r="AD294" t="s">
        <v>491</v>
      </c>
      <c r="AE294" t="s">
        <v>1126</v>
      </c>
      <c r="AF294" t="s">
        <v>1127</v>
      </c>
      <c r="AG294" t="s">
        <v>38</v>
      </c>
      <c r="AK294">
        <v>4</v>
      </c>
      <c r="AL294" t="s">
        <v>32</v>
      </c>
      <c r="AM294" t="s">
        <v>1128</v>
      </c>
      <c r="AN294" t="s">
        <v>1129</v>
      </c>
    </row>
    <row r="295" spans="1:40">
      <c r="A295" t="s">
        <v>2174</v>
      </c>
      <c r="B295" t="s">
        <v>34</v>
      </c>
      <c r="C295" t="s">
        <v>220</v>
      </c>
      <c r="D295" t="s">
        <v>91</v>
      </c>
      <c r="E295" s="1">
        <v>46072.624710648146</v>
      </c>
      <c r="F295" t="s">
        <v>118</v>
      </c>
      <c r="G295" t="s">
        <v>776</v>
      </c>
      <c r="H295" t="s">
        <v>3666</v>
      </c>
      <c r="I295" t="s">
        <v>379</v>
      </c>
      <c r="J295" t="s">
        <v>253</v>
      </c>
      <c r="K295" t="s">
        <v>44</v>
      </c>
      <c r="M295" t="s">
        <v>3528</v>
      </c>
      <c r="O295" t="s">
        <v>3099</v>
      </c>
      <c r="P295" t="s">
        <v>3100</v>
      </c>
      <c r="Q295" t="s">
        <v>3698</v>
      </c>
      <c r="R295" t="s">
        <v>46</v>
      </c>
      <c r="S295" t="s">
        <v>379</v>
      </c>
      <c r="T295" t="s">
        <v>379</v>
      </c>
      <c r="U295" s="1">
        <v>46072.625462962962</v>
      </c>
      <c r="V295" t="s">
        <v>31</v>
      </c>
      <c r="W295" t="s">
        <v>33</v>
      </c>
      <c r="X295" t="s">
        <v>3530</v>
      </c>
      <c r="Y295" t="s">
        <v>3322</v>
      </c>
      <c r="Z295" t="s">
        <v>1775</v>
      </c>
      <c r="AA295" t="s">
        <v>31</v>
      </c>
      <c r="AB295" t="s">
        <v>367</v>
      </c>
      <c r="AC295" t="s">
        <v>30</v>
      </c>
      <c r="AD295" t="s">
        <v>46</v>
      </c>
      <c r="AE295" t="s">
        <v>379</v>
      </c>
      <c r="AF295" t="s">
        <v>379</v>
      </c>
      <c r="AG295" t="s">
        <v>1775</v>
      </c>
      <c r="AH295">
        <v>2850</v>
      </c>
      <c r="AK295">
        <v>0</v>
      </c>
      <c r="AL295" t="s">
        <v>32</v>
      </c>
      <c r="AM295" t="s">
        <v>380</v>
      </c>
      <c r="AN295" t="s">
        <v>381</v>
      </c>
    </row>
    <row r="296" spans="1:40">
      <c r="A296" t="s">
        <v>2175</v>
      </c>
      <c r="B296" t="s">
        <v>34</v>
      </c>
      <c r="C296" t="s">
        <v>575</v>
      </c>
      <c r="D296" t="s">
        <v>99</v>
      </c>
      <c r="E296" s="1">
        <v>46072.62327546296</v>
      </c>
      <c r="F296" t="s">
        <v>62</v>
      </c>
      <c r="G296" t="s">
        <v>776</v>
      </c>
      <c r="H296" t="s">
        <v>3668</v>
      </c>
      <c r="I296" t="s">
        <v>2176</v>
      </c>
      <c r="J296" t="s">
        <v>253</v>
      </c>
      <c r="K296" t="s">
        <v>44</v>
      </c>
      <c r="M296" t="s">
        <v>3528</v>
      </c>
      <c r="O296" t="s">
        <v>3099</v>
      </c>
      <c r="P296" t="s">
        <v>3100</v>
      </c>
      <c r="R296" t="s">
        <v>46</v>
      </c>
      <c r="S296" t="s">
        <v>515</v>
      </c>
      <c r="T296" t="s">
        <v>2177</v>
      </c>
      <c r="U296" s="1">
        <v>46072.625879629632</v>
      </c>
      <c r="V296" t="s">
        <v>31</v>
      </c>
      <c r="W296" t="s">
        <v>33</v>
      </c>
      <c r="X296" t="s">
        <v>3530</v>
      </c>
      <c r="Y296" t="s">
        <v>3323</v>
      </c>
      <c r="Z296" t="s">
        <v>1775</v>
      </c>
      <c r="AA296" t="s">
        <v>31</v>
      </c>
      <c r="AB296" t="s">
        <v>367</v>
      </c>
      <c r="AC296" t="s">
        <v>30</v>
      </c>
      <c r="AD296" t="s">
        <v>46</v>
      </c>
      <c r="AE296" t="s">
        <v>515</v>
      </c>
      <c r="AF296" t="s">
        <v>2177</v>
      </c>
      <c r="AG296" t="s">
        <v>1775</v>
      </c>
      <c r="AH296">
        <v>10670</v>
      </c>
      <c r="AK296">
        <v>0</v>
      </c>
      <c r="AL296" t="s">
        <v>32</v>
      </c>
      <c r="AM296" t="s">
        <v>2178</v>
      </c>
      <c r="AN296" t="s">
        <v>2179</v>
      </c>
    </row>
    <row r="297" spans="1:40">
      <c r="A297" t="s">
        <v>2182</v>
      </c>
      <c r="B297" t="s">
        <v>34</v>
      </c>
      <c r="C297" t="s">
        <v>194</v>
      </c>
      <c r="D297" t="s">
        <v>448</v>
      </c>
      <c r="E297" s="1">
        <v>46072.617847222224</v>
      </c>
      <c r="F297" t="s">
        <v>226</v>
      </c>
      <c r="G297" t="s">
        <v>776</v>
      </c>
      <c r="H297" t="s">
        <v>3665</v>
      </c>
      <c r="I297" t="s">
        <v>1037</v>
      </c>
      <c r="J297" t="s">
        <v>290</v>
      </c>
      <c r="K297" t="s">
        <v>44</v>
      </c>
      <c r="M297" t="s">
        <v>3528</v>
      </c>
      <c r="O297" t="s">
        <v>3099</v>
      </c>
      <c r="P297" t="s">
        <v>3100</v>
      </c>
      <c r="Q297" t="s">
        <v>3678</v>
      </c>
      <c r="R297" t="s">
        <v>46</v>
      </c>
      <c r="S297" t="s">
        <v>188</v>
      </c>
      <c r="T297" t="s">
        <v>431</v>
      </c>
      <c r="U297" s="1">
        <v>46072.619421296295</v>
      </c>
      <c r="V297" t="s">
        <v>31</v>
      </c>
      <c r="W297" t="s">
        <v>33</v>
      </c>
      <c r="X297" t="s">
        <v>3530</v>
      </c>
      <c r="Y297" t="s">
        <v>3179</v>
      </c>
      <c r="Z297" t="s">
        <v>1775</v>
      </c>
      <c r="AA297" t="s">
        <v>31</v>
      </c>
      <c r="AB297" t="s">
        <v>190</v>
      </c>
      <c r="AC297" t="s">
        <v>30</v>
      </c>
      <c r="AD297" t="s">
        <v>46</v>
      </c>
      <c r="AE297" t="s">
        <v>188</v>
      </c>
      <c r="AF297" t="s">
        <v>431</v>
      </c>
      <c r="AG297" t="s">
        <v>1775</v>
      </c>
      <c r="AH297">
        <v>15951</v>
      </c>
      <c r="AK297">
        <v>0</v>
      </c>
      <c r="AL297" t="s">
        <v>32</v>
      </c>
      <c r="AM297" t="s">
        <v>2183</v>
      </c>
      <c r="AN297" t="s">
        <v>2184</v>
      </c>
    </row>
    <row r="298" spans="1:40">
      <c r="A298" t="s">
        <v>2190</v>
      </c>
      <c r="B298" t="s">
        <v>34</v>
      </c>
      <c r="C298" t="s">
        <v>2191</v>
      </c>
      <c r="D298" t="s">
        <v>2192</v>
      </c>
      <c r="E298" s="1">
        <v>46072.59302083333</v>
      </c>
      <c r="F298" t="s">
        <v>283</v>
      </c>
      <c r="G298" t="s">
        <v>776</v>
      </c>
      <c r="H298" t="s">
        <v>3670</v>
      </c>
      <c r="I298" t="s">
        <v>252</v>
      </c>
      <c r="J298" t="s">
        <v>253</v>
      </c>
      <c r="K298" t="s">
        <v>44</v>
      </c>
      <c r="M298" t="s">
        <v>3526</v>
      </c>
      <c r="O298" t="s">
        <v>3099</v>
      </c>
      <c r="P298" t="s">
        <v>3100</v>
      </c>
      <c r="Q298" t="s">
        <v>3678</v>
      </c>
      <c r="R298" t="s">
        <v>162</v>
      </c>
      <c r="S298" t="s">
        <v>163</v>
      </c>
      <c r="T298" t="s">
        <v>164</v>
      </c>
      <c r="U298" s="1">
        <v>46076.476168981484</v>
      </c>
      <c r="V298" t="s">
        <v>31</v>
      </c>
      <c r="W298" t="s">
        <v>33</v>
      </c>
      <c r="X298" t="s">
        <v>3536</v>
      </c>
      <c r="Y298" t="s">
        <v>3324</v>
      </c>
      <c r="Z298" t="s">
        <v>38</v>
      </c>
      <c r="AA298" t="s">
        <v>31</v>
      </c>
      <c r="AB298" t="s">
        <v>104</v>
      </c>
      <c r="AC298" t="s">
        <v>30</v>
      </c>
      <c r="AD298" t="s">
        <v>46</v>
      </c>
      <c r="AE298" t="s">
        <v>515</v>
      </c>
      <c r="AF298" t="s">
        <v>2177</v>
      </c>
      <c r="AG298" t="s">
        <v>38</v>
      </c>
      <c r="AH298">
        <v>15947</v>
      </c>
      <c r="AK298">
        <v>6</v>
      </c>
      <c r="AL298" t="s">
        <v>32</v>
      </c>
      <c r="AM298" t="s">
        <v>2193</v>
      </c>
      <c r="AN298" t="s">
        <v>2194</v>
      </c>
    </row>
    <row r="299" spans="1:40">
      <c r="A299" t="s">
        <v>2200</v>
      </c>
      <c r="B299" t="s">
        <v>34</v>
      </c>
      <c r="C299" t="s">
        <v>99</v>
      </c>
      <c r="D299" t="s">
        <v>2201</v>
      </c>
      <c r="E299" s="1">
        <v>46072.583506944444</v>
      </c>
      <c r="F299" t="s">
        <v>333</v>
      </c>
      <c r="G299" t="s">
        <v>776</v>
      </c>
      <c r="H299" t="s">
        <v>3671</v>
      </c>
      <c r="I299" t="s">
        <v>379</v>
      </c>
      <c r="J299" t="s">
        <v>253</v>
      </c>
      <c r="K299" t="s">
        <v>44</v>
      </c>
      <c r="M299" t="s">
        <v>3528</v>
      </c>
      <c r="O299" t="s">
        <v>3099</v>
      </c>
      <c r="P299" t="s">
        <v>3100</v>
      </c>
      <c r="R299" t="s">
        <v>46</v>
      </c>
      <c r="S299" t="s">
        <v>379</v>
      </c>
      <c r="T299" t="s">
        <v>379</v>
      </c>
      <c r="U299" s="1">
        <v>46072.6252662037</v>
      </c>
      <c r="V299" t="s">
        <v>31</v>
      </c>
      <c r="W299" t="s">
        <v>33</v>
      </c>
      <c r="X299" t="s">
        <v>3530</v>
      </c>
      <c r="Y299" t="s">
        <v>3322</v>
      </c>
      <c r="Z299" t="s">
        <v>1775</v>
      </c>
      <c r="AA299" t="s">
        <v>31</v>
      </c>
      <c r="AB299" t="s">
        <v>367</v>
      </c>
      <c r="AC299" t="s">
        <v>30</v>
      </c>
      <c r="AD299" t="s">
        <v>46</v>
      </c>
      <c r="AE299" t="s">
        <v>379</v>
      </c>
      <c r="AF299" t="s">
        <v>379</v>
      </c>
      <c r="AG299" t="s">
        <v>1775</v>
      </c>
      <c r="AH299">
        <v>6353</v>
      </c>
      <c r="AK299">
        <v>0</v>
      </c>
      <c r="AL299" t="s">
        <v>32</v>
      </c>
      <c r="AM299" t="s">
        <v>2202</v>
      </c>
      <c r="AN299" t="s">
        <v>2203</v>
      </c>
    </row>
    <row r="300" spans="1:40">
      <c r="A300" t="s">
        <v>2210</v>
      </c>
      <c r="B300" t="s">
        <v>24</v>
      </c>
      <c r="C300" t="s">
        <v>1383</v>
      </c>
      <c r="D300" t="s">
        <v>1384</v>
      </c>
      <c r="E300" s="1">
        <v>46072.563564814816</v>
      </c>
      <c r="F300" t="s">
        <v>702</v>
      </c>
      <c r="G300" t="s">
        <v>776</v>
      </c>
      <c r="H300" t="s">
        <v>3670</v>
      </c>
      <c r="I300" t="s">
        <v>2211</v>
      </c>
      <c r="J300" t="s">
        <v>253</v>
      </c>
      <c r="K300" t="s">
        <v>44</v>
      </c>
      <c r="M300" t="s">
        <v>3528</v>
      </c>
      <c r="O300" t="s">
        <v>3103</v>
      </c>
      <c r="P300" t="s">
        <v>3104</v>
      </c>
      <c r="R300" t="s">
        <v>46</v>
      </c>
      <c r="S300" t="s">
        <v>110</v>
      </c>
      <c r="T300" t="s">
        <v>111</v>
      </c>
      <c r="U300" s="1">
        <v>46072.565208333333</v>
      </c>
      <c r="V300" t="s">
        <v>31</v>
      </c>
      <c r="W300" t="s">
        <v>33</v>
      </c>
      <c r="X300" t="s">
        <v>3530</v>
      </c>
      <c r="Y300" t="s">
        <v>3325</v>
      </c>
      <c r="Z300" t="s">
        <v>1775</v>
      </c>
      <c r="AA300" t="s">
        <v>31</v>
      </c>
      <c r="AB300" t="s">
        <v>367</v>
      </c>
      <c r="AC300" t="s">
        <v>86</v>
      </c>
      <c r="AD300" t="s">
        <v>46</v>
      </c>
      <c r="AE300" t="s">
        <v>110</v>
      </c>
      <c r="AF300" t="s">
        <v>111</v>
      </c>
      <c r="AG300" t="s">
        <v>1775</v>
      </c>
      <c r="AH300">
        <v>15831</v>
      </c>
      <c r="AK300">
        <v>0</v>
      </c>
      <c r="AL300" t="s">
        <v>32</v>
      </c>
      <c r="AM300" t="s">
        <v>1386</v>
      </c>
      <c r="AN300" t="s">
        <v>1387</v>
      </c>
    </row>
    <row r="301" spans="1:40">
      <c r="A301" t="s">
        <v>2222</v>
      </c>
      <c r="B301" t="s">
        <v>34</v>
      </c>
      <c r="C301" t="s">
        <v>449</v>
      </c>
      <c r="D301" t="s">
        <v>125</v>
      </c>
      <c r="E301" s="1">
        <v>46072.549710648149</v>
      </c>
      <c r="F301" t="s">
        <v>128</v>
      </c>
      <c r="G301" t="s">
        <v>776</v>
      </c>
      <c r="H301" t="s">
        <v>3668</v>
      </c>
      <c r="I301" t="s">
        <v>535</v>
      </c>
      <c r="J301" t="s">
        <v>411</v>
      </c>
      <c r="K301" t="s">
        <v>44</v>
      </c>
      <c r="M301" t="s">
        <v>3528</v>
      </c>
      <c r="O301" t="s">
        <v>3099</v>
      </c>
      <c r="P301" t="s">
        <v>3100</v>
      </c>
      <c r="Q301" t="s">
        <v>3678</v>
      </c>
      <c r="R301" t="s">
        <v>46</v>
      </c>
      <c r="S301" t="s">
        <v>188</v>
      </c>
      <c r="T301" t="s">
        <v>431</v>
      </c>
      <c r="U301" s="1">
        <v>46072.550312500003</v>
      </c>
      <c r="V301" t="s">
        <v>31</v>
      </c>
      <c r="W301" t="s">
        <v>33</v>
      </c>
      <c r="X301" t="s">
        <v>3530</v>
      </c>
      <c r="Y301" t="s">
        <v>3326</v>
      </c>
      <c r="Z301" t="s">
        <v>1775</v>
      </c>
      <c r="AA301" t="s">
        <v>31</v>
      </c>
      <c r="AB301" t="s">
        <v>413</v>
      </c>
      <c r="AC301" t="s">
        <v>30</v>
      </c>
      <c r="AD301" t="s">
        <v>46</v>
      </c>
      <c r="AE301" t="s">
        <v>188</v>
      </c>
      <c r="AF301" t="s">
        <v>431</v>
      </c>
      <c r="AG301" t="s">
        <v>1775</v>
      </c>
      <c r="AH301">
        <v>15254</v>
      </c>
      <c r="AK301">
        <v>0</v>
      </c>
      <c r="AL301" t="s">
        <v>32</v>
      </c>
      <c r="AM301" t="s">
        <v>2223</v>
      </c>
      <c r="AN301" t="s">
        <v>2224</v>
      </c>
    </row>
    <row r="302" spans="1:40">
      <c r="A302" t="s">
        <v>2229</v>
      </c>
      <c r="B302" t="s">
        <v>34</v>
      </c>
      <c r="C302" t="s">
        <v>1964</v>
      </c>
      <c r="D302" t="s">
        <v>1965</v>
      </c>
      <c r="E302" s="1">
        <v>46072.536030092589</v>
      </c>
      <c r="F302" t="s">
        <v>26</v>
      </c>
      <c r="G302" t="s">
        <v>776</v>
      </c>
      <c r="H302" t="s">
        <v>3665</v>
      </c>
      <c r="I302" t="s">
        <v>421</v>
      </c>
      <c r="J302" t="s">
        <v>135</v>
      </c>
      <c r="K302" t="s">
        <v>134</v>
      </c>
      <c r="M302" t="s">
        <v>3526</v>
      </c>
      <c r="O302" t="s">
        <v>3099</v>
      </c>
      <c r="P302" t="s">
        <v>3100</v>
      </c>
      <c r="Q302" t="s">
        <v>3678</v>
      </c>
      <c r="R302" t="s">
        <v>162</v>
      </c>
      <c r="S302" t="s">
        <v>163</v>
      </c>
      <c r="T302" t="s">
        <v>164</v>
      </c>
      <c r="U302" s="1">
        <v>46078.48201388889</v>
      </c>
      <c r="V302" t="s">
        <v>31</v>
      </c>
      <c r="W302" t="s">
        <v>33</v>
      </c>
      <c r="X302" t="s">
        <v>3536</v>
      </c>
      <c r="Y302" t="s">
        <v>3327</v>
      </c>
      <c r="Z302" t="s">
        <v>38</v>
      </c>
      <c r="AA302" t="s">
        <v>31</v>
      </c>
      <c r="AB302" t="s">
        <v>104</v>
      </c>
      <c r="AC302" t="s">
        <v>30</v>
      </c>
      <c r="AD302" t="s">
        <v>46</v>
      </c>
      <c r="AE302" t="s">
        <v>197</v>
      </c>
      <c r="AF302" t="s">
        <v>875</v>
      </c>
      <c r="AG302" t="s">
        <v>38</v>
      </c>
      <c r="AH302" t="s">
        <v>3642</v>
      </c>
      <c r="AK302">
        <v>2</v>
      </c>
      <c r="AL302" t="s">
        <v>32</v>
      </c>
      <c r="AM302" t="s">
        <v>1966</v>
      </c>
      <c r="AN302" t="s">
        <v>1967</v>
      </c>
    </row>
    <row r="303" spans="1:40">
      <c r="A303" t="s">
        <v>2232</v>
      </c>
      <c r="B303" t="s">
        <v>34</v>
      </c>
      <c r="C303" t="s">
        <v>234</v>
      </c>
      <c r="D303" t="s">
        <v>990</v>
      </c>
      <c r="E303" s="1">
        <v>46072.532511574071</v>
      </c>
      <c r="F303" t="s">
        <v>67</v>
      </c>
      <c r="G303" t="s">
        <v>776</v>
      </c>
      <c r="H303" t="s">
        <v>3671</v>
      </c>
      <c r="I303" t="s">
        <v>1158</v>
      </c>
      <c r="J303" t="s">
        <v>1149</v>
      </c>
      <c r="K303" t="s">
        <v>44</v>
      </c>
      <c r="M303" t="s">
        <v>3528</v>
      </c>
      <c r="O303" t="s">
        <v>3099</v>
      </c>
      <c r="P303" t="s">
        <v>3100</v>
      </c>
      <c r="Q303" t="s">
        <v>3683</v>
      </c>
      <c r="R303" t="s">
        <v>46</v>
      </c>
      <c r="S303" t="s">
        <v>379</v>
      </c>
      <c r="T303" t="s">
        <v>379</v>
      </c>
      <c r="U303" s="1">
        <v>46072.547754629632</v>
      </c>
      <c r="V303" t="s">
        <v>31</v>
      </c>
      <c r="W303" t="s">
        <v>33</v>
      </c>
      <c r="X303" t="s">
        <v>3525</v>
      </c>
      <c r="Y303" t="s">
        <v>1158</v>
      </c>
      <c r="Z303" t="s">
        <v>1775</v>
      </c>
      <c r="AA303" t="s">
        <v>31</v>
      </c>
      <c r="AB303" t="s">
        <v>1150</v>
      </c>
      <c r="AC303" t="s">
        <v>30</v>
      </c>
      <c r="AD303" t="s">
        <v>46</v>
      </c>
      <c r="AE303" t="s">
        <v>379</v>
      </c>
      <c r="AF303" t="s">
        <v>379</v>
      </c>
      <c r="AG303" t="s">
        <v>1775</v>
      </c>
      <c r="AH303">
        <v>6054</v>
      </c>
      <c r="AK303">
        <v>0</v>
      </c>
      <c r="AL303" t="s">
        <v>32</v>
      </c>
      <c r="AM303" t="s">
        <v>2233</v>
      </c>
      <c r="AN303" t="s">
        <v>2234</v>
      </c>
    </row>
    <row r="304" spans="1:40">
      <c r="A304" t="s">
        <v>2235</v>
      </c>
      <c r="B304" t="s">
        <v>34</v>
      </c>
      <c r="C304" t="s">
        <v>2236</v>
      </c>
      <c r="D304" t="s">
        <v>2237</v>
      </c>
      <c r="E304" s="1">
        <v>46072.524398148147</v>
      </c>
      <c r="F304" t="s">
        <v>93</v>
      </c>
      <c r="G304" t="s">
        <v>776</v>
      </c>
      <c r="H304" t="s">
        <v>3666</v>
      </c>
      <c r="I304" t="s">
        <v>2238</v>
      </c>
      <c r="J304" t="s">
        <v>1149</v>
      </c>
      <c r="K304" t="s">
        <v>44</v>
      </c>
      <c r="M304" t="s">
        <v>3528</v>
      </c>
      <c r="O304" t="s">
        <v>3099</v>
      </c>
      <c r="P304" t="s">
        <v>3100</v>
      </c>
      <c r="Q304" t="s">
        <v>3678</v>
      </c>
      <c r="R304" t="s">
        <v>46</v>
      </c>
      <c r="S304" t="s">
        <v>110</v>
      </c>
      <c r="T304" t="s">
        <v>111</v>
      </c>
      <c r="U304" s="1">
        <v>46072.547314814816</v>
      </c>
      <c r="V304" t="s">
        <v>31</v>
      </c>
      <c r="W304" t="s">
        <v>33</v>
      </c>
      <c r="X304" t="s">
        <v>3530</v>
      </c>
      <c r="Y304" t="s">
        <v>3193</v>
      </c>
      <c r="Z304" t="s">
        <v>1775</v>
      </c>
      <c r="AA304" t="s">
        <v>31</v>
      </c>
      <c r="AB304" t="s">
        <v>1150</v>
      </c>
      <c r="AC304" t="s">
        <v>30</v>
      </c>
      <c r="AD304" t="s">
        <v>46</v>
      </c>
      <c r="AE304" t="s">
        <v>110</v>
      </c>
      <c r="AF304" t="s">
        <v>111</v>
      </c>
      <c r="AG304" t="s">
        <v>1775</v>
      </c>
      <c r="AH304" t="s">
        <v>3655</v>
      </c>
      <c r="AK304">
        <v>0</v>
      </c>
      <c r="AL304" t="s">
        <v>32</v>
      </c>
      <c r="AM304" t="s">
        <v>2239</v>
      </c>
      <c r="AN304" t="s">
        <v>2240</v>
      </c>
    </row>
    <row r="305" spans="1:40">
      <c r="A305" t="s">
        <v>2242</v>
      </c>
      <c r="B305" t="s">
        <v>34</v>
      </c>
      <c r="C305" t="s">
        <v>142</v>
      </c>
      <c r="D305" t="s">
        <v>2243</v>
      </c>
      <c r="E305" s="1">
        <v>46072.517361111109</v>
      </c>
      <c r="F305" t="s">
        <v>210</v>
      </c>
      <c r="G305" t="s">
        <v>776</v>
      </c>
      <c r="H305" t="s">
        <v>3667</v>
      </c>
      <c r="I305" t="s">
        <v>2244</v>
      </c>
      <c r="J305" t="s">
        <v>205</v>
      </c>
      <c r="K305" t="s">
        <v>44</v>
      </c>
      <c r="M305" t="s">
        <v>3528</v>
      </c>
      <c r="O305" t="s">
        <v>3099</v>
      </c>
      <c r="P305" t="s">
        <v>3100</v>
      </c>
      <c r="Q305" t="s">
        <v>3678</v>
      </c>
      <c r="R305" t="s">
        <v>46</v>
      </c>
      <c r="S305" t="s">
        <v>188</v>
      </c>
      <c r="T305" t="s">
        <v>521</v>
      </c>
      <c r="U305" s="1">
        <v>46072.525810185187</v>
      </c>
      <c r="V305" t="s">
        <v>31</v>
      </c>
      <c r="W305" t="s">
        <v>33</v>
      </c>
      <c r="X305" t="s">
        <v>3530</v>
      </c>
      <c r="Y305" t="s">
        <v>3328</v>
      </c>
      <c r="Z305" t="s">
        <v>1775</v>
      </c>
      <c r="AA305" t="s">
        <v>31</v>
      </c>
      <c r="AB305" t="s">
        <v>206</v>
      </c>
      <c r="AC305" t="s">
        <v>30</v>
      </c>
      <c r="AD305" t="s">
        <v>46</v>
      </c>
      <c r="AE305" t="s">
        <v>188</v>
      </c>
      <c r="AF305" t="s">
        <v>521</v>
      </c>
      <c r="AG305" t="s">
        <v>1775</v>
      </c>
      <c r="AH305" t="s">
        <v>3656</v>
      </c>
      <c r="AK305">
        <v>0</v>
      </c>
      <c r="AL305" t="s">
        <v>32</v>
      </c>
      <c r="AM305" t="s">
        <v>2245</v>
      </c>
      <c r="AN305" t="s">
        <v>2246</v>
      </c>
    </row>
    <row r="306" spans="1:40">
      <c r="A306" t="s">
        <v>2247</v>
      </c>
      <c r="B306" t="s">
        <v>34</v>
      </c>
      <c r="C306" t="s">
        <v>169</v>
      </c>
      <c r="D306" t="s">
        <v>195</v>
      </c>
      <c r="E306" s="1">
        <v>46072.53802083333</v>
      </c>
      <c r="F306" t="s">
        <v>26</v>
      </c>
      <c r="G306" t="s">
        <v>776</v>
      </c>
      <c r="H306" t="s">
        <v>3665</v>
      </c>
      <c r="I306" t="s">
        <v>2248</v>
      </c>
      <c r="J306" t="s">
        <v>733</v>
      </c>
      <c r="K306" t="s">
        <v>44</v>
      </c>
      <c r="M306" t="s">
        <v>3528</v>
      </c>
      <c r="O306" t="s">
        <v>3099</v>
      </c>
      <c r="P306" t="s">
        <v>3100</v>
      </c>
      <c r="Q306" t="s">
        <v>3678</v>
      </c>
      <c r="R306" t="s">
        <v>46</v>
      </c>
      <c r="S306" t="s">
        <v>110</v>
      </c>
      <c r="T306" t="s">
        <v>301</v>
      </c>
      <c r="U306" s="1">
        <v>46072.572395833333</v>
      </c>
      <c r="V306" t="s">
        <v>31</v>
      </c>
      <c r="W306" t="s">
        <v>33</v>
      </c>
      <c r="X306" t="s">
        <v>3530</v>
      </c>
      <c r="Y306" t="s">
        <v>3329</v>
      </c>
      <c r="Z306" t="s">
        <v>1775</v>
      </c>
      <c r="AA306" t="s">
        <v>31</v>
      </c>
      <c r="AB306" t="s">
        <v>726</v>
      </c>
      <c r="AC306" t="s">
        <v>30</v>
      </c>
      <c r="AD306" t="s">
        <v>46</v>
      </c>
      <c r="AE306" t="s">
        <v>110</v>
      </c>
      <c r="AF306" t="s">
        <v>3252</v>
      </c>
      <c r="AG306" t="s">
        <v>1775</v>
      </c>
      <c r="AH306">
        <v>15978</v>
      </c>
      <c r="AK306">
        <v>0</v>
      </c>
      <c r="AL306" t="s">
        <v>32</v>
      </c>
      <c r="AM306" t="s">
        <v>308</v>
      </c>
      <c r="AN306" t="s">
        <v>309</v>
      </c>
    </row>
    <row r="307" spans="1:40">
      <c r="A307" t="s">
        <v>2249</v>
      </c>
      <c r="B307" t="s">
        <v>24</v>
      </c>
      <c r="C307" t="s">
        <v>158</v>
      </c>
      <c r="D307" t="s">
        <v>2250</v>
      </c>
      <c r="E307" s="1">
        <v>46072.499201388891</v>
      </c>
      <c r="F307" t="s">
        <v>226</v>
      </c>
      <c r="G307" t="s">
        <v>776</v>
      </c>
      <c r="H307" t="s">
        <v>3665</v>
      </c>
      <c r="I307" t="s">
        <v>2251</v>
      </c>
      <c r="J307" t="s">
        <v>411</v>
      </c>
      <c r="K307" t="s">
        <v>44</v>
      </c>
      <c r="M307" t="s">
        <v>3528</v>
      </c>
      <c r="O307" t="s">
        <v>3103</v>
      </c>
      <c r="P307" t="s">
        <v>3104</v>
      </c>
      <c r="Q307" t="s">
        <v>3733</v>
      </c>
      <c r="R307" t="s">
        <v>46</v>
      </c>
      <c r="S307" t="s">
        <v>559</v>
      </c>
      <c r="T307" t="s">
        <v>48</v>
      </c>
      <c r="U307" s="1">
        <v>46072.500289351854</v>
      </c>
      <c r="V307" t="s">
        <v>31</v>
      </c>
      <c r="W307" t="s">
        <v>33</v>
      </c>
      <c r="X307" t="s">
        <v>3530</v>
      </c>
      <c r="Y307" t="e">
        <f>- Temp files had been deleted. - gpupdate /force had been done.</f>
        <v>#NAME?</v>
      </c>
      <c r="Z307" t="s">
        <v>1775</v>
      </c>
      <c r="AA307" t="s">
        <v>31</v>
      </c>
      <c r="AB307" t="s">
        <v>413</v>
      </c>
      <c r="AC307" t="s">
        <v>86</v>
      </c>
      <c r="AD307" t="s">
        <v>46</v>
      </c>
      <c r="AE307" t="s">
        <v>559</v>
      </c>
      <c r="AF307" t="s">
        <v>48</v>
      </c>
      <c r="AG307" t="s">
        <v>1775</v>
      </c>
      <c r="AH307">
        <v>12713</v>
      </c>
      <c r="AK307">
        <v>0</v>
      </c>
      <c r="AL307" t="s">
        <v>32</v>
      </c>
      <c r="AM307" t="s">
        <v>2252</v>
      </c>
      <c r="AN307" t="s">
        <v>2253</v>
      </c>
    </row>
    <row r="308" spans="1:40">
      <c r="A308" t="s">
        <v>2258</v>
      </c>
      <c r="B308" t="s">
        <v>34</v>
      </c>
      <c r="C308" t="s">
        <v>2259</v>
      </c>
      <c r="D308" t="s">
        <v>2260</v>
      </c>
      <c r="E308" s="1">
        <v>46072.495069444441</v>
      </c>
      <c r="F308" t="s">
        <v>77</v>
      </c>
      <c r="G308" t="s">
        <v>776</v>
      </c>
      <c r="H308" t="s">
        <v>3669</v>
      </c>
      <c r="I308" t="s">
        <v>119</v>
      </c>
      <c r="J308" t="s">
        <v>253</v>
      </c>
      <c r="K308" t="s">
        <v>44</v>
      </c>
      <c r="M308" t="s">
        <v>3528</v>
      </c>
      <c r="O308" t="s">
        <v>3099</v>
      </c>
      <c r="P308" t="s">
        <v>3100</v>
      </c>
      <c r="Q308" t="s">
        <v>3678</v>
      </c>
      <c r="R308" t="s">
        <v>162</v>
      </c>
      <c r="S308" t="s">
        <v>163</v>
      </c>
      <c r="T308" t="s">
        <v>164</v>
      </c>
      <c r="U308" s="1">
        <v>46072.571828703702</v>
      </c>
      <c r="V308" t="s">
        <v>31</v>
      </c>
      <c r="W308" t="s">
        <v>33</v>
      </c>
      <c r="X308" t="s">
        <v>3536</v>
      </c>
      <c r="Y308" t="s">
        <v>3294</v>
      </c>
      <c r="Z308" t="s">
        <v>1775</v>
      </c>
      <c r="AA308" t="s">
        <v>31</v>
      </c>
      <c r="AB308" t="s">
        <v>104</v>
      </c>
      <c r="AC308" t="s">
        <v>30</v>
      </c>
      <c r="AD308" t="s">
        <v>337</v>
      </c>
      <c r="AE308" t="s">
        <v>481</v>
      </c>
      <c r="AF308" t="s">
        <v>3154</v>
      </c>
      <c r="AG308" t="s">
        <v>1775</v>
      </c>
      <c r="AH308" t="s">
        <v>3657</v>
      </c>
      <c r="AK308">
        <v>2</v>
      </c>
      <c r="AL308" t="s">
        <v>32</v>
      </c>
      <c r="AM308" t="s">
        <v>2261</v>
      </c>
      <c r="AN308" t="s">
        <v>2262</v>
      </c>
    </row>
    <row r="309" spans="1:40">
      <c r="A309" t="s">
        <v>2263</v>
      </c>
      <c r="B309" t="s">
        <v>24</v>
      </c>
      <c r="C309" t="s">
        <v>2264</v>
      </c>
      <c r="D309" t="s">
        <v>2265</v>
      </c>
      <c r="E309" s="1">
        <v>46072.496446759258</v>
      </c>
      <c r="F309" t="s">
        <v>74</v>
      </c>
      <c r="G309" t="s">
        <v>776</v>
      </c>
      <c r="H309" t="s">
        <v>3665</v>
      </c>
      <c r="I309" t="s">
        <v>939</v>
      </c>
      <c r="J309" t="s">
        <v>411</v>
      </c>
      <c r="K309" t="s">
        <v>44</v>
      </c>
      <c r="M309" t="s">
        <v>3528</v>
      </c>
      <c r="O309" t="s">
        <v>3103</v>
      </c>
      <c r="P309" t="s">
        <v>3104</v>
      </c>
      <c r="Q309" t="s">
        <v>3678</v>
      </c>
      <c r="R309" t="s">
        <v>46</v>
      </c>
      <c r="S309" t="s">
        <v>374</v>
      </c>
      <c r="T309" t="s">
        <v>618</v>
      </c>
      <c r="U309" s="1">
        <v>46072.497766203705</v>
      </c>
      <c r="V309" t="s">
        <v>31</v>
      </c>
      <c r="W309" t="s">
        <v>33</v>
      </c>
      <c r="X309" t="s">
        <v>3530</v>
      </c>
      <c r="Y309" t="s">
        <v>3330</v>
      </c>
      <c r="Z309" t="s">
        <v>1775</v>
      </c>
      <c r="AA309" t="s">
        <v>31</v>
      </c>
      <c r="AB309" t="s">
        <v>413</v>
      </c>
      <c r="AC309" t="s">
        <v>86</v>
      </c>
      <c r="AD309" t="s">
        <v>46</v>
      </c>
      <c r="AE309" t="s">
        <v>374</v>
      </c>
      <c r="AF309" t="s">
        <v>618</v>
      </c>
      <c r="AG309" t="s">
        <v>1775</v>
      </c>
      <c r="AH309">
        <v>12733</v>
      </c>
      <c r="AK309">
        <v>0</v>
      </c>
      <c r="AL309" t="s">
        <v>32</v>
      </c>
      <c r="AM309" t="s">
        <v>2266</v>
      </c>
      <c r="AN309" t="s">
        <v>2267</v>
      </c>
    </row>
    <row r="310" spans="1:40">
      <c r="A310" t="s">
        <v>2268</v>
      </c>
      <c r="B310" t="s">
        <v>24</v>
      </c>
      <c r="C310" t="s">
        <v>53</v>
      </c>
      <c r="D310" t="s">
        <v>66</v>
      </c>
      <c r="E310" s="1">
        <v>46072.489293981482</v>
      </c>
      <c r="F310" t="s">
        <v>265</v>
      </c>
      <c r="G310" t="s">
        <v>776</v>
      </c>
      <c r="H310" t="s">
        <v>3671</v>
      </c>
      <c r="I310" t="s">
        <v>2269</v>
      </c>
      <c r="J310" t="s">
        <v>411</v>
      </c>
      <c r="K310" t="s">
        <v>44</v>
      </c>
      <c r="M310" t="s">
        <v>3528</v>
      </c>
      <c r="O310" t="s">
        <v>3103</v>
      </c>
      <c r="P310" t="s">
        <v>3104</v>
      </c>
      <c r="Q310" t="s">
        <v>3717</v>
      </c>
      <c r="R310" t="s">
        <v>46</v>
      </c>
      <c r="S310" t="s">
        <v>314</v>
      </c>
      <c r="T310" t="s">
        <v>2270</v>
      </c>
      <c r="U310" s="1">
        <v>46072.49423611111</v>
      </c>
      <c r="V310" t="s">
        <v>31</v>
      </c>
      <c r="W310" t="s">
        <v>33</v>
      </c>
      <c r="X310" t="s">
        <v>3530</v>
      </c>
      <c r="Y310" t="e">
        <f>- cleared Temp files. - gpupdate /force - Lenovo Drivers update.. - Restart the device</f>
        <v>#NAME?</v>
      </c>
      <c r="Z310" t="s">
        <v>1775</v>
      </c>
      <c r="AA310" t="s">
        <v>31</v>
      </c>
      <c r="AB310" t="s">
        <v>413</v>
      </c>
      <c r="AC310" t="s">
        <v>86</v>
      </c>
      <c r="AD310" t="s">
        <v>46</v>
      </c>
      <c r="AE310" t="s">
        <v>314</v>
      </c>
      <c r="AF310" t="s">
        <v>2270</v>
      </c>
      <c r="AG310" t="s">
        <v>1775</v>
      </c>
      <c r="AH310">
        <v>11148</v>
      </c>
      <c r="AK310">
        <v>1</v>
      </c>
      <c r="AL310" t="s">
        <v>32</v>
      </c>
      <c r="AM310" t="s">
        <v>1316</v>
      </c>
      <c r="AN310" t="s">
        <v>1317</v>
      </c>
    </row>
    <row r="311" spans="1:40">
      <c r="A311" t="s">
        <v>2276</v>
      </c>
      <c r="B311" t="s">
        <v>34</v>
      </c>
      <c r="C311" t="s">
        <v>2277</v>
      </c>
      <c r="D311" t="s">
        <v>2278</v>
      </c>
      <c r="E311" s="1">
        <v>46072.486932870372</v>
      </c>
      <c r="F311" t="s">
        <v>132</v>
      </c>
      <c r="G311" t="s">
        <v>776</v>
      </c>
      <c r="H311" t="s">
        <v>3665</v>
      </c>
      <c r="I311" t="s">
        <v>2279</v>
      </c>
      <c r="J311" t="s">
        <v>253</v>
      </c>
      <c r="K311" t="s">
        <v>44</v>
      </c>
      <c r="M311" t="s">
        <v>3528</v>
      </c>
      <c r="O311" t="s">
        <v>3099</v>
      </c>
      <c r="P311" t="s">
        <v>3100</v>
      </c>
      <c r="R311" t="s">
        <v>27</v>
      </c>
      <c r="S311" t="s">
        <v>28</v>
      </c>
      <c r="T311" t="s">
        <v>839</v>
      </c>
      <c r="U311" s="1">
        <v>46072.594050925924</v>
      </c>
      <c r="V311" t="s">
        <v>31</v>
      </c>
      <c r="W311" t="s">
        <v>33</v>
      </c>
      <c r="X311" t="s">
        <v>3530</v>
      </c>
      <c r="Y311" t="s">
        <v>3331</v>
      </c>
      <c r="Z311" t="s">
        <v>1775</v>
      </c>
      <c r="AA311" t="s">
        <v>31</v>
      </c>
      <c r="AB311" t="s">
        <v>367</v>
      </c>
      <c r="AC311" t="s">
        <v>30</v>
      </c>
      <c r="AD311" t="s">
        <v>27</v>
      </c>
      <c r="AE311" t="s">
        <v>28</v>
      </c>
      <c r="AF311" t="s">
        <v>839</v>
      </c>
      <c r="AG311" t="s">
        <v>1775</v>
      </c>
      <c r="AH311">
        <v>12460</v>
      </c>
      <c r="AK311">
        <v>2</v>
      </c>
      <c r="AL311" t="s">
        <v>32</v>
      </c>
      <c r="AM311" t="s">
        <v>2280</v>
      </c>
      <c r="AN311" t="s">
        <v>2281</v>
      </c>
    </row>
    <row r="312" spans="1:40">
      <c r="A312" t="s">
        <v>2283</v>
      </c>
      <c r="B312" t="s">
        <v>34</v>
      </c>
      <c r="C312" t="s">
        <v>2284</v>
      </c>
      <c r="D312" t="s">
        <v>2285</v>
      </c>
      <c r="E312" s="1">
        <v>46072.480925925927</v>
      </c>
      <c r="F312" t="s">
        <v>353</v>
      </c>
      <c r="G312" t="s">
        <v>776</v>
      </c>
      <c r="H312" t="s">
        <v>3671</v>
      </c>
      <c r="I312" t="s">
        <v>109</v>
      </c>
      <c r="J312" t="s">
        <v>1149</v>
      </c>
      <c r="K312" t="s">
        <v>44</v>
      </c>
      <c r="M312" t="s">
        <v>3528</v>
      </c>
      <c r="O312" t="s">
        <v>3099</v>
      </c>
      <c r="P312" t="s">
        <v>3100</v>
      </c>
      <c r="Q312" t="s">
        <v>3689</v>
      </c>
      <c r="R312" t="s">
        <v>46</v>
      </c>
      <c r="S312" t="s">
        <v>110</v>
      </c>
      <c r="T312" t="s">
        <v>111</v>
      </c>
      <c r="U312" s="1">
        <v>46072.48128472222</v>
      </c>
      <c r="V312" t="s">
        <v>31</v>
      </c>
      <c r="W312" t="s">
        <v>33</v>
      </c>
      <c r="X312" t="s">
        <v>3530</v>
      </c>
      <c r="Y312" t="s">
        <v>3193</v>
      </c>
      <c r="Z312" t="s">
        <v>1775</v>
      </c>
      <c r="AA312" t="s">
        <v>31</v>
      </c>
      <c r="AB312" t="s">
        <v>1150</v>
      </c>
      <c r="AC312" t="s">
        <v>30</v>
      </c>
      <c r="AD312" t="s">
        <v>46</v>
      </c>
      <c r="AE312" t="s">
        <v>110</v>
      </c>
      <c r="AF312" t="s">
        <v>111</v>
      </c>
      <c r="AG312" t="s">
        <v>1775</v>
      </c>
      <c r="AH312">
        <v>487</v>
      </c>
      <c r="AK312">
        <v>0</v>
      </c>
      <c r="AL312" t="s">
        <v>32</v>
      </c>
      <c r="AM312" t="s">
        <v>2286</v>
      </c>
      <c r="AN312" t="s">
        <v>2287</v>
      </c>
    </row>
    <row r="313" spans="1:40">
      <c r="A313" t="s">
        <v>2288</v>
      </c>
      <c r="B313" t="s">
        <v>34</v>
      </c>
      <c r="C313" t="s">
        <v>2289</v>
      </c>
      <c r="D313" t="s">
        <v>2290</v>
      </c>
      <c r="E313" s="1">
        <v>46072.478738425925</v>
      </c>
      <c r="F313" t="s">
        <v>26</v>
      </c>
      <c r="G313" t="s">
        <v>776</v>
      </c>
      <c r="H313" t="s">
        <v>3665</v>
      </c>
      <c r="I313" t="s">
        <v>2291</v>
      </c>
      <c r="J313" t="s">
        <v>290</v>
      </c>
      <c r="K313" t="s">
        <v>44</v>
      </c>
      <c r="M313" t="s">
        <v>3528</v>
      </c>
      <c r="O313" t="s">
        <v>3099</v>
      </c>
      <c r="P313" t="s">
        <v>3100</v>
      </c>
      <c r="Q313" t="s">
        <v>3678</v>
      </c>
      <c r="R313" t="s">
        <v>46</v>
      </c>
      <c r="S313" t="s">
        <v>515</v>
      </c>
      <c r="T313" t="s">
        <v>516</v>
      </c>
      <c r="U313" s="1">
        <v>46072.479004629633</v>
      </c>
      <c r="V313" t="s">
        <v>31</v>
      </c>
      <c r="W313" t="s">
        <v>33</v>
      </c>
      <c r="X313" t="s">
        <v>3530</v>
      </c>
      <c r="Y313" t="s">
        <v>3332</v>
      </c>
      <c r="Z313" t="s">
        <v>1775</v>
      </c>
      <c r="AA313" t="s">
        <v>31</v>
      </c>
      <c r="AB313" t="s">
        <v>190</v>
      </c>
      <c r="AC313" t="s">
        <v>30</v>
      </c>
      <c r="AD313" t="s">
        <v>46</v>
      </c>
      <c r="AE313" t="s">
        <v>515</v>
      </c>
      <c r="AF313" t="s">
        <v>3143</v>
      </c>
      <c r="AG313" t="s">
        <v>1775</v>
      </c>
      <c r="AH313" t="s">
        <v>3658</v>
      </c>
      <c r="AK313">
        <v>0</v>
      </c>
      <c r="AL313" t="s">
        <v>32</v>
      </c>
      <c r="AM313" t="s">
        <v>2292</v>
      </c>
      <c r="AN313" t="s">
        <v>2293</v>
      </c>
    </row>
    <row r="314" spans="1:40">
      <c r="A314" t="s">
        <v>2294</v>
      </c>
      <c r="B314" t="s">
        <v>34</v>
      </c>
      <c r="C314" t="s">
        <v>402</v>
      </c>
      <c r="D314" t="s">
        <v>1693</v>
      </c>
      <c r="E314" s="1">
        <v>46072.477372685185</v>
      </c>
      <c r="F314" t="s">
        <v>132</v>
      </c>
      <c r="G314" t="s">
        <v>776</v>
      </c>
      <c r="H314" t="s">
        <v>3665</v>
      </c>
      <c r="I314" t="s">
        <v>633</v>
      </c>
      <c r="J314" t="s">
        <v>817</v>
      </c>
      <c r="K314" t="s">
        <v>134</v>
      </c>
      <c r="M314" t="s">
        <v>3526</v>
      </c>
      <c r="O314" t="s">
        <v>3099</v>
      </c>
      <c r="P314" t="s">
        <v>3100</v>
      </c>
      <c r="Q314" t="s">
        <v>3678</v>
      </c>
      <c r="R314" t="s">
        <v>162</v>
      </c>
      <c r="S314" t="s">
        <v>163</v>
      </c>
      <c r="T314" t="s">
        <v>164</v>
      </c>
      <c r="U314" s="1">
        <v>46077.439131944448</v>
      </c>
      <c r="V314" t="s">
        <v>31</v>
      </c>
      <c r="W314" t="s">
        <v>33</v>
      </c>
      <c r="X314" t="s">
        <v>3536</v>
      </c>
      <c r="Y314" t="s">
        <v>3333</v>
      </c>
      <c r="Z314" t="s">
        <v>38</v>
      </c>
      <c r="AA314" t="s">
        <v>31</v>
      </c>
      <c r="AB314" t="s">
        <v>104</v>
      </c>
      <c r="AC314" t="s">
        <v>30</v>
      </c>
      <c r="AD314" t="s">
        <v>46</v>
      </c>
      <c r="AE314" t="s">
        <v>659</v>
      </c>
      <c r="AF314" t="s">
        <v>3243</v>
      </c>
      <c r="AG314" t="s">
        <v>38</v>
      </c>
      <c r="AH314">
        <v>14581</v>
      </c>
      <c r="AK314">
        <v>4</v>
      </c>
      <c r="AL314" t="s">
        <v>32</v>
      </c>
      <c r="AM314" t="s">
        <v>2295</v>
      </c>
      <c r="AN314" t="s">
        <v>2296</v>
      </c>
    </row>
    <row r="315" spans="1:40">
      <c r="A315" t="s">
        <v>2299</v>
      </c>
      <c r="B315" t="s">
        <v>24</v>
      </c>
      <c r="C315" t="s">
        <v>2300</v>
      </c>
      <c r="D315" t="s">
        <v>2301</v>
      </c>
      <c r="E315" s="1">
        <v>46072.469895833332</v>
      </c>
      <c r="F315" t="s">
        <v>755</v>
      </c>
      <c r="G315" t="s">
        <v>776</v>
      </c>
      <c r="H315" t="s">
        <v>3669</v>
      </c>
      <c r="I315" t="s">
        <v>2302</v>
      </c>
      <c r="J315" t="s">
        <v>2157</v>
      </c>
      <c r="K315" t="s">
        <v>134</v>
      </c>
      <c r="M315" t="s">
        <v>3528</v>
      </c>
      <c r="O315" t="s">
        <v>3103</v>
      </c>
      <c r="P315" t="s">
        <v>3104</v>
      </c>
      <c r="Q315" t="s">
        <v>3678</v>
      </c>
      <c r="R315" t="s">
        <v>162</v>
      </c>
      <c r="S315" t="s">
        <v>163</v>
      </c>
      <c r="T315" t="s">
        <v>164</v>
      </c>
      <c r="U315" s="1">
        <v>46072.502199074072</v>
      </c>
      <c r="V315" t="s">
        <v>31</v>
      </c>
      <c r="W315" t="s">
        <v>33</v>
      </c>
      <c r="X315" t="s">
        <v>3536</v>
      </c>
      <c r="Y315" t="s">
        <v>3334</v>
      </c>
      <c r="Z315" t="s">
        <v>1775</v>
      </c>
      <c r="AA315" t="s">
        <v>31</v>
      </c>
      <c r="AB315" t="s">
        <v>104</v>
      </c>
      <c r="AC315" t="s">
        <v>86</v>
      </c>
      <c r="AD315" t="s">
        <v>3336</v>
      </c>
      <c r="AE315" t="s">
        <v>188</v>
      </c>
      <c r="AF315" t="s">
        <v>3335</v>
      </c>
      <c r="AG315" t="s">
        <v>1775</v>
      </c>
      <c r="AH315">
        <v>11298</v>
      </c>
      <c r="AK315">
        <v>2</v>
      </c>
      <c r="AL315" t="s">
        <v>32</v>
      </c>
      <c r="AM315" t="s">
        <v>2303</v>
      </c>
      <c r="AN315" t="s">
        <v>2304</v>
      </c>
    </row>
    <row r="316" spans="1:40">
      <c r="A316" t="s">
        <v>2305</v>
      </c>
      <c r="B316" t="s">
        <v>24</v>
      </c>
      <c r="C316" t="s">
        <v>2264</v>
      </c>
      <c r="D316" t="s">
        <v>2265</v>
      </c>
      <c r="E316" s="1">
        <v>46072.464803240742</v>
      </c>
      <c r="F316" t="s">
        <v>74</v>
      </c>
      <c r="G316" t="s">
        <v>776</v>
      </c>
      <c r="H316" t="s">
        <v>3665</v>
      </c>
      <c r="I316" t="s">
        <v>453</v>
      </c>
      <c r="J316" t="s">
        <v>411</v>
      </c>
      <c r="K316" t="s">
        <v>44</v>
      </c>
      <c r="M316" t="s">
        <v>3528</v>
      </c>
      <c r="O316" t="s">
        <v>3103</v>
      </c>
      <c r="P316" t="s">
        <v>3104</v>
      </c>
      <c r="Q316" t="s">
        <v>3678</v>
      </c>
      <c r="R316" t="s">
        <v>46</v>
      </c>
      <c r="S316" t="s">
        <v>313</v>
      </c>
      <c r="T316" t="s">
        <v>314</v>
      </c>
      <c r="U316" s="1">
        <v>46072.466319444444</v>
      </c>
      <c r="V316" t="s">
        <v>31</v>
      </c>
      <c r="W316" t="s">
        <v>33</v>
      </c>
      <c r="X316" t="s">
        <v>3530</v>
      </c>
      <c r="Y316" t="e">
        <f>- Clear saved credeintials. - Creat new profile. - Clear Temp files.</f>
        <v>#NAME?</v>
      </c>
      <c r="Z316" t="s">
        <v>1775</v>
      </c>
      <c r="AA316" t="s">
        <v>31</v>
      </c>
      <c r="AB316" t="s">
        <v>413</v>
      </c>
      <c r="AC316" t="s">
        <v>86</v>
      </c>
      <c r="AD316" t="s">
        <v>46</v>
      </c>
      <c r="AE316" t="s">
        <v>313</v>
      </c>
      <c r="AF316" t="s">
        <v>314</v>
      </c>
      <c r="AG316" t="s">
        <v>1775</v>
      </c>
      <c r="AH316">
        <v>12733</v>
      </c>
      <c r="AK316">
        <v>0</v>
      </c>
      <c r="AL316" t="s">
        <v>32</v>
      </c>
      <c r="AM316" t="s">
        <v>2266</v>
      </c>
      <c r="AN316" t="s">
        <v>2267</v>
      </c>
    </row>
    <row r="317" spans="1:40">
      <c r="A317" t="s">
        <v>2306</v>
      </c>
      <c r="B317" t="s">
        <v>34</v>
      </c>
      <c r="C317" t="s">
        <v>1781</v>
      </c>
      <c r="D317" t="s">
        <v>116</v>
      </c>
      <c r="E317" s="1">
        <v>46072.472071759257</v>
      </c>
      <c r="F317" t="s">
        <v>470</v>
      </c>
      <c r="G317" t="s">
        <v>776</v>
      </c>
      <c r="H317" t="s">
        <v>3671</v>
      </c>
      <c r="I317" t="s">
        <v>2307</v>
      </c>
      <c r="J317" t="s">
        <v>205</v>
      </c>
      <c r="K317" t="s">
        <v>44</v>
      </c>
      <c r="M317" t="s">
        <v>3528</v>
      </c>
      <c r="O317" t="s">
        <v>3099</v>
      </c>
      <c r="P317" t="s">
        <v>3100</v>
      </c>
      <c r="Q317" t="s">
        <v>3678</v>
      </c>
      <c r="R317" t="s">
        <v>46</v>
      </c>
      <c r="S317" t="s">
        <v>188</v>
      </c>
      <c r="T317" t="s">
        <v>521</v>
      </c>
      <c r="U317" s="1">
        <v>46072.489560185182</v>
      </c>
      <c r="V317" t="s">
        <v>31</v>
      </c>
      <c r="W317" t="s">
        <v>33</v>
      </c>
      <c r="X317" t="s">
        <v>3530</v>
      </c>
      <c r="Y317" t="s">
        <v>3337</v>
      </c>
      <c r="Z317" t="s">
        <v>1775</v>
      </c>
      <c r="AA317" t="s">
        <v>31</v>
      </c>
      <c r="AB317" t="s">
        <v>206</v>
      </c>
      <c r="AC317" t="s">
        <v>30</v>
      </c>
      <c r="AD317" t="s">
        <v>46</v>
      </c>
      <c r="AE317" t="s">
        <v>188</v>
      </c>
      <c r="AF317" t="s">
        <v>521</v>
      </c>
      <c r="AG317" t="s">
        <v>1775</v>
      </c>
      <c r="AH317" t="s">
        <v>3659</v>
      </c>
      <c r="AK317">
        <v>0</v>
      </c>
      <c r="AL317" t="s">
        <v>32</v>
      </c>
      <c r="AM317" t="s">
        <v>2308</v>
      </c>
      <c r="AN317" t="s">
        <v>2309</v>
      </c>
    </row>
    <row r="318" spans="1:40">
      <c r="A318" t="s">
        <v>2310</v>
      </c>
      <c r="B318" t="s">
        <v>34</v>
      </c>
      <c r="C318" t="s">
        <v>457</v>
      </c>
      <c r="D318" t="s">
        <v>458</v>
      </c>
      <c r="E318" s="1">
        <v>46072.460162037038</v>
      </c>
      <c r="F318" t="s">
        <v>62</v>
      </c>
      <c r="G318" t="s">
        <v>776</v>
      </c>
      <c r="H318" t="s">
        <v>3668</v>
      </c>
      <c r="I318" t="s">
        <v>109</v>
      </c>
      <c r="J318" t="s">
        <v>1149</v>
      </c>
      <c r="K318" t="s">
        <v>44</v>
      </c>
      <c r="M318" t="s">
        <v>3528</v>
      </c>
      <c r="O318" t="s">
        <v>3099</v>
      </c>
      <c r="P318" t="s">
        <v>3100</v>
      </c>
      <c r="Q318" t="s">
        <v>3678</v>
      </c>
      <c r="R318" t="s">
        <v>46</v>
      </c>
      <c r="S318" t="s">
        <v>110</v>
      </c>
      <c r="T318" t="s">
        <v>111</v>
      </c>
      <c r="U318" s="1">
        <v>46072.464479166665</v>
      </c>
      <c r="V318" t="s">
        <v>31</v>
      </c>
      <c r="W318" t="s">
        <v>33</v>
      </c>
      <c r="X318" t="s">
        <v>3530</v>
      </c>
      <c r="Y318" t="s">
        <v>3193</v>
      </c>
      <c r="Z318" t="s">
        <v>1775</v>
      </c>
      <c r="AA318" t="s">
        <v>31</v>
      </c>
      <c r="AB318" t="s">
        <v>1150</v>
      </c>
      <c r="AC318" t="s">
        <v>30</v>
      </c>
      <c r="AD318" t="s">
        <v>46</v>
      </c>
      <c r="AE318" t="s">
        <v>110</v>
      </c>
      <c r="AF318" t="s">
        <v>111</v>
      </c>
      <c r="AG318" t="s">
        <v>1775</v>
      </c>
      <c r="AH318">
        <v>15898</v>
      </c>
      <c r="AK318">
        <v>0</v>
      </c>
      <c r="AL318" t="s">
        <v>32</v>
      </c>
      <c r="AM318" t="s">
        <v>461</v>
      </c>
      <c r="AN318" t="s">
        <v>462</v>
      </c>
    </row>
    <row r="319" spans="1:40">
      <c r="A319" t="s">
        <v>2311</v>
      </c>
      <c r="B319" t="s">
        <v>34</v>
      </c>
      <c r="C319" t="s">
        <v>2312</v>
      </c>
      <c r="D319" t="s">
        <v>2313</v>
      </c>
      <c r="E319" s="1">
        <v>46072.461469907408</v>
      </c>
      <c r="F319" t="s">
        <v>210</v>
      </c>
      <c r="G319" t="s">
        <v>776</v>
      </c>
      <c r="H319" t="s">
        <v>3667</v>
      </c>
      <c r="I319" t="s">
        <v>230</v>
      </c>
      <c r="J319" t="s">
        <v>179</v>
      </c>
      <c r="K319" t="s">
        <v>44</v>
      </c>
      <c r="M319" t="s">
        <v>3528</v>
      </c>
      <c r="O319" t="s">
        <v>3099</v>
      </c>
      <c r="P319" t="s">
        <v>3100</v>
      </c>
      <c r="Q319" t="s">
        <v>3716</v>
      </c>
      <c r="R319" t="s">
        <v>46</v>
      </c>
      <c r="S319" t="s">
        <v>136</v>
      </c>
      <c r="T319" t="s">
        <v>136</v>
      </c>
      <c r="U319" s="1">
        <v>46072.465671296297</v>
      </c>
      <c r="V319" t="s">
        <v>31</v>
      </c>
      <c r="W319" t="s">
        <v>33</v>
      </c>
      <c r="X319" t="s">
        <v>3525</v>
      </c>
      <c r="Y319" t="s">
        <v>3338</v>
      </c>
      <c r="Z319" t="s">
        <v>1775</v>
      </c>
      <c r="AA319" t="s">
        <v>31</v>
      </c>
      <c r="AB319" t="s">
        <v>350</v>
      </c>
      <c r="AC319" t="s">
        <v>30</v>
      </c>
      <c r="AD319" t="s">
        <v>46</v>
      </c>
      <c r="AE319" t="s">
        <v>3339</v>
      </c>
      <c r="AF319" t="s">
        <v>3339</v>
      </c>
      <c r="AG319" t="s">
        <v>1775</v>
      </c>
      <c r="AH319">
        <v>10855</v>
      </c>
      <c r="AK319">
        <v>2</v>
      </c>
      <c r="AL319" t="s">
        <v>181</v>
      </c>
      <c r="AM319" t="s">
        <v>2314</v>
      </c>
      <c r="AN319" t="s">
        <v>2315</v>
      </c>
    </row>
    <row r="320" spans="1:40">
      <c r="A320" t="s">
        <v>2316</v>
      </c>
      <c r="B320" t="s">
        <v>34</v>
      </c>
      <c r="C320" t="s">
        <v>346</v>
      </c>
      <c r="D320" t="s">
        <v>2317</v>
      </c>
      <c r="E320" s="1">
        <v>46072.45722222222</v>
      </c>
      <c r="F320" t="s">
        <v>26</v>
      </c>
      <c r="G320" t="s">
        <v>776</v>
      </c>
      <c r="H320" t="s">
        <v>3665</v>
      </c>
      <c r="I320" t="s">
        <v>2318</v>
      </c>
      <c r="J320" t="s">
        <v>411</v>
      </c>
      <c r="K320" t="s">
        <v>44</v>
      </c>
      <c r="M320" t="s">
        <v>3528</v>
      </c>
      <c r="O320" t="s">
        <v>3099</v>
      </c>
      <c r="P320" t="s">
        <v>3100</v>
      </c>
      <c r="Q320" t="s">
        <v>3678</v>
      </c>
      <c r="R320" t="s">
        <v>46</v>
      </c>
      <c r="S320" t="s">
        <v>379</v>
      </c>
      <c r="T320" t="s">
        <v>379</v>
      </c>
      <c r="U320" s="1">
        <v>46072.457800925928</v>
      </c>
      <c r="V320" t="s">
        <v>31</v>
      </c>
      <c r="W320" t="s">
        <v>33</v>
      </c>
      <c r="X320" t="s">
        <v>3530</v>
      </c>
      <c r="Y320" t="s">
        <v>3340</v>
      </c>
      <c r="Z320" t="s">
        <v>1775</v>
      </c>
      <c r="AA320" t="s">
        <v>31</v>
      </c>
      <c r="AB320" t="s">
        <v>413</v>
      </c>
      <c r="AC320" t="s">
        <v>30</v>
      </c>
      <c r="AD320" t="s">
        <v>46</v>
      </c>
      <c r="AE320" t="s">
        <v>379</v>
      </c>
      <c r="AF320" t="s">
        <v>379</v>
      </c>
      <c r="AG320" t="s">
        <v>1775</v>
      </c>
      <c r="AH320">
        <v>12169</v>
      </c>
      <c r="AK320">
        <v>0</v>
      </c>
      <c r="AL320" t="s">
        <v>32</v>
      </c>
      <c r="AM320" t="s">
        <v>2319</v>
      </c>
      <c r="AN320" t="s">
        <v>2320</v>
      </c>
    </row>
    <row r="321" spans="1:40">
      <c r="A321" t="s">
        <v>2321</v>
      </c>
      <c r="B321" t="s">
        <v>24</v>
      </c>
      <c r="C321" t="s">
        <v>2322</v>
      </c>
      <c r="D321" t="s">
        <v>607</v>
      </c>
      <c r="E321" s="1">
        <v>46072.454479166663</v>
      </c>
      <c r="F321" t="s">
        <v>210</v>
      </c>
      <c r="G321" t="s">
        <v>776</v>
      </c>
      <c r="H321" t="s">
        <v>3667</v>
      </c>
      <c r="I321" t="s">
        <v>187</v>
      </c>
      <c r="J321" t="s">
        <v>273</v>
      </c>
      <c r="K321" t="s">
        <v>134</v>
      </c>
      <c r="M321" t="s">
        <v>3526</v>
      </c>
      <c r="O321" t="s">
        <v>3103</v>
      </c>
      <c r="P321" t="s">
        <v>3104</v>
      </c>
      <c r="Q321" t="s">
        <v>3678</v>
      </c>
      <c r="R321" t="s">
        <v>46</v>
      </c>
      <c r="S321" t="s">
        <v>188</v>
      </c>
      <c r="T321" t="s">
        <v>189</v>
      </c>
      <c r="U321" s="1">
        <v>46076.514618055553</v>
      </c>
      <c r="V321" t="s">
        <v>31</v>
      </c>
      <c r="W321" t="s">
        <v>33</v>
      </c>
      <c r="X321" t="s">
        <v>3525</v>
      </c>
      <c r="Y321" t="s">
        <v>3341</v>
      </c>
      <c r="Z321" t="s">
        <v>38</v>
      </c>
      <c r="AA321" t="s">
        <v>31</v>
      </c>
      <c r="AB321" t="s">
        <v>243</v>
      </c>
      <c r="AC321" t="s">
        <v>86</v>
      </c>
      <c r="AD321" t="s">
        <v>46</v>
      </c>
      <c r="AE321" t="s">
        <v>188</v>
      </c>
      <c r="AF321" t="s">
        <v>189</v>
      </c>
      <c r="AG321" t="s">
        <v>38</v>
      </c>
      <c r="AH321">
        <v>15206</v>
      </c>
      <c r="AK321">
        <v>4</v>
      </c>
      <c r="AL321" t="s">
        <v>32</v>
      </c>
      <c r="AM321" t="s">
        <v>2323</v>
      </c>
      <c r="AN321" t="s">
        <v>2324</v>
      </c>
    </row>
    <row r="322" spans="1:40">
      <c r="A322" t="s">
        <v>2325</v>
      </c>
      <c r="B322" t="s">
        <v>34</v>
      </c>
      <c r="C322" t="s">
        <v>1781</v>
      </c>
      <c r="D322" t="s">
        <v>116</v>
      </c>
      <c r="E322" s="1">
        <v>46072.452222222222</v>
      </c>
      <c r="F322" t="s">
        <v>470</v>
      </c>
      <c r="G322" t="s">
        <v>776</v>
      </c>
      <c r="H322" t="s">
        <v>3671</v>
      </c>
      <c r="I322" t="s">
        <v>2326</v>
      </c>
      <c r="J322" t="s">
        <v>205</v>
      </c>
      <c r="K322" t="s">
        <v>44</v>
      </c>
      <c r="M322" t="s">
        <v>3528</v>
      </c>
      <c r="O322" t="s">
        <v>3099</v>
      </c>
      <c r="P322" t="s">
        <v>3100</v>
      </c>
      <c r="Q322" t="s">
        <v>3678</v>
      </c>
      <c r="R322" t="s">
        <v>46</v>
      </c>
      <c r="S322" t="s">
        <v>188</v>
      </c>
      <c r="T322" t="s">
        <v>521</v>
      </c>
      <c r="U322" s="1">
        <v>46072.453229166669</v>
      </c>
      <c r="V322" t="s">
        <v>31</v>
      </c>
      <c r="W322" t="s">
        <v>33</v>
      </c>
      <c r="X322" t="s">
        <v>3530</v>
      </c>
      <c r="Y322" t="s">
        <v>3342</v>
      </c>
      <c r="Z322" t="s">
        <v>1775</v>
      </c>
      <c r="AA322" t="s">
        <v>31</v>
      </c>
      <c r="AB322" t="s">
        <v>206</v>
      </c>
      <c r="AC322" t="s">
        <v>30</v>
      </c>
      <c r="AD322" t="s">
        <v>46</v>
      </c>
      <c r="AE322" t="s">
        <v>188</v>
      </c>
      <c r="AF322" t="s">
        <v>521</v>
      </c>
      <c r="AG322" t="s">
        <v>1775</v>
      </c>
      <c r="AH322" t="s">
        <v>3659</v>
      </c>
      <c r="AK322">
        <v>0</v>
      </c>
      <c r="AL322" t="s">
        <v>32</v>
      </c>
      <c r="AM322" t="s">
        <v>2308</v>
      </c>
      <c r="AN322" t="s">
        <v>2309</v>
      </c>
    </row>
    <row r="323" spans="1:40">
      <c r="A323" t="s">
        <v>2327</v>
      </c>
      <c r="B323" t="s">
        <v>34</v>
      </c>
      <c r="C323" t="s">
        <v>2328</v>
      </c>
      <c r="D323" t="s">
        <v>2329</v>
      </c>
      <c r="E323" s="1">
        <v>46072.451678240737</v>
      </c>
      <c r="F323" t="s">
        <v>153</v>
      </c>
      <c r="G323" t="s">
        <v>776</v>
      </c>
      <c r="H323" t="s">
        <v>3669</v>
      </c>
      <c r="I323" t="s">
        <v>2330</v>
      </c>
      <c r="J323" t="s">
        <v>2157</v>
      </c>
      <c r="K323" t="s">
        <v>134</v>
      </c>
      <c r="M323" t="s">
        <v>3528</v>
      </c>
      <c r="O323" t="s">
        <v>3099</v>
      </c>
      <c r="P323" t="s">
        <v>3100</v>
      </c>
      <c r="Q323" t="s">
        <v>3734</v>
      </c>
      <c r="R323" t="s">
        <v>46</v>
      </c>
      <c r="S323" t="s">
        <v>365</v>
      </c>
      <c r="T323" t="s">
        <v>1287</v>
      </c>
      <c r="U323" s="1">
        <v>46072.465405092589</v>
      </c>
      <c r="V323" t="s">
        <v>31</v>
      </c>
      <c r="W323" t="s">
        <v>33</v>
      </c>
      <c r="X323" t="s">
        <v>3525</v>
      </c>
      <c r="Y323" t="s">
        <v>3343</v>
      </c>
      <c r="Z323" t="s">
        <v>1775</v>
      </c>
      <c r="AA323" t="s">
        <v>31</v>
      </c>
      <c r="AB323" t="s">
        <v>243</v>
      </c>
      <c r="AC323" t="s">
        <v>30</v>
      </c>
      <c r="AD323" t="s">
        <v>46</v>
      </c>
      <c r="AE323" t="s">
        <v>365</v>
      </c>
      <c r="AF323" t="s">
        <v>1287</v>
      </c>
      <c r="AG323" t="s">
        <v>1775</v>
      </c>
      <c r="AH323">
        <v>6584</v>
      </c>
      <c r="AK323">
        <v>1</v>
      </c>
      <c r="AL323" t="s">
        <v>32</v>
      </c>
      <c r="AM323" t="s">
        <v>2331</v>
      </c>
      <c r="AN323" t="s">
        <v>2332</v>
      </c>
    </row>
    <row r="324" spans="1:40">
      <c r="A324" t="s">
        <v>2333</v>
      </c>
      <c r="B324" t="s">
        <v>24</v>
      </c>
      <c r="C324" t="s">
        <v>525</v>
      </c>
      <c r="D324" t="s">
        <v>526</v>
      </c>
      <c r="E324" s="1">
        <v>46072.454247685186</v>
      </c>
      <c r="F324" t="s">
        <v>62</v>
      </c>
      <c r="G324" t="s">
        <v>776</v>
      </c>
      <c r="H324" t="s">
        <v>3668</v>
      </c>
      <c r="I324" t="s">
        <v>2334</v>
      </c>
      <c r="J324" t="s">
        <v>179</v>
      </c>
      <c r="K324" t="s">
        <v>44</v>
      </c>
      <c r="M324" t="s">
        <v>3526</v>
      </c>
      <c r="O324" t="s">
        <v>3103</v>
      </c>
      <c r="P324" t="s">
        <v>3104</v>
      </c>
      <c r="Q324" t="s">
        <v>3678</v>
      </c>
      <c r="R324" t="s">
        <v>46</v>
      </c>
      <c r="S324" t="s">
        <v>443</v>
      </c>
      <c r="T324" t="s">
        <v>444</v>
      </c>
      <c r="U324" s="1">
        <v>46077.46125</v>
      </c>
      <c r="V324" t="s">
        <v>31</v>
      </c>
      <c r="W324" t="s">
        <v>33</v>
      </c>
      <c r="X324" t="s">
        <v>3530</v>
      </c>
      <c r="Y324" t="s">
        <v>3344</v>
      </c>
      <c r="Z324" t="s">
        <v>38</v>
      </c>
      <c r="AA324" t="s">
        <v>31</v>
      </c>
      <c r="AB324" t="s">
        <v>350</v>
      </c>
      <c r="AC324" t="s">
        <v>86</v>
      </c>
      <c r="AD324" t="s">
        <v>46</v>
      </c>
      <c r="AE324" t="s">
        <v>3113</v>
      </c>
      <c r="AF324" t="s">
        <v>3112</v>
      </c>
      <c r="AG324" t="s">
        <v>38</v>
      </c>
      <c r="AH324" t="s">
        <v>3561</v>
      </c>
      <c r="AK324">
        <v>2</v>
      </c>
      <c r="AL324" t="s">
        <v>32</v>
      </c>
      <c r="AM324" t="s">
        <v>527</v>
      </c>
      <c r="AN324" t="s">
        <v>528</v>
      </c>
    </row>
    <row r="325" spans="1:40">
      <c r="A325" t="s">
        <v>2335</v>
      </c>
      <c r="B325" t="s">
        <v>34</v>
      </c>
      <c r="C325" t="s">
        <v>402</v>
      </c>
      <c r="D325" t="s">
        <v>403</v>
      </c>
      <c r="E325" s="1">
        <v>46072.449791666666</v>
      </c>
      <c r="F325" t="s">
        <v>298</v>
      </c>
      <c r="G325" t="s">
        <v>776</v>
      </c>
      <c r="H325" t="s">
        <v>3669</v>
      </c>
      <c r="I325" t="s">
        <v>2336</v>
      </c>
      <c r="J325" t="s">
        <v>1149</v>
      </c>
      <c r="K325" t="s">
        <v>44</v>
      </c>
      <c r="M325" t="s">
        <v>3528</v>
      </c>
      <c r="O325" t="s">
        <v>3099</v>
      </c>
      <c r="P325" t="s">
        <v>3100</v>
      </c>
      <c r="Q325" t="s">
        <v>3678</v>
      </c>
      <c r="R325" t="s">
        <v>46</v>
      </c>
      <c r="S325" t="s">
        <v>47</v>
      </c>
      <c r="T325" t="s">
        <v>48</v>
      </c>
      <c r="U325" s="1">
        <v>46072.457175925927</v>
      </c>
      <c r="V325" t="s">
        <v>31</v>
      </c>
      <c r="W325" t="s">
        <v>33</v>
      </c>
      <c r="X325" t="s">
        <v>3530</v>
      </c>
      <c r="Y325" t="s">
        <v>3196</v>
      </c>
      <c r="Z325" t="s">
        <v>1775</v>
      </c>
      <c r="AA325" t="s">
        <v>31</v>
      </c>
      <c r="AB325" t="s">
        <v>1150</v>
      </c>
      <c r="AC325" t="s">
        <v>30</v>
      </c>
      <c r="AD325" t="s">
        <v>46</v>
      </c>
      <c r="AE325" t="s">
        <v>47</v>
      </c>
      <c r="AF325" t="s">
        <v>48</v>
      </c>
      <c r="AG325" t="s">
        <v>1775</v>
      </c>
      <c r="AH325">
        <v>12597</v>
      </c>
      <c r="AK325">
        <v>0</v>
      </c>
      <c r="AL325" t="s">
        <v>32</v>
      </c>
      <c r="AM325" t="s">
        <v>404</v>
      </c>
      <c r="AN325" t="s">
        <v>405</v>
      </c>
    </row>
    <row r="326" spans="1:40">
      <c r="A326" t="s">
        <v>2343</v>
      </c>
      <c r="B326" t="s">
        <v>34</v>
      </c>
      <c r="C326" t="s">
        <v>1781</v>
      </c>
      <c r="D326" t="s">
        <v>116</v>
      </c>
      <c r="E326" s="1">
        <v>46072.441631944443</v>
      </c>
      <c r="F326" t="s">
        <v>470</v>
      </c>
      <c r="G326" t="s">
        <v>776</v>
      </c>
      <c r="H326" t="s">
        <v>3671</v>
      </c>
      <c r="I326" t="s">
        <v>590</v>
      </c>
      <c r="J326" t="s">
        <v>205</v>
      </c>
      <c r="K326" t="s">
        <v>44</v>
      </c>
      <c r="M326" t="s">
        <v>3528</v>
      </c>
      <c r="O326" t="s">
        <v>3099</v>
      </c>
      <c r="P326" t="s">
        <v>3100</v>
      </c>
      <c r="Q326" t="s">
        <v>3678</v>
      </c>
      <c r="R326" t="s">
        <v>46</v>
      </c>
      <c r="S326" t="s">
        <v>379</v>
      </c>
      <c r="T326" t="s">
        <v>379</v>
      </c>
      <c r="U326" s="1">
        <v>46072.442187499997</v>
      </c>
      <c r="V326" t="s">
        <v>31</v>
      </c>
      <c r="W326" t="s">
        <v>33</v>
      </c>
      <c r="X326" t="s">
        <v>3530</v>
      </c>
      <c r="Y326" t="s">
        <v>3132</v>
      </c>
      <c r="Z326" t="s">
        <v>1775</v>
      </c>
      <c r="AA326" t="s">
        <v>31</v>
      </c>
      <c r="AB326" t="s">
        <v>206</v>
      </c>
      <c r="AC326" t="s">
        <v>30</v>
      </c>
      <c r="AD326" t="s">
        <v>46</v>
      </c>
      <c r="AE326" t="s">
        <v>379</v>
      </c>
      <c r="AF326" t="s">
        <v>379</v>
      </c>
      <c r="AG326" t="s">
        <v>1775</v>
      </c>
      <c r="AH326" t="s">
        <v>3659</v>
      </c>
      <c r="AK326">
        <v>0</v>
      </c>
      <c r="AL326" t="s">
        <v>32</v>
      </c>
      <c r="AM326" t="s">
        <v>2308</v>
      </c>
      <c r="AN326" t="s">
        <v>2309</v>
      </c>
    </row>
    <row r="327" spans="1:40">
      <c r="A327" t="s">
        <v>2344</v>
      </c>
      <c r="B327" t="s">
        <v>34</v>
      </c>
      <c r="C327" t="s">
        <v>447</v>
      </c>
      <c r="D327" t="s">
        <v>2345</v>
      </c>
      <c r="E327" s="1">
        <v>46072.453217592592</v>
      </c>
      <c r="F327" t="s">
        <v>226</v>
      </c>
      <c r="G327" t="s">
        <v>776</v>
      </c>
      <c r="H327" t="s">
        <v>3665</v>
      </c>
      <c r="I327" t="s">
        <v>2346</v>
      </c>
      <c r="J327" t="s">
        <v>733</v>
      </c>
      <c r="K327" t="s">
        <v>44</v>
      </c>
      <c r="M327" t="s">
        <v>3528</v>
      </c>
      <c r="O327" t="s">
        <v>3099</v>
      </c>
      <c r="P327" t="s">
        <v>3100</v>
      </c>
      <c r="Q327" t="s">
        <v>3678</v>
      </c>
      <c r="R327" t="s">
        <v>46</v>
      </c>
      <c r="S327" t="s">
        <v>47</v>
      </c>
      <c r="T327" t="s">
        <v>48</v>
      </c>
      <c r="U327" s="1">
        <v>46072.573587962965</v>
      </c>
      <c r="V327" t="s">
        <v>31</v>
      </c>
      <c r="W327" t="s">
        <v>33</v>
      </c>
      <c r="X327" t="s">
        <v>3530</v>
      </c>
      <c r="Y327" t="s">
        <v>3345</v>
      </c>
      <c r="Z327" t="s">
        <v>1775</v>
      </c>
      <c r="AA327" t="s">
        <v>31</v>
      </c>
      <c r="AB327" t="s">
        <v>726</v>
      </c>
      <c r="AC327" t="s">
        <v>30</v>
      </c>
      <c r="AD327" t="s">
        <v>46</v>
      </c>
      <c r="AE327" t="s">
        <v>47</v>
      </c>
      <c r="AF327" t="s">
        <v>48</v>
      </c>
      <c r="AG327" t="s">
        <v>1775</v>
      </c>
      <c r="AH327">
        <v>11949</v>
      </c>
      <c r="AK327">
        <v>0</v>
      </c>
      <c r="AL327" t="s">
        <v>32</v>
      </c>
      <c r="AM327" t="s">
        <v>2347</v>
      </c>
      <c r="AN327" t="s">
        <v>2348</v>
      </c>
    </row>
    <row r="328" spans="1:40">
      <c r="A328" t="s">
        <v>2349</v>
      </c>
      <c r="B328" t="s">
        <v>24</v>
      </c>
      <c r="C328" t="s">
        <v>1673</v>
      </c>
      <c r="D328" t="s">
        <v>1028</v>
      </c>
      <c r="E328" s="1">
        <v>46072.437789351854</v>
      </c>
      <c r="F328" t="s">
        <v>118</v>
      </c>
      <c r="G328" t="s">
        <v>776</v>
      </c>
      <c r="H328" t="s">
        <v>3666</v>
      </c>
      <c r="I328" t="s">
        <v>2350</v>
      </c>
      <c r="J328" t="s">
        <v>290</v>
      </c>
      <c r="K328" t="s">
        <v>44</v>
      </c>
      <c r="M328" t="s">
        <v>3528</v>
      </c>
      <c r="O328" t="s">
        <v>3103</v>
      </c>
      <c r="P328" t="s">
        <v>3104</v>
      </c>
      <c r="Q328" t="s">
        <v>3678</v>
      </c>
      <c r="R328" t="s">
        <v>46</v>
      </c>
      <c r="S328" t="s">
        <v>374</v>
      </c>
      <c r="T328" t="s">
        <v>618</v>
      </c>
      <c r="U328" s="1">
        <v>46072.466990740744</v>
      </c>
      <c r="V328" t="s">
        <v>31</v>
      </c>
      <c r="W328" t="s">
        <v>33</v>
      </c>
      <c r="X328" t="s">
        <v>3530</v>
      </c>
      <c r="Y328" t="s">
        <v>3346</v>
      </c>
      <c r="Z328" t="s">
        <v>1775</v>
      </c>
      <c r="AA328" t="s">
        <v>31</v>
      </c>
      <c r="AB328" t="s">
        <v>190</v>
      </c>
      <c r="AC328" t="s">
        <v>86</v>
      </c>
      <c r="AD328" t="s">
        <v>46</v>
      </c>
      <c r="AE328" t="s">
        <v>374</v>
      </c>
      <c r="AF328" t="s">
        <v>618</v>
      </c>
      <c r="AG328" t="s">
        <v>1775</v>
      </c>
      <c r="AH328">
        <v>15272</v>
      </c>
      <c r="AK328">
        <v>0</v>
      </c>
      <c r="AL328" t="s">
        <v>181</v>
      </c>
      <c r="AM328" t="s">
        <v>2351</v>
      </c>
      <c r="AN328" t="s">
        <v>2352</v>
      </c>
    </row>
    <row r="329" spans="1:40">
      <c r="A329" t="s">
        <v>2353</v>
      </c>
      <c r="B329" t="s">
        <v>34</v>
      </c>
      <c r="C329" t="s">
        <v>483</v>
      </c>
      <c r="D329" t="s">
        <v>2354</v>
      </c>
      <c r="E329" s="1">
        <v>46072.435069444444</v>
      </c>
      <c r="F329" t="s">
        <v>424</v>
      </c>
      <c r="G329" t="s">
        <v>776</v>
      </c>
      <c r="H329" t="s">
        <v>3668</v>
      </c>
      <c r="I329" t="s">
        <v>2355</v>
      </c>
      <c r="J329" t="s">
        <v>733</v>
      </c>
      <c r="K329" t="s">
        <v>44</v>
      </c>
      <c r="M329" t="s">
        <v>3528</v>
      </c>
      <c r="O329" t="s">
        <v>3099</v>
      </c>
      <c r="P329" t="s">
        <v>3100</v>
      </c>
      <c r="Q329" t="s">
        <v>3678</v>
      </c>
      <c r="R329" t="s">
        <v>46</v>
      </c>
      <c r="S329" t="s">
        <v>379</v>
      </c>
      <c r="T329" t="s">
        <v>379</v>
      </c>
      <c r="U329" s="1">
        <v>46072.572951388887</v>
      </c>
      <c r="V329" t="s">
        <v>31</v>
      </c>
      <c r="W329" t="s">
        <v>33</v>
      </c>
      <c r="X329" t="s">
        <v>3530</v>
      </c>
      <c r="Y329" t="s">
        <v>2355</v>
      </c>
      <c r="Z329" t="s">
        <v>1775</v>
      </c>
      <c r="AA329" t="s">
        <v>31</v>
      </c>
      <c r="AB329" t="s">
        <v>726</v>
      </c>
      <c r="AC329" t="s">
        <v>30</v>
      </c>
      <c r="AD329" t="s">
        <v>46</v>
      </c>
      <c r="AE329" t="s">
        <v>379</v>
      </c>
      <c r="AF329" t="s">
        <v>379</v>
      </c>
      <c r="AG329" t="s">
        <v>1775</v>
      </c>
      <c r="AH329">
        <v>15713</v>
      </c>
      <c r="AK329">
        <v>0</v>
      </c>
      <c r="AL329" t="s">
        <v>32</v>
      </c>
      <c r="AM329" t="s">
        <v>2356</v>
      </c>
      <c r="AN329" t="s">
        <v>2357</v>
      </c>
    </row>
    <row r="330" spans="1:40">
      <c r="A330" t="s">
        <v>2363</v>
      </c>
      <c r="B330" t="s">
        <v>34</v>
      </c>
      <c r="C330" t="s">
        <v>2364</v>
      </c>
      <c r="D330" t="s">
        <v>2365</v>
      </c>
      <c r="E330" s="1">
        <v>46072.426377314812</v>
      </c>
      <c r="F330" t="s">
        <v>93</v>
      </c>
      <c r="G330" t="s">
        <v>776</v>
      </c>
      <c r="H330" t="s">
        <v>3666</v>
      </c>
      <c r="I330" t="s">
        <v>95</v>
      </c>
      <c r="J330" t="s">
        <v>1301</v>
      </c>
      <c r="K330" t="s">
        <v>134</v>
      </c>
      <c r="M330" t="s">
        <v>3528</v>
      </c>
      <c r="O330" t="s">
        <v>3099</v>
      </c>
      <c r="P330" t="s">
        <v>3100</v>
      </c>
      <c r="Q330" t="s">
        <v>3678</v>
      </c>
      <c r="R330" t="s">
        <v>162</v>
      </c>
      <c r="S330" t="s">
        <v>163</v>
      </c>
      <c r="T330" t="s">
        <v>164</v>
      </c>
      <c r="U330" s="1">
        <v>46072.518043981479</v>
      </c>
      <c r="V330" t="s">
        <v>31</v>
      </c>
      <c r="W330" t="s">
        <v>33</v>
      </c>
      <c r="X330" t="s">
        <v>3536</v>
      </c>
      <c r="Y330" t="s">
        <v>3347</v>
      </c>
      <c r="Z330" t="s">
        <v>1775</v>
      </c>
      <c r="AA330" t="s">
        <v>31</v>
      </c>
      <c r="AB330" t="s">
        <v>104</v>
      </c>
      <c r="AC330" t="s">
        <v>30</v>
      </c>
      <c r="AD330" t="s">
        <v>46</v>
      </c>
      <c r="AE330" t="s">
        <v>682</v>
      </c>
      <c r="AF330" t="s">
        <v>3231</v>
      </c>
      <c r="AG330" t="s">
        <v>1775</v>
      </c>
      <c r="AH330">
        <v>15143</v>
      </c>
      <c r="AK330">
        <v>2</v>
      </c>
      <c r="AL330" t="s">
        <v>32</v>
      </c>
      <c r="AM330" t="s">
        <v>2366</v>
      </c>
      <c r="AN330" t="s">
        <v>2367</v>
      </c>
    </row>
    <row r="331" spans="1:40">
      <c r="A331" t="s">
        <v>2368</v>
      </c>
      <c r="B331" t="s">
        <v>34</v>
      </c>
      <c r="C331" t="s">
        <v>2369</v>
      </c>
      <c r="D331" t="s">
        <v>2370</v>
      </c>
      <c r="E331" s="1">
        <v>46072.42596064815</v>
      </c>
      <c r="F331" t="s">
        <v>153</v>
      </c>
      <c r="G331" t="s">
        <v>776</v>
      </c>
      <c r="H331" t="s">
        <v>3669</v>
      </c>
      <c r="I331" t="s">
        <v>1038</v>
      </c>
      <c r="J331" t="s">
        <v>473</v>
      </c>
      <c r="K331" t="s">
        <v>44</v>
      </c>
      <c r="M331" t="s">
        <v>3526</v>
      </c>
      <c r="O331" t="s">
        <v>3099</v>
      </c>
      <c r="P331" t="s">
        <v>3100</v>
      </c>
      <c r="Q331" t="s">
        <v>3680</v>
      </c>
      <c r="R331" t="s">
        <v>162</v>
      </c>
      <c r="S331" t="s">
        <v>163</v>
      </c>
      <c r="T331" t="s">
        <v>164</v>
      </c>
      <c r="U331" s="1">
        <v>46078.438425925924</v>
      </c>
      <c r="V331" t="s">
        <v>31</v>
      </c>
      <c r="W331" t="s">
        <v>33</v>
      </c>
      <c r="X331" t="s">
        <v>3536</v>
      </c>
      <c r="Y331" t="s">
        <v>3348</v>
      </c>
      <c r="Z331" t="s">
        <v>38</v>
      </c>
      <c r="AA331" t="s">
        <v>31</v>
      </c>
      <c r="AB331" t="s">
        <v>104</v>
      </c>
      <c r="AC331" t="s">
        <v>30</v>
      </c>
      <c r="AD331" t="s">
        <v>46</v>
      </c>
      <c r="AE331" t="s">
        <v>110</v>
      </c>
      <c r="AF331" t="s">
        <v>3349</v>
      </c>
      <c r="AG331" t="s">
        <v>38</v>
      </c>
      <c r="AH331">
        <v>6329</v>
      </c>
      <c r="AK331">
        <v>5</v>
      </c>
      <c r="AL331" t="s">
        <v>32</v>
      </c>
      <c r="AM331" t="s">
        <v>2371</v>
      </c>
      <c r="AN331" t="s">
        <v>2372</v>
      </c>
    </row>
    <row r="332" spans="1:40">
      <c r="A332" t="s">
        <v>2373</v>
      </c>
      <c r="B332" t="s">
        <v>24</v>
      </c>
      <c r="C332" t="s">
        <v>984</v>
      </c>
      <c r="D332" t="s">
        <v>598</v>
      </c>
      <c r="E332" s="1">
        <v>46072.424201388887</v>
      </c>
      <c r="F332" t="s">
        <v>333</v>
      </c>
      <c r="G332" t="s">
        <v>776</v>
      </c>
      <c r="H332" t="s">
        <v>3671</v>
      </c>
      <c r="I332" t="s">
        <v>2374</v>
      </c>
      <c r="J332" t="s">
        <v>179</v>
      </c>
      <c r="K332" t="s">
        <v>44</v>
      </c>
      <c r="M332" t="s">
        <v>3526</v>
      </c>
      <c r="O332" t="s">
        <v>3103</v>
      </c>
      <c r="P332" t="s">
        <v>3104</v>
      </c>
      <c r="R332" t="s">
        <v>46</v>
      </c>
      <c r="S332" t="s">
        <v>454</v>
      </c>
      <c r="T332" t="s">
        <v>455</v>
      </c>
      <c r="U332" s="1">
        <v>46076.504131944443</v>
      </c>
      <c r="V332" t="s">
        <v>31</v>
      </c>
      <c r="W332" t="s">
        <v>33</v>
      </c>
      <c r="X332" t="s">
        <v>3530</v>
      </c>
      <c r="Y332" t="s">
        <v>3236</v>
      </c>
      <c r="Z332" t="s">
        <v>38</v>
      </c>
      <c r="AA332" t="s">
        <v>31</v>
      </c>
      <c r="AB332" t="s">
        <v>350</v>
      </c>
      <c r="AC332" t="s">
        <v>86</v>
      </c>
      <c r="AD332" t="s">
        <v>46</v>
      </c>
      <c r="AE332" t="s">
        <v>454</v>
      </c>
      <c r="AF332" t="s">
        <v>3350</v>
      </c>
      <c r="AG332" t="s">
        <v>38</v>
      </c>
      <c r="AH332">
        <v>11680</v>
      </c>
      <c r="AK332">
        <v>2</v>
      </c>
      <c r="AL332" t="s">
        <v>32</v>
      </c>
      <c r="AM332" t="s">
        <v>1045</v>
      </c>
      <c r="AN332" t="s">
        <v>1046</v>
      </c>
    </row>
    <row r="333" spans="1:40">
      <c r="A333" t="s">
        <v>2375</v>
      </c>
      <c r="B333" t="s">
        <v>34</v>
      </c>
      <c r="C333" t="s">
        <v>1240</v>
      </c>
      <c r="D333" t="s">
        <v>79</v>
      </c>
      <c r="E333" s="1">
        <v>46072.422893518517</v>
      </c>
      <c r="F333" t="s">
        <v>74</v>
      </c>
      <c r="G333" t="s">
        <v>776</v>
      </c>
      <c r="H333" t="s">
        <v>3665</v>
      </c>
      <c r="I333" t="s">
        <v>109</v>
      </c>
      <c r="J333" t="s">
        <v>1149</v>
      </c>
      <c r="K333" t="s">
        <v>44</v>
      </c>
      <c r="M333" t="s">
        <v>3528</v>
      </c>
      <c r="O333" t="s">
        <v>3099</v>
      </c>
      <c r="P333" t="s">
        <v>3100</v>
      </c>
      <c r="Q333" t="s">
        <v>3678</v>
      </c>
      <c r="R333" t="s">
        <v>46</v>
      </c>
      <c r="S333" t="s">
        <v>110</v>
      </c>
      <c r="T333" t="s">
        <v>111</v>
      </c>
      <c r="U333" s="1">
        <v>46072.457465277781</v>
      </c>
      <c r="V333" t="s">
        <v>31</v>
      </c>
      <c r="W333" t="s">
        <v>33</v>
      </c>
      <c r="X333" t="s">
        <v>3530</v>
      </c>
      <c r="Y333" t="s">
        <v>3193</v>
      </c>
      <c r="Z333" t="s">
        <v>1775</v>
      </c>
      <c r="AA333" t="s">
        <v>31</v>
      </c>
      <c r="AB333" t="s">
        <v>1150</v>
      </c>
      <c r="AC333" t="s">
        <v>30</v>
      </c>
      <c r="AD333" t="s">
        <v>46</v>
      </c>
      <c r="AE333" t="s">
        <v>110</v>
      </c>
      <c r="AF333" t="s">
        <v>111</v>
      </c>
      <c r="AG333" t="s">
        <v>1775</v>
      </c>
      <c r="AH333">
        <v>15383</v>
      </c>
      <c r="AK333">
        <v>0</v>
      </c>
      <c r="AL333" t="s">
        <v>32</v>
      </c>
      <c r="AM333" t="s">
        <v>1242</v>
      </c>
      <c r="AN333" t="s">
        <v>1243</v>
      </c>
    </row>
    <row r="334" spans="1:40">
      <c r="A334" t="s">
        <v>2376</v>
      </c>
      <c r="B334" t="s">
        <v>34</v>
      </c>
      <c r="C334" t="s">
        <v>2377</v>
      </c>
      <c r="D334" t="s">
        <v>2378</v>
      </c>
      <c r="E334" s="1">
        <v>46072.420706018522</v>
      </c>
      <c r="F334" t="s">
        <v>804</v>
      </c>
      <c r="G334" t="s">
        <v>776</v>
      </c>
      <c r="H334" t="s">
        <v>3669</v>
      </c>
      <c r="I334" t="s">
        <v>590</v>
      </c>
      <c r="J334" t="s">
        <v>205</v>
      </c>
      <c r="K334" t="s">
        <v>44</v>
      </c>
      <c r="M334" t="s">
        <v>3528</v>
      </c>
      <c r="O334" t="s">
        <v>3099</v>
      </c>
      <c r="P334" t="s">
        <v>3100</v>
      </c>
      <c r="Q334" t="s">
        <v>3700</v>
      </c>
      <c r="R334" t="s">
        <v>46</v>
      </c>
      <c r="S334" t="s">
        <v>379</v>
      </c>
      <c r="T334" t="s">
        <v>379</v>
      </c>
      <c r="U334" s="1">
        <v>46072.420972222222</v>
      </c>
      <c r="V334" t="s">
        <v>31</v>
      </c>
      <c r="W334" t="s">
        <v>33</v>
      </c>
      <c r="X334" t="s">
        <v>3530</v>
      </c>
      <c r="Y334" t="s">
        <v>3132</v>
      </c>
      <c r="Z334" t="s">
        <v>1775</v>
      </c>
      <c r="AA334" t="s">
        <v>31</v>
      </c>
      <c r="AB334" t="s">
        <v>206</v>
      </c>
      <c r="AC334" t="s">
        <v>30</v>
      </c>
      <c r="AD334" t="s">
        <v>46</v>
      </c>
      <c r="AE334" t="s">
        <v>379</v>
      </c>
      <c r="AF334" t="s">
        <v>379</v>
      </c>
      <c r="AG334" t="s">
        <v>1775</v>
      </c>
      <c r="AH334">
        <v>1050</v>
      </c>
      <c r="AK334">
        <v>0</v>
      </c>
      <c r="AL334" t="s">
        <v>32</v>
      </c>
      <c r="AM334" t="s">
        <v>2379</v>
      </c>
      <c r="AN334" t="s">
        <v>2380</v>
      </c>
    </row>
    <row r="335" spans="1:40">
      <c r="A335" t="s">
        <v>2386</v>
      </c>
      <c r="B335" t="s">
        <v>34</v>
      </c>
      <c r="C335" t="s">
        <v>1240</v>
      </c>
      <c r="D335" t="s">
        <v>79</v>
      </c>
      <c r="E335" s="1">
        <v>46072.411481481482</v>
      </c>
      <c r="F335" t="s">
        <v>74</v>
      </c>
      <c r="G335" t="s">
        <v>776</v>
      </c>
      <c r="H335" t="s">
        <v>3665</v>
      </c>
      <c r="I335" t="s">
        <v>80</v>
      </c>
      <c r="J335" t="s">
        <v>290</v>
      </c>
      <c r="K335" t="s">
        <v>44</v>
      </c>
      <c r="M335" t="s">
        <v>3528</v>
      </c>
      <c r="O335" t="s">
        <v>3099</v>
      </c>
      <c r="P335" t="s">
        <v>3100</v>
      </c>
      <c r="Q335" t="s">
        <v>3678</v>
      </c>
      <c r="R335" t="s">
        <v>46</v>
      </c>
      <c r="S335" t="s">
        <v>379</v>
      </c>
      <c r="T335" t="s">
        <v>379</v>
      </c>
      <c r="U335" s="1">
        <v>46072.412395833337</v>
      </c>
      <c r="V335" t="s">
        <v>31</v>
      </c>
      <c r="W335" t="s">
        <v>33</v>
      </c>
      <c r="X335" t="s">
        <v>3530</v>
      </c>
      <c r="Y335" t="s">
        <v>3351</v>
      </c>
      <c r="Z335" t="s">
        <v>1775</v>
      </c>
      <c r="AA335" t="s">
        <v>31</v>
      </c>
      <c r="AB335" t="s">
        <v>190</v>
      </c>
      <c r="AC335" t="s">
        <v>30</v>
      </c>
      <c r="AD335" t="s">
        <v>46</v>
      </c>
      <c r="AE335" t="s">
        <v>379</v>
      </c>
      <c r="AF335" t="s">
        <v>379</v>
      </c>
      <c r="AG335" t="s">
        <v>1775</v>
      </c>
      <c r="AH335">
        <v>15383</v>
      </c>
      <c r="AK335">
        <v>0</v>
      </c>
      <c r="AL335" t="s">
        <v>32</v>
      </c>
      <c r="AM335" t="s">
        <v>1242</v>
      </c>
      <c r="AN335" t="s">
        <v>1243</v>
      </c>
    </row>
    <row r="336" spans="1:40">
      <c r="A336" t="s">
        <v>2387</v>
      </c>
      <c r="B336" t="s">
        <v>34</v>
      </c>
      <c r="C336" t="s">
        <v>142</v>
      </c>
      <c r="D336" t="s">
        <v>2243</v>
      </c>
      <c r="E336" s="1">
        <v>46072.408784722225</v>
      </c>
      <c r="F336" t="s">
        <v>210</v>
      </c>
      <c r="G336" t="s">
        <v>776</v>
      </c>
      <c r="H336" t="s">
        <v>3667</v>
      </c>
      <c r="I336" t="s">
        <v>80</v>
      </c>
      <c r="J336" t="s">
        <v>290</v>
      </c>
      <c r="K336" t="s">
        <v>44</v>
      </c>
      <c r="M336" t="s">
        <v>3528</v>
      </c>
      <c r="O336" t="s">
        <v>3099</v>
      </c>
      <c r="P336" t="s">
        <v>3100</v>
      </c>
      <c r="Q336" t="s">
        <v>3678</v>
      </c>
      <c r="R336" t="s">
        <v>46</v>
      </c>
      <c r="S336" t="s">
        <v>379</v>
      </c>
      <c r="T336" t="s">
        <v>379</v>
      </c>
      <c r="U336" s="1">
        <v>46072.409525462965</v>
      </c>
      <c r="V336" t="s">
        <v>31</v>
      </c>
      <c r="W336" t="s">
        <v>33</v>
      </c>
      <c r="X336" t="s">
        <v>3530</v>
      </c>
      <c r="Y336" t="s">
        <v>3351</v>
      </c>
      <c r="Z336" t="s">
        <v>1775</v>
      </c>
      <c r="AA336" t="s">
        <v>31</v>
      </c>
      <c r="AB336" t="s">
        <v>190</v>
      </c>
      <c r="AC336" t="s">
        <v>30</v>
      </c>
      <c r="AD336" t="s">
        <v>46</v>
      </c>
      <c r="AE336" t="s">
        <v>379</v>
      </c>
      <c r="AF336" t="s">
        <v>379</v>
      </c>
      <c r="AG336" t="s">
        <v>1775</v>
      </c>
      <c r="AH336" t="s">
        <v>3656</v>
      </c>
      <c r="AK336">
        <v>0</v>
      </c>
      <c r="AL336" t="s">
        <v>32</v>
      </c>
      <c r="AM336" t="s">
        <v>2245</v>
      </c>
      <c r="AN336" t="s">
        <v>2246</v>
      </c>
    </row>
    <row r="337" spans="1:40">
      <c r="A337" t="s">
        <v>2388</v>
      </c>
      <c r="B337" t="s">
        <v>34</v>
      </c>
      <c r="C337" t="s">
        <v>25</v>
      </c>
      <c r="D337" t="s">
        <v>419</v>
      </c>
      <c r="E337" s="1">
        <v>46072.410486111112</v>
      </c>
      <c r="F337" t="s">
        <v>755</v>
      </c>
      <c r="G337" t="s">
        <v>776</v>
      </c>
      <c r="H337" t="s">
        <v>3669</v>
      </c>
      <c r="I337" t="s">
        <v>2389</v>
      </c>
      <c r="J337" t="s">
        <v>438</v>
      </c>
      <c r="K337" t="s">
        <v>44</v>
      </c>
      <c r="M337" t="s">
        <v>3526</v>
      </c>
      <c r="O337" t="s">
        <v>3099</v>
      </c>
      <c r="P337" t="s">
        <v>3100</v>
      </c>
      <c r="Q337" t="s">
        <v>3678</v>
      </c>
      <c r="R337" t="s">
        <v>46</v>
      </c>
      <c r="S337" t="s">
        <v>94</v>
      </c>
      <c r="T337" t="s">
        <v>2390</v>
      </c>
      <c r="U337" s="1">
        <v>46078.360520833332</v>
      </c>
      <c r="V337" t="s">
        <v>31</v>
      </c>
      <c r="W337" t="s">
        <v>33</v>
      </c>
      <c r="X337" t="s">
        <v>3525</v>
      </c>
      <c r="Y337" t="s">
        <v>3352</v>
      </c>
      <c r="Z337" t="s">
        <v>38</v>
      </c>
      <c r="AA337" t="s">
        <v>31</v>
      </c>
      <c r="AB337" t="s">
        <v>227</v>
      </c>
      <c r="AC337" t="s">
        <v>30</v>
      </c>
      <c r="AD337" t="s">
        <v>46</v>
      </c>
      <c r="AE337" t="s">
        <v>94</v>
      </c>
      <c r="AF337" t="s">
        <v>2390</v>
      </c>
      <c r="AG337" t="s">
        <v>38</v>
      </c>
      <c r="AH337">
        <v>13511</v>
      </c>
      <c r="AK337">
        <v>6</v>
      </c>
      <c r="AL337" t="s">
        <v>32</v>
      </c>
      <c r="AM337" t="s">
        <v>2391</v>
      </c>
      <c r="AN337" t="s">
        <v>2392</v>
      </c>
    </row>
    <row r="338" spans="1:40">
      <c r="A338" t="s">
        <v>2393</v>
      </c>
      <c r="B338" t="s">
        <v>34</v>
      </c>
      <c r="C338" t="s">
        <v>2394</v>
      </c>
      <c r="D338" t="s">
        <v>2395</v>
      </c>
      <c r="E338" s="1">
        <v>46072.407557870371</v>
      </c>
      <c r="F338" t="s">
        <v>101</v>
      </c>
      <c r="G338" t="s">
        <v>776</v>
      </c>
      <c r="H338" t="s">
        <v>3667</v>
      </c>
      <c r="I338" t="s">
        <v>109</v>
      </c>
      <c r="J338" t="s">
        <v>1149</v>
      </c>
      <c r="K338" t="s">
        <v>44</v>
      </c>
      <c r="M338" t="s">
        <v>3528</v>
      </c>
      <c r="O338" t="s">
        <v>3099</v>
      </c>
      <c r="P338" t="s">
        <v>3100</v>
      </c>
      <c r="Q338" t="s">
        <v>3719</v>
      </c>
      <c r="R338" t="s">
        <v>46</v>
      </c>
      <c r="S338" t="s">
        <v>110</v>
      </c>
      <c r="T338" t="s">
        <v>111</v>
      </c>
      <c r="U338" s="1">
        <v>46072.457650462966</v>
      </c>
      <c r="V338" t="s">
        <v>31</v>
      </c>
      <c r="W338" t="s">
        <v>33</v>
      </c>
      <c r="X338" t="s">
        <v>3530</v>
      </c>
      <c r="Y338" t="s">
        <v>3193</v>
      </c>
      <c r="Z338" t="s">
        <v>1775</v>
      </c>
      <c r="AA338" t="s">
        <v>31</v>
      </c>
      <c r="AB338" t="s">
        <v>1150</v>
      </c>
      <c r="AC338" t="s">
        <v>30</v>
      </c>
      <c r="AD338" t="s">
        <v>46</v>
      </c>
      <c r="AE338" t="s">
        <v>110</v>
      </c>
      <c r="AF338" t="s">
        <v>111</v>
      </c>
      <c r="AG338" t="s">
        <v>1775</v>
      </c>
      <c r="AH338">
        <v>11114</v>
      </c>
      <c r="AK338">
        <v>0</v>
      </c>
      <c r="AL338" t="s">
        <v>32</v>
      </c>
      <c r="AM338" t="s">
        <v>2396</v>
      </c>
      <c r="AN338" t="s">
        <v>2397</v>
      </c>
    </row>
    <row r="339" spans="1:40">
      <c r="A339" t="s">
        <v>2399</v>
      </c>
      <c r="B339" t="s">
        <v>34</v>
      </c>
      <c r="C339" t="s">
        <v>2400</v>
      </c>
      <c r="D339" t="s">
        <v>2401</v>
      </c>
      <c r="E339" s="1">
        <v>46072.404710648145</v>
      </c>
      <c r="F339" t="s">
        <v>238</v>
      </c>
      <c r="G339" t="s">
        <v>776</v>
      </c>
      <c r="H339" t="s">
        <v>3665</v>
      </c>
      <c r="I339" t="s">
        <v>2402</v>
      </c>
      <c r="J339" t="s">
        <v>817</v>
      </c>
      <c r="K339" t="s">
        <v>134</v>
      </c>
      <c r="M339" t="s">
        <v>3528</v>
      </c>
      <c r="O339" t="s">
        <v>3096</v>
      </c>
      <c r="P339" t="s">
        <v>3097</v>
      </c>
      <c r="Q339" t="s">
        <v>3678</v>
      </c>
      <c r="R339" t="s">
        <v>46</v>
      </c>
      <c r="S339" t="s">
        <v>495</v>
      </c>
      <c r="T339" t="s">
        <v>2403</v>
      </c>
      <c r="U339" s="1">
        <v>46072.413703703707</v>
      </c>
      <c r="V339" t="s">
        <v>31</v>
      </c>
      <c r="W339" t="s">
        <v>33</v>
      </c>
      <c r="X339" t="s">
        <v>3530</v>
      </c>
      <c r="Y339" t="s">
        <v>3353</v>
      </c>
      <c r="Z339" t="s">
        <v>1775</v>
      </c>
      <c r="AA339" t="s">
        <v>31</v>
      </c>
      <c r="AB339" t="s">
        <v>726</v>
      </c>
      <c r="AC339" t="s">
        <v>37</v>
      </c>
      <c r="AD339" t="s">
        <v>46</v>
      </c>
      <c r="AE339" t="s">
        <v>495</v>
      </c>
      <c r="AF339" t="s">
        <v>2403</v>
      </c>
      <c r="AG339" t="s">
        <v>1775</v>
      </c>
      <c r="AH339">
        <v>13584</v>
      </c>
      <c r="AK339">
        <v>1</v>
      </c>
      <c r="AL339" t="s">
        <v>32</v>
      </c>
      <c r="AM339" t="s">
        <v>2404</v>
      </c>
      <c r="AN339" t="s">
        <v>2405</v>
      </c>
    </row>
    <row r="340" spans="1:40">
      <c r="A340" t="s">
        <v>2410</v>
      </c>
      <c r="B340" t="s">
        <v>34</v>
      </c>
      <c r="C340" t="s">
        <v>447</v>
      </c>
      <c r="D340" t="s">
        <v>1541</v>
      </c>
      <c r="E340" s="1">
        <v>46072.401064814818</v>
      </c>
      <c r="F340" t="s">
        <v>39</v>
      </c>
      <c r="G340" t="s">
        <v>776</v>
      </c>
      <c r="H340" t="s">
        <v>3667</v>
      </c>
      <c r="I340" t="s">
        <v>2411</v>
      </c>
      <c r="J340" t="s">
        <v>477</v>
      </c>
      <c r="K340" t="s">
        <v>134</v>
      </c>
      <c r="M340" t="s">
        <v>3528</v>
      </c>
      <c r="O340" t="s">
        <v>3096</v>
      </c>
      <c r="P340" t="s">
        <v>3097</v>
      </c>
      <c r="Q340" t="s">
        <v>3678</v>
      </c>
      <c r="R340" t="s">
        <v>46</v>
      </c>
      <c r="S340" t="s">
        <v>365</v>
      </c>
      <c r="T340" t="s">
        <v>1557</v>
      </c>
      <c r="U340" s="1">
        <v>46072.46802083333</v>
      </c>
      <c r="V340" t="s">
        <v>31</v>
      </c>
      <c r="W340" t="s">
        <v>33</v>
      </c>
      <c r="X340" t="s">
        <v>3530</v>
      </c>
      <c r="Y340" t="s">
        <v>3354</v>
      </c>
      <c r="Z340" t="s">
        <v>1775</v>
      </c>
      <c r="AA340" t="s">
        <v>31</v>
      </c>
      <c r="AB340" t="s">
        <v>243</v>
      </c>
      <c r="AC340" t="s">
        <v>37</v>
      </c>
      <c r="AD340" t="s">
        <v>46</v>
      </c>
      <c r="AE340" t="s">
        <v>365</v>
      </c>
      <c r="AF340" t="s">
        <v>1557</v>
      </c>
      <c r="AG340" t="s">
        <v>1775</v>
      </c>
      <c r="AH340">
        <v>13357</v>
      </c>
      <c r="AK340">
        <v>1</v>
      </c>
      <c r="AL340" t="s">
        <v>32</v>
      </c>
      <c r="AM340" t="s">
        <v>2297</v>
      </c>
      <c r="AN340" t="s">
        <v>2298</v>
      </c>
    </row>
    <row r="341" spans="1:40">
      <c r="A341" t="s">
        <v>2412</v>
      </c>
      <c r="B341" t="s">
        <v>24</v>
      </c>
      <c r="C341" t="s">
        <v>220</v>
      </c>
      <c r="D341" t="s">
        <v>1871</v>
      </c>
      <c r="E341" s="1">
        <v>46072.398344907408</v>
      </c>
      <c r="F341" t="s">
        <v>118</v>
      </c>
      <c r="G341" t="s">
        <v>776</v>
      </c>
      <c r="H341" t="s">
        <v>3666</v>
      </c>
      <c r="I341" t="s">
        <v>2413</v>
      </c>
      <c r="J341" t="s">
        <v>253</v>
      </c>
      <c r="K341" t="s">
        <v>44</v>
      </c>
      <c r="M341" t="s">
        <v>3526</v>
      </c>
      <c r="O341" t="s">
        <v>3103</v>
      </c>
      <c r="P341" t="s">
        <v>3104</v>
      </c>
      <c r="Q341" t="s">
        <v>3678</v>
      </c>
      <c r="R341" t="s">
        <v>162</v>
      </c>
      <c r="S341" t="s">
        <v>163</v>
      </c>
      <c r="T341" t="s">
        <v>164</v>
      </c>
      <c r="U341" s="1">
        <v>46077.417071759257</v>
      </c>
      <c r="V341" t="s">
        <v>31</v>
      </c>
      <c r="W341" t="s">
        <v>33</v>
      </c>
      <c r="X341" t="s">
        <v>3536</v>
      </c>
      <c r="Y341" t="s">
        <v>3355</v>
      </c>
      <c r="Z341" t="s">
        <v>38</v>
      </c>
      <c r="AA341" t="s">
        <v>31</v>
      </c>
      <c r="AB341" t="s">
        <v>104</v>
      </c>
      <c r="AC341" t="s">
        <v>86</v>
      </c>
      <c r="AD341" t="s">
        <v>46</v>
      </c>
      <c r="AE341" t="s">
        <v>454</v>
      </c>
      <c r="AF341" t="s">
        <v>3350</v>
      </c>
      <c r="AG341" t="s">
        <v>38</v>
      </c>
      <c r="AH341">
        <v>12182</v>
      </c>
      <c r="AK341">
        <v>6</v>
      </c>
      <c r="AL341" t="s">
        <v>32</v>
      </c>
      <c r="AM341" t="s">
        <v>1872</v>
      </c>
      <c r="AN341" t="s">
        <v>1873</v>
      </c>
    </row>
    <row r="342" spans="1:40">
      <c r="A342" t="s">
        <v>2424</v>
      </c>
      <c r="B342" t="s">
        <v>34</v>
      </c>
      <c r="C342" t="s">
        <v>575</v>
      </c>
      <c r="D342" t="s">
        <v>65</v>
      </c>
      <c r="E342" s="1">
        <v>46072.384247685186</v>
      </c>
      <c r="F342" t="s">
        <v>242</v>
      </c>
      <c r="G342" t="s">
        <v>776</v>
      </c>
      <c r="H342" t="s">
        <v>3671</v>
      </c>
      <c r="I342" t="s">
        <v>608</v>
      </c>
      <c r="J342" t="s">
        <v>205</v>
      </c>
      <c r="K342" t="s">
        <v>44</v>
      </c>
      <c r="M342" t="s">
        <v>3528</v>
      </c>
      <c r="O342" t="s">
        <v>3099</v>
      </c>
      <c r="P342" t="s">
        <v>3100</v>
      </c>
      <c r="Q342" t="s">
        <v>3678</v>
      </c>
      <c r="R342" t="s">
        <v>46</v>
      </c>
      <c r="S342" t="s">
        <v>379</v>
      </c>
      <c r="T342" t="s">
        <v>379</v>
      </c>
      <c r="U342" s="1">
        <v>46072.384479166663</v>
      </c>
      <c r="V342" t="s">
        <v>31</v>
      </c>
      <c r="W342" t="s">
        <v>33</v>
      </c>
      <c r="X342" t="s">
        <v>3530</v>
      </c>
      <c r="Y342" t="s">
        <v>3134</v>
      </c>
      <c r="Z342" t="s">
        <v>1775</v>
      </c>
      <c r="AA342" t="s">
        <v>31</v>
      </c>
      <c r="AB342" t="s">
        <v>206</v>
      </c>
      <c r="AC342" t="s">
        <v>30</v>
      </c>
      <c r="AD342" t="s">
        <v>46</v>
      </c>
      <c r="AE342" t="s">
        <v>379</v>
      </c>
      <c r="AF342" t="s">
        <v>379</v>
      </c>
      <c r="AG342" t="s">
        <v>1775</v>
      </c>
      <c r="AH342">
        <v>15531</v>
      </c>
      <c r="AK342">
        <v>0</v>
      </c>
      <c r="AL342" t="s">
        <v>32</v>
      </c>
      <c r="AM342" t="s">
        <v>952</v>
      </c>
      <c r="AN342" t="s">
        <v>953</v>
      </c>
    </row>
    <row r="343" spans="1:40">
      <c r="A343" t="s">
        <v>2425</v>
      </c>
      <c r="B343" t="s">
        <v>34</v>
      </c>
      <c r="C343" t="s">
        <v>483</v>
      </c>
      <c r="D343" t="s">
        <v>970</v>
      </c>
      <c r="E343" s="1">
        <v>46072.380023148151</v>
      </c>
      <c r="F343" t="s">
        <v>186</v>
      </c>
      <c r="G343" t="s">
        <v>776</v>
      </c>
      <c r="H343" t="s">
        <v>3667</v>
      </c>
      <c r="I343" t="s">
        <v>2426</v>
      </c>
      <c r="J343" t="s">
        <v>733</v>
      </c>
      <c r="K343" t="s">
        <v>44</v>
      </c>
      <c r="M343" t="s">
        <v>3528</v>
      </c>
      <c r="O343" t="s">
        <v>3099</v>
      </c>
      <c r="P343" t="s">
        <v>3100</v>
      </c>
      <c r="Q343" t="s">
        <v>3678</v>
      </c>
      <c r="R343" t="s">
        <v>46</v>
      </c>
      <c r="S343" t="s">
        <v>110</v>
      </c>
      <c r="T343" t="s">
        <v>111</v>
      </c>
      <c r="U343" s="1">
        <v>46072.381365740737</v>
      </c>
      <c r="V343" t="s">
        <v>31</v>
      </c>
      <c r="W343" t="s">
        <v>33</v>
      </c>
      <c r="X343" t="s">
        <v>3530</v>
      </c>
      <c r="Y343" t="s">
        <v>3265</v>
      </c>
      <c r="Z343" t="s">
        <v>1775</v>
      </c>
      <c r="AA343" t="s">
        <v>31</v>
      </c>
      <c r="AB343" t="s">
        <v>726</v>
      </c>
      <c r="AC343" t="s">
        <v>30</v>
      </c>
      <c r="AD343" t="s">
        <v>46</v>
      </c>
      <c r="AE343" t="s">
        <v>110</v>
      </c>
      <c r="AF343" t="s">
        <v>111</v>
      </c>
      <c r="AG343" t="s">
        <v>1775</v>
      </c>
      <c r="AH343">
        <v>6141</v>
      </c>
      <c r="AK343">
        <v>0</v>
      </c>
      <c r="AL343" t="s">
        <v>32</v>
      </c>
      <c r="AM343" t="s">
        <v>972</v>
      </c>
      <c r="AN343" t="s">
        <v>973</v>
      </c>
    </row>
    <row r="344" spans="1:40">
      <c r="A344" t="s">
        <v>2433</v>
      </c>
      <c r="B344" t="s">
        <v>34</v>
      </c>
      <c r="C344" t="s">
        <v>363</v>
      </c>
      <c r="D344" t="s">
        <v>125</v>
      </c>
      <c r="E344" s="1">
        <v>46072.36246527778</v>
      </c>
      <c r="F344" t="s">
        <v>155</v>
      </c>
      <c r="G344" t="s">
        <v>776</v>
      </c>
      <c r="H344" t="s">
        <v>3670</v>
      </c>
      <c r="I344" t="s">
        <v>1158</v>
      </c>
      <c r="J344" t="s">
        <v>1149</v>
      </c>
      <c r="K344" t="s">
        <v>44</v>
      </c>
      <c r="M344" t="s">
        <v>3528</v>
      </c>
      <c r="O344" t="s">
        <v>3099</v>
      </c>
      <c r="P344" t="s">
        <v>3100</v>
      </c>
      <c r="Q344" t="s">
        <v>3678</v>
      </c>
      <c r="R344" t="s">
        <v>46</v>
      </c>
      <c r="S344" t="s">
        <v>379</v>
      </c>
      <c r="T344" t="s">
        <v>379</v>
      </c>
      <c r="U344" s="1">
        <v>46072.458414351851</v>
      </c>
      <c r="V344" t="s">
        <v>31</v>
      </c>
      <c r="W344" t="s">
        <v>33</v>
      </c>
      <c r="X344" t="s">
        <v>3530</v>
      </c>
      <c r="Y344" t="s">
        <v>3195</v>
      </c>
      <c r="Z344" t="s">
        <v>1775</v>
      </c>
      <c r="AA344" t="s">
        <v>31</v>
      </c>
      <c r="AB344" t="s">
        <v>1150</v>
      </c>
      <c r="AC344" t="s">
        <v>30</v>
      </c>
      <c r="AD344" t="s">
        <v>46</v>
      </c>
      <c r="AE344" t="s">
        <v>379</v>
      </c>
      <c r="AF344" t="s">
        <v>379</v>
      </c>
      <c r="AG344" t="s">
        <v>1775</v>
      </c>
      <c r="AH344">
        <v>15431</v>
      </c>
      <c r="AK344">
        <v>0</v>
      </c>
      <c r="AL344" t="s">
        <v>32</v>
      </c>
      <c r="AM344" t="s">
        <v>2434</v>
      </c>
      <c r="AN344" t="s">
        <v>2435</v>
      </c>
    </row>
    <row r="345" spans="1:40">
      <c r="A345" t="s">
        <v>2436</v>
      </c>
      <c r="B345" t="s">
        <v>34</v>
      </c>
      <c r="C345" t="s">
        <v>25</v>
      </c>
      <c r="D345" t="s">
        <v>2437</v>
      </c>
      <c r="E345" s="1">
        <v>46072.430185185185</v>
      </c>
      <c r="F345" t="s">
        <v>26</v>
      </c>
      <c r="G345" t="s">
        <v>776</v>
      </c>
      <c r="H345" t="s">
        <v>3665</v>
      </c>
      <c r="I345" t="s">
        <v>2438</v>
      </c>
      <c r="J345" t="s">
        <v>733</v>
      </c>
      <c r="K345" t="s">
        <v>44</v>
      </c>
      <c r="M345" t="s">
        <v>3528</v>
      </c>
      <c r="O345" t="s">
        <v>3099</v>
      </c>
      <c r="P345" t="s">
        <v>3100</v>
      </c>
      <c r="Q345" t="s">
        <v>3678</v>
      </c>
      <c r="R345" t="s">
        <v>46</v>
      </c>
      <c r="S345" t="s">
        <v>784</v>
      </c>
      <c r="T345" t="s">
        <v>785</v>
      </c>
      <c r="U345" s="1">
        <v>46072.432430555556</v>
      </c>
      <c r="V345" t="s">
        <v>31</v>
      </c>
      <c r="W345" t="s">
        <v>33</v>
      </c>
      <c r="X345" t="s">
        <v>3530</v>
      </c>
      <c r="Y345" t="s">
        <v>3356</v>
      </c>
      <c r="Z345" t="s">
        <v>1775</v>
      </c>
      <c r="AA345" t="s">
        <v>31</v>
      </c>
      <c r="AB345" t="s">
        <v>726</v>
      </c>
      <c r="AC345" t="s">
        <v>30</v>
      </c>
      <c r="AD345" t="s">
        <v>46</v>
      </c>
      <c r="AE345" t="s">
        <v>784</v>
      </c>
      <c r="AF345" t="s">
        <v>785</v>
      </c>
      <c r="AG345" t="s">
        <v>1775</v>
      </c>
      <c r="AH345" t="s">
        <v>3662</v>
      </c>
      <c r="AK345">
        <v>0</v>
      </c>
      <c r="AL345" t="s">
        <v>32</v>
      </c>
      <c r="AM345" t="s">
        <v>2439</v>
      </c>
      <c r="AN345" t="s">
        <v>2440</v>
      </c>
    </row>
    <row r="346" spans="1:40">
      <c r="A346" t="s">
        <v>2441</v>
      </c>
      <c r="B346" t="s">
        <v>34</v>
      </c>
      <c r="C346" t="s">
        <v>25</v>
      </c>
      <c r="D346" t="s">
        <v>2442</v>
      </c>
      <c r="E346" s="1">
        <v>46072.429895833331</v>
      </c>
      <c r="F346" t="s">
        <v>101</v>
      </c>
      <c r="G346" t="s">
        <v>776</v>
      </c>
      <c r="H346" t="s">
        <v>3667</v>
      </c>
      <c r="I346" t="s">
        <v>2438</v>
      </c>
      <c r="J346" t="s">
        <v>733</v>
      </c>
      <c r="K346" t="s">
        <v>44</v>
      </c>
      <c r="M346" t="s">
        <v>3528</v>
      </c>
      <c r="O346" t="s">
        <v>3099</v>
      </c>
      <c r="P346" t="s">
        <v>3100</v>
      </c>
      <c r="Q346" t="s">
        <v>3684</v>
      </c>
      <c r="R346" t="s">
        <v>46</v>
      </c>
      <c r="S346" t="s">
        <v>784</v>
      </c>
      <c r="T346" t="s">
        <v>785</v>
      </c>
      <c r="U346" s="1">
        <v>46072.432824074072</v>
      </c>
      <c r="V346" t="s">
        <v>31</v>
      </c>
      <c r="W346" t="s">
        <v>33</v>
      </c>
      <c r="X346" t="s">
        <v>3530</v>
      </c>
      <c r="Y346" t="s">
        <v>3356</v>
      </c>
      <c r="Z346" t="s">
        <v>1775</v>
      </c>
      <c r="AA346" t="s">
        <v>31</v>
      </c>
      <c r="AB346" t="s">
        <v>726</v>
      </c>
      <c r="AC346" t="s">
        <v>30</v>
      </c>
      <c r="AD346" t="s">
        <v>46</v>
      </c>
      <c r="AE346" t="s">
        <v>784</v>
      </c>
      <c r="AF346" t="s">
        <v>785</v>
      </c>
      <c r="AG346" t="s">
        <v>1775</v>
      </c>
      <c r="AH346">
        <v>6804</v>
      </c>
      <c r="AK346">
        <v>0</v>
      </c>
      <c r="AL346" t="s">
        <v>32</v>
      </c>
      <c r="AM346" t="s">
        <v>2443</v>
      </c>
      <c r="AN346" t="s">
        <v>2444</v>
      </c>
    </row>
    <row r="347" spans="1:40">
      <c r="A347" t="s">
        <v>2446</v>
      </c>
      <c r="B347" t="s">
        <v>34</v>
      </c>
      <c r="C347" t="s">
        <v>99</v>
      </c>
      <c r="D347" t="s">
        <v>2447</v>
      </c>
      <c r="E347" s="1">
        <v>46072.326319444444</v>
      </c>
      <c r="F347" t="s">
        <v>132</v>
      </c>
      <c r="G347" t="s">
        <v>776</v>
      </c>
      <c r="H347" t="s">
        <v>3665</v>
      </c>
      <c r="I347" t="s">
        <v>95</v>
      </c>
      <c r="J347" t="s">
        <v>817</v>
      </c>
      <c r="K347" t="s">
        <v>134</v>
      </c>
      <c r="M347" t="s">
        <v>3526</v>
      </c>
      <c r="O347" t="s">
        <v>3099</v>
      </c>
      <c r="P347" t="s">
        <v>3100</v>
      </c>
      <c r="Q347" t="s">
        <v>3689</v>
      </c>
      <c r="R347" t="s">
        <v>162</v>
      </c>
      <c r="S347" t="s">
        <v>163</v>
      </c>
      <c r="T347" t="s">
        <v>164</v>
      </c>
      <c r="U347" s="1">
        <v>46077.392557870371</v>
      </c>
      <c r="V347" t="s">
        <v>31</v>
      </c>
      <c r="W347" t="s">
        <v>33</v>
      </c>
      <c r="X347" t="s">
        <v>3536</v>
      </c>
      <c r="Y347" t="s">
        <v>3357</v>
      </c>
      <c r="Z347" t="s">
        <v>38</v>
      </c>
      <c r="AA347" t="s">
        <v>31</v>
      </c>
      <c r="AB347" t="s">
        <v>104</v>
      </c>
      <c r="AC347" t="s">
        <v>30</v>
      </c>
      <c r="AD347" t="s">
        <v>46</v>
      </c>
      <c r="AE347" t="s">
        <v>659</v>
      </c>
      <c r="AF347" t="s">
        <v>3243</v>
      </c>
      <c r="AG347" t="s">
        <v>38</v>
      </c>
      <c r="AH347">
        <v>350</v>
      </c>
      <c r="AK347">
        <v>4</v>
      </c>
      <c r="AL347" t="s">
        <v>32</v>
      </c>
      <c r="AM347" t="s">
        <v>2448</v>
      </c>
      <c r="AN347" t="s">
        <v>2449</v>
      </c>
    </row>
    <row r="348" spans="1:40">
      <c r="A348" t="s">
        <v>2450</v>
      </c>
      <c r="B348" t="s">
        <v>34</v>
      </c>
      <c r="C348" t="s">
        <v>2064</v>
      </c>
      <c r="D348" t="s">
        <v>2065</v>
      </c>
      <c r="E348" s="1">
        <v>46072.338229166664</v>
      </c>
      <c r="F348" t="s">
        <v>77</v>
      </c>
      <c r="G348" t="s">
        <v>776</v>
      </c>
      <c r="H348" t="s">
        <v>3669</v>
      </c>
      <c r="I348" t="s">
        <v>109</v>
      </c>
      <c r="J348" t="s">
        <v>300</v>
      </c>
      <c r="K348" t="s">
        <v>44</v>
      </c>
      <c r="M348" t="s">
        <v>3528</v>
      </c>
      <c r="O348" t="s">
        <v>3099</v>
      </c>
      <c r="P348" t="s">
        <v>3100</v>
      </c>
      <c r="Q348" t="s">
        <v>3678</v>
      </c>
      <c r="R348" t="s">
        <v>46</v>
      </c>
      <c r="S348" t="s">
        <v>110</v>
      </c>
      <c r="T348" t="s">
        <v>111</v>
      </c>
      <c r="U348" s="1">
        <v>46072.33861111111</v>
      </c>
      <c r="V348" t="s">
        <v>31</v>
      </c>
      <c r="W348" t="s">
        <v>33</v>
      </c>
      <c r="X348" t="s">
        <v>3530</v>
      </c>
      <c r="Y348" t="s">
        <v>3358</v>
      </c>
      <c r="Z348" t="s">
        <v>1775</v>
      </c>
      <c r="AA348" t="s">
        <v>31</v>
      </c>
      <c r="AB348" t="s">
        <v>399</v>
      </c>
      <c r="AC348" t="s">
        <v>30</v>
      </c>
      <c r="AD348" t="s">
        <v>46</v>
      </c>
      <c r="AE348" t="s">
        <v>110</v>
      </c>
      <c r="AF348" t="s">
        <v>111</v>
      </c>
      <c r="AG348" t="s">
        <v>1775</v>
      </c>
      <c r="AH348" t="s">
        <v>3647</v>
      </c>
      <c r="AK348">
        <v>0</v>
      </c>
      <c r="AL348" t="s">
        <v>32</v>
      </c>
      <c r="AM348" t="s">
        <v>2066</v>
      </c>
      <c r="AN348" t="s">
        <v>2067</v>
      </c>
    </row>
    <row r="349" spans="1:40">
      <c r="A349" t="s">
        <v>2451</v>
      </c>
      <c r="B349" t="s">
        <v>34</v>
      </c>
      <c r="C349" t="s">
        <v>25</v>
      </c>
      <c r="D349" t="s">
        <v>2406</v>
      </c>
      <c r="E349" s="1">
        <v>46072.313506944447</v>
      </c>
      <c r="F349" t="s">
        <v>186</v>
      </c>
      <c r="G349" t="s">
        <v>776</v>
      </c>
      <c r="H349" t="s">
        <v>3667</v>
      </c>
      <c r="I349" t="s">
        <v>535</v>
      </c>
      <c r="J349" t="s">
        <v>300</v>
      </c>
      <c r="K349" t="s">
        <v>44</v>
      </c>
      <c r="M349" t="s">
        <v>3528</v>
      </c>
      <c r="O349" t="s">
        <v>3099</v>
      </c>
      <c r="P349" t="s">
        <v>3100</v>
      </c>
      <c r="R349" t="s">
        <v>46</v>
      </c>
      <c r="S349" t="s">
        <v>188</v>
      </c>
      <c r="T349" t="s">
        <v>431</v>
      </c>
      <c r="U349" s="1">
        <v>46072.315000000002</v>
      </c>
      <c r="V349" t="s">
        <v>31</v>
      </c>
      <c r="W349" t="s">
        <v>33</v>
      </c>
      <c r="X349" t="s">
        <v>3530</v>
      </c>
      <c r="Y349" t="s">
        <v>3359</v>
      </c>
      <c r="Z349" t="s">
        <v>1775</v>
      </c>
      <c r="AA349" t="s">
        <v>31</v>
      </c>
      <c r="AB349" t="s">
        <v>399</v>
      </c>
      <c r="AC349" t="s">
        <v>30</v>
      </c>
      <c r="AD349" t="s">
        <v>46</v>
      </c>
      <c r="AE349" t="s">
        <v>188</v>
      </c>
      <c r="AF349" t="s">
        <v>431</v>
      </c>
      <c r="AG349" t="s">
        <v>1775</v>
      </c>
      <c r="AH349" t="s">
        <v>3661</v>
      </c>
      <c r="AK349">
        <v>0</v>
      </c>
      <c r="AL349" t="s">
        <v>32</v>
      </c>
      <c r="AM349" t="s">
        <v>2407</v>
      </c>
      <c r="AN349" t="s">
        <v>2408</v>
      </c>
    </row>
    <row r="350" spans="1:40">
      <c r="A350" t="s">
        <v>2452</v>
      </c>
      <c r="B350" t="s">
        <v>34</v>
      </c>
      <c r="C350" t="s">
        <v>758</v>
      </c>
      <c r="D350" t="s">
        <v>1220</v>
      </c>
      <c r="E350" s="1">
        <v>46072.301215277781</v>
      </c>
      <c r="F350" t="s">
        <v>77</v>
      </c>
      <c r="G350" t="s">
        <v>776</v>
      </c>
      <c r="H350" t="s">
        <v>3669</v>
      </c>
      <c r="I350" t="s">
        <v>656</v>
      </c>
      <c r="J350" t="s">
        <v>300</v>
      </c>
      <c r="K350" t="s">
        <v>44</v>
      </c>
      <c r="M350" t="s">
        <v>3528</v>
      </c>
      <c r="O350" t="s">
        <v>3099</v>
      </c>
      <c r="P350" t="s">
        <v>3100</v>
      </c>
      <c r="Q350" t="s">
        <v>3678</v>
      </c>
      <c r="R350" t="s">
        <v>46</v>
      </c>
      <c r="S350" t="s">
        <v>47</v>
      </c>
      <c r="T350" t="s">
        <v>657</v>
      </c>
      <c r="U350" s="1">
        <v>46072.30133101852</v>
      </c>
      <c r="V350" t="s">
        <v>31</v>
      </c>
      <c r="W350" t="s">
        <v>33</v>
      </c>
      <c r="X350" t="s">
        <v>3530</v>
      </c>
      <c r="Y350" t="s">
        <v>3274</v>
      </c>
      <c r="Z350" t="s">
        <v>1775</v>
      </c>
      <c r="AA350" t="s">
        <v>31</v>
      </c>
      <c r="AB350" t="s">
        <v>399</v>
      </c>
      <c r="AC350" t="s">
        <v>30</v>
      </c>
      <c r="AD350" t="s">
        <v>46</v>
      </c>
      <c r="AE350" t="s">
        <v>47</v>
      </c>
      <c r="AF350" t="s">
        <v>657</v>
      </c>
      <c r="AG350" t="s">
        <v>1775</v>
      </c>
      <c r="AH350">
        <v>13832</v>
      </c>
      <c r="AK350">
        <v>0</v>
      </c>
      <c r="AL350" t="s">
        <v>32</v>
      </c>
      <c r="AM350" t="s">
        <v>2453</v>
      </c>
      <c r="AN350" t="s">
        <v>2454</v>
      </c>
    </row>
    <row r="351" spans="1:40">
      <c r="A351" t="s">
        <v>2455</v>
      </c>
      <c r="B351" t="s">
        <v>34</v>
      </c>
      <c r="C351" t="s">
        <v>1140</v>
      </c>
      <c r="D351" t="s">
        <v>2456</v>
      </c>
      <c r="E351" s="1">
        <v>46072.30059027778</v>
      </c>
      <c r="F351" t="s">
        <v>153</v>
      </c>
      <c r="G351" t="s">
        <v>776</v>
      </c>
      <c r="H351" t="s">
        <v>3669</v>
      </c>
      <c r="I351" t="s">
        <v>656</v>
      </c>
      <c r="J351" t="s">
        <v>300</v>
      </c>
      <c r="K351" t="s">
        <v>44</v>
      </c>
      <c r="M351" t="s">
        <v>3528</v>
      </c>
      <c r="O351" t="s">
        <v>3099</v>
      </c>
      <c r="P351" t="s">
        <v>3100</v>
      </c>
      <c r="Q351" t="s">
        <v>3678</v>
      </c>
      <c r="R351" t="s">
        <v>46</v>
      </c>
      <c r="S351" t="s">
        <v>47</v>
      </c>
      <c r="T351" t="s">
        <v>657</v>
      </c>
      <c r="U351" s="1">
        <v>46072.3128125</v>
      </c>
      <c r="V351" t="s">
        <v>31</v>
      </c>
      <c r="W351" t="s">
        <v>33</v>
      </c>
      <c r="X351" t="s">
        <v>3530</v>
      </c>
      <c r="Y351" t="s">
        <v>3274</v>
      </c>
      <c r="Z351" t="s">
        <v>1775</v>
      </c>
      <c r="AA351" t="s">
        <v>31</v>
      </c>
      <c r="AB351" t="s">
        <v>399</v>
      </c>
      <c r="AC351" t="s">
        <v>30</v>
      </c>
      <c r="AD351" t="s">
        <v>46</v>
      </c>
      <c r="AE351" t="s">
        <v>47</v>
      </c>
      <c r="AF351" t="s">
        <v>657</v>
      </c>
      <c r="AG351" t="s">
        <v>1775</v>
      </c>
      <c r="AH351" t="s">
        <v>3663</v>
      </c>
      <c r="AK351">
        <v>0</v>
      </c>
      <c r="AL351" t="s">
        <v>32</v>
      </c>
      <c r="AM351" t="s">
        <v>2457</v>
      </c>
      <c r="AN351" t="s">
        <v>2458</v>
      </c>
    </row>
    <row r="352" spans="1:40">
      <c r="A352" t="s">
        <v>2459</v>
      </c>
      <c r="B352" t="s">
        <v>34</v>
      </c>
      <c r="C352" t="s">
        <v>769</v>
      </c>
      <c r="D352" t="s">
        <v>770</v>
      </c>
      <c r="E352" s="1">
        <v>46072.17019675926</v>
      </c>
      <c r="F352" t="s">
        <v>62</v>
      </c>
      <c r="G352" t="s">
        <v>776</v>
      </c>
      <c r="H352" t="s">
        <v>3668</v>
      </c>
      <c r="I352" t="s">
        <v>2097</v>
      </c>
      <c r="J352" t="s">
        <v>772</v>
      </c>
      <c r="K352" t="s">
        <v>651</v>
      </c>
      <c r="M352" t="s">
        <v>3528</v>
      </c>
      <c r="O352" t="s">
        <v>3099</v>
      </c>
      <c r="P352" t="s">
        <v>3100</v>
      </c>
      <c r="Q352" t="s">
        <v>3678</v>
      </c>
      <c r="R352" t="s">
        <v>46</v>
      </c>
      <c r="S352" t="s">
        <v>751</v>
      </c>
      <c r="T352" t="s">
        <v>752</v>
      </c>
      <c r="U352" s="1">
        <v>46072.72314814815</v>
      </c>
      <c r="V352" t="s">
        <v>31</v>
      </c>
      <c r="W352" t="s">
        <v>33</v>
      </c>
      <c r="X352" t="s">
        <v>3525</v>
      </c>
      <c r="Y352" t="s">
        <v>3360</v>
      </c>
      <c r="Z352" t="s">
        <v>1775</v>
      </c>
      <c r="AA352" t="s">
        <v>31</v>
      </c>
      <c r="AB352" t="s">
        <v>399</v>
      </c>
      <c r="AC352" t="s">
        <v>30</v>
      </c>
      <c r="AD352" t="s">
        <v>46</v>
      </c>
      <c r="AE352" t="s">
        <v>751</v>
      </c>
      <c r="AF352" t="s">
        <v>752</v>
      </c>
      <c r="AG352" t="s">
        <v>1775</v>
      </c>
      <c r="AH352" t="s">
        <v>3580</v>
      </c>
      <c r="AK352">
        <v>1</v>
      </c>
      <c r="AL352" t="s">
        <v>32</v>
      </c>
      <c r="AM352" t="s">
        <v>773</v>
      </c>
      <c r="AN352" t="s">
        <v>774</v>
      </c>
    </row>
    <row r="353" spans="1:40">
      <c r="A353" t="s">
        <v>2460</v>
      </c>
      <c r="B353" t="s">
        <v>34</v>
      </c>
      <c r="C353" t="s">
        <v>115</v>
      </c>
      <c r="D353" t="s">
        <v>115</v>
      </c>
      <c r="E353" s="1">
        <v>46072.097303240742</v>
      </c>
      <c r="F353" t="s">
        <v>96</v>
      </c>
      <c r="G353" t="s">
        <v>776</v>
      </c>
      <c r="H353" t="s">
        <v>96</v>
      </c>
      <c r="I353" t="s">
        <v>692</v>
      </c>
      <c r="J353" t="s">
        <v>300</v>
      </c>
      <c r="K353" t="s">
        <v>44</v>
      </c>
      <c r="M353" t="s">
        <v>3528</v>
      </c>
      <c r="O353" t="s">
        <v>3099</v>
      </c>
      <c r="P353" t="s">
        <v>3100</v>
      </c>
      <c r="Q353" t="s">
        <v>3688</v>
      </c>
      <c r="R353" t="s">
        <v>46</v>
      </c>
      <c r="S353" t="s">
        <v>379</v>
      </c>
      <c r="T353" t="s">
        <v>379</v>
      </c>
      <c r="U353" s="1">
        <v>46072.097418981481</v>
      </c>
      <c r="V353" t="s">
        <v>31</v>
      </c>
      <c r="W353" t="s">
        <v>33</v>
      </c>
      <c r="X353" t="s">
        <v>3530</v>
      </c>
      <c r="Y353" t="s">
        <v>3140</v>
      </c>
      <c r="Z353" t="s">
        <v>1775</v>
      </c>
      <c r="AA353" t="s">
        <v>31</v>
      </c>
      <c r="AB353" t="s">
        <v>399</v>
      </c>
      <c r="AC353" t="s">
        <v>30</v>
      </c>
      <c r="AD353" t="s">
        <v>46</v>
      </c>
      <c r="AE353" t="s">
        <v>379</v>
      </c>
      <c r="AF353" t="s">
        <v>379</v>
      </c>
      <c r="AG353" t="s">
        <v>1775</v>
      </c>
      <c r="AH353">
        <v>871</v>
      </c>
      <c r="AK353">
        <v>0</v>
      </c>
      <c r="AL353" t="s">
        <v>32</v>
      </c>
      <c r="AM353" t="s">
        <v>1180</v>
      </c>
      <c r="AN353" t="s">
        <v>1181</v>
      </c>
    </row>
    <row r="354" spans="1:40">
      <c r="A354" t="s">
        <v>2461</v>
      </c>
      <c r="B354" t="s">
        <v>34</v>
      </c>
      <c r="C354" t="s">
        <v>25</v>
      </c>
      <c r="D354" t="s">
        <v>1699</v>
      </c>
      <c r="E354" s="1">
        <v>46072.020486111112</v>
      </c>
      <c r="F354" t="s">
        <v>470</v>
      </c>
      <c r="G354" t="s">
        <v>776</v>
      </c>
      <c r="H354" t="s">
        <v>3671</v>
      </c>
      <c r="I354" t="s">
        <v>692</v>
      </c>
      <c r="J354" t="s">
        <v>300</v>
      </c>
      <c r="K354" t="s">
        <v>44</v>
      </c>
      <c r="M354" t="s">
        <v>3528</v>
      </c>
      <c r="O354" t="s">
        <v>3099</v>
      </c>
      <c r="P354" t="s">
        <v>3100</v>
      </c>
      <c r="Q354" t="s">
        <v>3678</v>
      </c>
      <c r="R354" t="s">
        <v>46</v>
      </c>
      <c r="S354" t="s">
        <v>379</v>
      </c>
      <c r="T354" t="s">
        <v>379</v>
      </c>
      <c r="U354" s="1">
        <v>46072.020613425928</v>
      </c>
      <c r="V354" t="s">
        <v>31</v>
      </c>
      <c r="W354" t="s">
        <v>33</v>
      </c>
      <c r="X354" t="s">
        <v>3530</v>
      </c>
      <c r="Y354" t="s">
        <v>3140</v>
      </c>
      <c r="Z354" t="s">
        <v>1775</v>
      </c>
      <c r="AA354" t="s">
        <v>31</v>
      </c>
      <c r="AB354" t="s">
        <v>399</v>
      </c>
      <c r="AC354" t="s">
        <v>30</v>
      </c>
      <c r="AD354" t="s">
        <v>46</v>
      </c>
      <c r="AE354" t="s">
        <v>379</v>
      </c>
      <c r="AF354" t="s">
        <v>379</v>
      </c>
      <c r="AG354" t="s">
        <v>1775</v>
      </c>
      <c r="AH354">
        <v>14012</v>
      </c>
      <c r="AK354">
        <v>0</v>
      </c>
      <c r="AL354" t="s">
        <v>32</v>
      </c>
      <c r="AM354" t="s">
        <v>2462</v>
      </c>
      <c r="AN354" t="s">
        <v>2463</v>
      </c>
    </row>
    <row r="355" spans="1:40">
      <c r="A355" t="s">
        <v>2464</v>
      </c>
      <c r="B355" t="s">
        <v>34</v>
      </c>
      <c r="C355" t="s">
        <v>984</v>
      </c>
      <c r="D355" t="s">
        <v>225</v>
      </c>
      <c r="E355" s="1">
        <v>46072.020740740743</v>
      </c>
      <c r="F355" t="s">
        <v>168</v>
      </c>
      <c r="G355" t="s">
        <v>776</v>
      </c>
      <c r="H355" t="s">
        <v>3669</v>
      </c>
      <c r="I355" t="s">
        <v>692</v>
      </c>
      <c r="J355" t="s">
        <v>300</v>
      </c>
      <c r="K355" t="s">
        <v>44</v>
      </c>
      <c r="M355" t="s">
        <v>3528</v>
      </c>
      <c r="O355" t="s">
        <v>3099</v>
      </c>
      <c r="P355" t="s">
        <v>3100</v>
      </c>
      <c r="Q355" t="s">
        <v>3712</v>
      </c>
      <c r="R355" t="s">
        <v>46</v>
      </c>
      <c r="S355" t="s">
        <v>379</v>
      </c>
      <c r="T355" t="s">
        <v>379</v>
      </c>
      <c r="U355" s="1">
        <v>46072.020833333336</v>
      </c>
      <c r="V355" t="s">
        <v>31</v>
      </c>
      <c r="W355" t="s">
        <v>33</v>
      </c>
      <c r="X355" t="s">
        <v>3530</v>
      </c>
      <c r="Y355" t="s">
        <v>3140</v>
      </c>
      <c r="Z355" t="s">
        <v>1775</v>
      </c>
      <c r="AA355" t="s">
        <v>31</v>
      </c>
      <c r="AB355" t="s">
        <v>399</v>
      </c>
      <c r="AC355" t="s">
        <v>30</v>
      </c>
      <c r="AD355" t="s">
        <v>46</v>
      </c>
      <c r="AE355" t="s">
        <v>379</v>
      </c>
      <c r="AF355" t="s">
        <v>379</v>
      </c>
      <c r="AG355" t="s">
        <v>1775</v>
      </c>
      <c r="AH355">
        <v>3891</v>
      </c>
      <c r="AK355">
        <v>0</v>
      </c>
      <c r="AL355" t="s">
        <v>32</v>
      </c>
      <c r="AM355" t="s">
        <v>2465</v>
      </c>
      <c r="AN355" t="s">
        <v>2466</v>
      </c>
    </row>
    <row r="356" spans="1:40">
      <c r="A356" t="s">
        <v>2494</v>
      </c>
      <c r="B356" t="s">
        <v>34</v>
      </c>
      <c r="C356" t="s">
        <v>1326</v>
      </c>
      <c r="D356" t="s">
        <v>1327</v>
      </c>
      <c r="E356" s="1">
        <v>46071.896122685182</v>
      </c>
      <c r="F356" t="s">
        <v>150</v>
      </c>
      <c r="G356" t="s">
        <v>776</v>
      </c>
      <c r="H356" t="s">
        <v>3671</v>
      </c>
      <c r="I356" t="s">
        <v>2495</v>
      </c>
      <c r="J356" t="s">
        <v>514</v>
      </c>
      <c r="K356" t="s">
        <v>44</v>
      </c>
      <c r="M356" t="s">
        <v>3526</v>
      </c>
      <c r="O356" t="s">
        <v>3099</v>
      </c>
      <c r="P356" t="s">
        <v>3100</v>
      </c>
      <c r="Q356" t="s">
        <v>3718</v>
      </c>
      <c r="R356" t="s">
        <v>46</v>
      </c>
      <c r="S356" t="s">
        <v>751</v>
      </c>
      <c r="T356" t="s">
        <v>752</v>
      </c>
      <c r="U356" s="1">
        <v>46078.386990740742</v>
      </c>
      <c r="V356" t="s">
        <v>31</v>
      </c>
      <c r="W356" t="s">
        <v>33</v>
      </c>
      <c r="X356" t="s">
        <v>3525</v>
      </c>
      <c r="Y356" t="s">
        <v>3361</v>
      </c>
      <c r="Z356" t="s">
        <v>38</v>
      </c>
      <c r="AA356" t="s">
        <v>31</v>
      </c>
      <c r="AB356" t="s">
        <v>266</v>
      </c>
      <c r="AC356" t="s">
        <v>30</v>
      </c>
      <c r="AD356" t="s">
        <v>46</v>
      </c>
      <c r="AE356" t="s">
        <v>751</v>
      </c>
      <c r="AF356" t="s">
        <v>752</v>
      </c>
      <c r="AG356" t="s">
        <v>38</v>
      </c>
      <c r="AH356">
        <v>3945</v>
      </c>
      <c r="AK356">
        <v>0</v>
      </c>
      <c r="AL356" t="s">
        <v>32</v>
      </c>
      <c r="AM356" t="s">
        <v>1328</v>
      </c>
      <c r="AN356" t="s">
        <v>1329</v>
      </c>
    </row>
    <row r="357" spans="1:40">
      <c r="A357" t="s">
        <v>2496</v>
      </c>
      <c r="B357" t="s">
        <v>34</v>
      </c>
      <c r="C357" t="s">
        <v>334</v>
      </c>
      <c r="D357" t="s">
        <v>335</v>
      </c>
      <c r="E357" s="1">
        <v>46071.723599537036</v>
      </c>
      <c r="F357" t="s">
        <v>336</v>
      </c>
      <c r="G357" t="s">
        <v>776</v>
      </c>
      <c r="H357" t="s">
        <v>3668</v>
      </c>
      <c r="I357" t="s">
        <v>2497</v>
      </c>
      <c r="J357" t="s">
        <v>494</v>
      </c>
      <c r="K357" t="s">
        <v>134</v>
      </c>
      <c r="M357" t="s">
        <v>3528</v>
      </c>
      <c r="O357" t="s">
        <v>3099</v>
      </c>
      <c r="P357" t="s">
        <v>3100</v>
      </c>
      <c r="Q357" t="s">
        <v>3678</v>
      </c>
      <c r="R357" t="s">
        <v>46</v>
      </c>
      <c r="S357" t="s">
        <v>751</v>
      </c>
      <c r="T357" t="s">
        <v>752</v>
      </c>
      <c r="U357" s="1">
        <v>46072.470810185187</v>
      </c>
      <c r="V357" t="s">
        <v>31</v>
      </c>
      <c r="W357" t="s">
        <v>33</v>
      </c>
      <c r="X357" t="s">
        <v>3525</v>
      </c>
      <c r="Y357" t="s">
        <v>3362</v>
      </c>
      <c r="Z357" t="s">
        <v>1775</v>
      </c>
      <c r="AA357" t="s">
        <v>31</v>
      </c>
      <c r="AB357" t="s">
        <v>266</v>
      </c>
      <c r="AC357" t="s">
        <v>30</v>
      </c>
      <c r="AD357" t="s">
        <v>46</v>
      </c>
      <c r="AE357" t="s">
        <v>274</v>
      </c>
      <c r="AF357" t="s">
        <v>275</v>
      </c>
      <c r="AG357" t="s">
        <v>1775</v>
      </c>
      <c r="AK357">
        <v>1</v>
      </c>
      <c r="AL357" t="s">
        <v>32</v>
      </c>
      <c r="AM357" t="s">
        <v>339</v>
      </c>
      <c r="AN357" t="s">
        <v>340</v>
      </c>
    </row>
    <row r="358" spans="1:40">
      <c r="A358" t="s">
        <v>2498</v>
      </c>
      <c r="B358" t="s">
        <v>34</v>
      </c>
      <c r="C358" t="s">
        <v>648</v>
      </c>
      <c r="D358" t="s">
        <v>1699</v>
      </c>
      <c r="E358" s="1">
        <v>46071.719722222224</v>
      </c>
      <c r="F358" t="s">
        <v>482</v>
      </c>
      <c r="G358" t="s">
        <v>776</v>
      </c>
      <c r="H358" t="s">
        <v>3668</v>
      </c>
      <c r="I358" t="s">
        <v>571</v>
      </c>
      <c r="J358" t="s">
        <v>514</v>
      </c>
      <c r="K358" t="s">
        <v>44</v>
      </c>
      <c r="M358" t="s">
        <v>3528</v>
      </c>
      <c r="O358" t="s">
        <v>3099</v>
      </c>
      <c r="P358" t="s">
        <v>3100</v>
      </c>
      <c r="Q358" t="s">
        <v>3678</v>
      </c>
      <c r="R358" t="s">
        <v>46</v>
      </c>
      <c r="S358" t="s">
        <v>188</v>
      </c>
      <c r="T358" t="s">
        <v>431</v>
      </c>
      <c r="U358" s="1">
        <v>46073.867812500001</v>
      </c>
      <c r="V358" t="s">
        <v>31</v>
      </c>
      <c r="W358" t="s">
        <v>33</v>
      </c>
      <c r="X358" t="s">
        <v>3525</v>
      </c>
      <c r="Y358" t="s">
        <v>3363</v>
      </c>
      <c r="Z358" t="s">
        <v>1775</v>
      </c>
      <c r="AA358" t="s">
        <v>31</v>
      </c>
      <c r="AB358" t="s">
        <v>266</v>
      </c>
      <c r="AC358" t="s">
        <v>30</v>
      </c>
      <c r="AD358" t="s">
        <v>46</v>
      </c>
      <c r="AE358" t="s">
        <v>188</v>
      </c>
      <c r="AF358" t="s">
        <v>431</v>
      </c>
      <c r="AG358" t="s">
        <v>1775</v>
      </c>
      <c r="AH358">
        <v>15537</v>
      </c>
      <c r="AK358">
        <v>2</v>
      </c>
      <c r="AL358" t="s">
        <v>32</v>
      </c>
      <c r="AM358" t="s">
        <v>2499</v>
      </c>
      <c r="AN358" t="s">
        <v>2500</v>
      </c>
    </row>
    <row r="359" spans="1:40">
      <c r="A359" t="s">
        <v>2501</v>
      </c>
      <c r="B359" t="s">
        <v>34</v>
      </c>
      <c r="C359" t="s">
        <v>648</v>
      </c>
      <c r="D359" t="s">
        <v>1699</v>
      </c>
      <c r="E359" s="1">
        <v>46071.696145833332</v>
      </c>
      <c r="F359" t="s">
        <v>482</v>
      </c>
      <c r="G359" t="s">
        <v>776</v>
      </c>
      <c r="H359" t="s">
        <v>3668</v>
      </c>
      <c r="I359" t="s">
        <v>2502</v>
      </c>
      <c r="J359" t="s">
        <v>514</v>
      </c>
      <c r="K359" t="s">
        <v>44</v>
      </c>
      <c r="M359" t="s">
        <v>3526</v>
      </c>
      <c r="O359" t="s">
        <v>3099</v>
      </c>
      <c r="P359" t="s">
        <v>3100</v>
      </c>
      <c r="Q359" t="s">
        <v>3678</v>
      </c>
      <c r="R359" t="s">
        <v>46</v>
      </c>
      <c r="S359" t="s">
        <v>751</v>
      </c>
      <c r="T359" t="s">
        <v>752</v>
      </c>
      <c r="U359" s="1">
        <v>46076.420567129629</v>
      </c>
      <c r="V359" t="s">
        <v>31</v>
      </c>
      <c r="W359" t="s">
        <v>33</v>
      </c>
      <c r="X359" t="s">
        <v>3525</v>
      </c>
      <c r="Y359" t="s">
        <v>3365</v>
      </c>
      <c r="Z359" t="s">
        <v>38</v>
      </c>
      <c r="AA359" t="s">
        <v>31</v>
      </c>
      <c r="AB359" t="s">
        <v>266</v>
      </c>
      <c r="AC359" t="s">
        <v>30</v>
      </c>
      <c r="AD359" t="s">
        <v>46</v>
      </c>
      <c r="AE359" t="s">
        <v>751</v>
      </c>
      <c r="AF359" t="s">
        <v>752</v>
      </c>
      <c r="AG359" t="s">
        <v>38</v>
      </c>
      <c r="AH359">
        <v>15537</v>
      </c>
      <c r="AK359">
        <v>0</v>
      </c>
      <c r="AL359" t="s">
        <v>32</v>
      </c>
      <c r="AM359" t="s">
        <v>2499</v>
      </c>
      <c r="AN359" t="s">
        <v>2500</v>
      </c>
    </row>
    <row r="360" spans="1:40">
      <c r="A360" t="s">
        <v>2503</v>
      </c>
      <c r="B360" t="s">
        <v>34</v>
      </c>
      <c r="C360" t="s">
        <v>334</v>
      </c>
      <c r="D360" t="s">
        <v>335</v>
      </c>
      <c r="E360" s="1">
        <v>46071.678900462961</v>
      </c>
      <c r="F360" t="s">
        <v>336</v>
      </c>
      <c r="G360" t="s">
        <v>776</v>
      </c>
      <c r="H360" t="s">
        <v>3668</v>
      </c>
      <c r="I360" t="s">
        <v>2504</v>
      </c>
      <c r="J360" t="s">
        <v>514</v>
      </c>
      <c r="K360" t="s">
        <v>44</v>
      </c>
      <c r="M360" t="s">
        <v>3526</v>
      </c>
      <c r="O360" t="s">
        <v>3099</v>
      </c>
      <c r="P360" t="s">
        <v>3100</v>
      </c>
      <c r="Q360" t="s">
        <v>3678</v>
      </c>
      <c r="R360" t="s">
        <v>46</v>
      </c>
      <c r="S360" t="s">
        <v>751</v>
      </c>
      <c r="T360" t="s">
        <v>752</v>
      </c>
      <c r="U360" s="1">
        <v>46078.3903125</v>
      </c>
      <c r="V360" t="s">
        <v>31</v>
      </c>
      <c r="W360" t="s">
        <v>33</v>
      </c>
      <c r="X360" t="s">
        <v>3525</v>
      </c>
      <c r="Y360" t="s">
        <v>3314</v>
      </c>
      <c r="Z360" t="s">
        <v>38</v>
      </c>
      <c r="AA360" t="s">
        <v>31</v>
      </c>
      <c r="AB360" t="s">
        <v>266</v>
      </c>
      <c r="AC360" t="s">
        <v>30</v>
      </c>
      <c r="AD360" t="s">
        <v>46</v>
      </c>
      <c r="AE360" t="s">
        <v>751</v>
      </c>
      <c r="AF360" t="s">
        <v>752</v>
      </c>
      <c r="AG360" t="s">
        <v>38</v>
      </c>
      <c r="AK360">
        <v>2</v>
      </c>
      <c r="AL360" t="s">
        <v>32</v>
      </c>
      <c r="AM360" t="s">
        <v>339</v>
      </c>
      <c r="AN360" t="s">
        <v>340</v>
      </c>
    </row>
    <row r="361" spans="1:40">
      <c r="A361" t="s">
        <v>2505</v>
      </c>
      <c r="B361" t="s">
        <v>34</v>
      </c>
      <c r="C361" t="s">
        <v>1027</v>
      </c>
      <c r="D361" t="s">
        <v>2506</v>
      </c>
      <c r="E361" s="1">
        <v>46071.673888888887</v>
      </c>
      <c r="F361" t="s">
        <v>153</v>
      </c>
      <c r="G361" t="s">
        <v>776</v>
      </c>
      <c r="H361" t="s">
        <v>3669</v>
      </c>
      <c r="I361" t="s">
        <v>119</v>
      </c>
      <c r="J361" t="s">
        <v>733</v>
      </c>
      <c r="K361" t="s">
        <v>44</v>
      </c>
      <c r="M361" t="s">
        <v>3528</v>
      </c>
      <c r="O361" t="s">
        <v>3096</v>
      </c>
      <c r="P361" t="s">
        <v>3097</v>
      </c>
      <c r="Q361" t="s">
        <v>3735</v>
      </c>
      <c r="R361" t="s">
        <v>162</v>
      </c>
      <c r="S361" t="s">
        <v>163</v>
      </c>
      <c r="T361" t="s">
        <v>164</v>
      </c>
      <c r="U361" s="1">
        <v>46072.429131944446</v>
      </c>
      <c r="V361" t="s">
        <v>180</v>
      </c>
      <c r="W361" t="s">
        <v>33</v>
      </c>
      <c r="X361" t="s">
        <v>3536</v>
      </c>
      <c r="Y361" t="s">
        <v>3366</v>
      </c>
      <c r="Z361" t="s">
        <v>1775</v>
      </c>
      <c r="AA361" t="s">
        <v>180</v>
      </c>
      <c r="AB361" t="s">
        <v>104</v>
      </c>
      <c r="AC361" t="s">
        <v>37</v>
      </c>
      <c r="AD361" t="s">
        <v>120</v>
      </c>
      <c r="AE361" t="s">
        <v>121</v>
      </c>
      <c r="AF361" t="s">
        <v>119</v>
      </c>
      <c r="AG361" t="s">
        <v>1775</v>
      </c>
      <c r="AH361">
        <v>9936</v>
      </c>
      <c r="AK361">
        <v>4</v>
      </c>
      <c r="AL361" t="s">
        <v>181</v>
      </c>
      <c r="AM361" t="s">
        <v>2507</v>
      </c>
      <c r="AN361" t="s">
        <v>2508</v>
      </c>
    </row>
    <row r="362" spans="1:40">
      <c r="A362" t="s">
        <v>2509</v>
      </c>
      <c r="B362" t="s">
        <v>34</v>
      </c>
      <c r="C362" t="s">
        <v>2510</v>
      </c>
      <c r="D362" t="s">
        <v>2511</v>
      </c>
      <c r="E362" s="1">
        <v>46071.659502314818</v>
      </c>
      <c r="F362" t="s">
        <v>77</v>
      </c>
      <c r="G362" t="s">
        <v>776</v>
      </c>
      <c r="H362" t="s">
        <v>3669</v>
      </c>
      <c r="I362" t="s">
        <v>119</v>
      </c>
      <c r="J362" t="s">
        <v>205</v>
      </c>
      <c r="K362" t="s">
        <v>44</v>
      </c>
      <c r="M362" t="s">
        <v>3526</v>
      </c>
      <c r="O362" t="s">
        <v>3099</v>
      </c>
      <c r="P362" t="s">
        <v>3100</v>
      </c>
      <c r="Q362" t="s">
        <v>3678</v>
      </c>
      <c r="R362" t="s">
        <v>162</v>
      </c>
      <c r="S362" t="s">
        <v>163</v>
      </c>
      <c r="T362" t="s">
        <v>164</v>
      </c>
      <c r="U362" s="1">
        <v>46077.351018518515</v>
      </c>
      <c r="V362" t="s">
        <v>31</v>
      </c>
      <c r="W362" t="s">
        <v>33</v>
      </c>
      <c r="X362" t="s">
        <v>3536</v>
      </c>
      <c r="Y362" t="s">
        <v>3367</v>
      </c>
      <c r="Z362" t="s">
        <v>38</v>
      </c>
      <c r="AA362" t="s">
        <v>31</v>
      </c>
      <c r="AB362" t="s">
        <v>104</v>
      </c>
      <c r="AC362" t="s">
        <v>30</v>
      </c>
      <c r="AD362" t="s">
        <v>46</v>
      </c>
      <c r="AE362" t="s">
        <v>188</v>
      </c>
      <c r="AF362" t="s">
        <v>431</v>
      </c>
      <c r="AG362" t="s">
        <v>38</v>
      </c>
      <c r="AH362" t="s">
        <v>3736</v>
      </c>
      <c r="AK362">
        <v>4</v>
      </c>
      <c r="AL362" t="s">
        <v>32</v>
      </c>
      <c r="AM362" t="s">
        <v>2512</v>
      </c>
      <c r="AN362" t="s">
        <v>2513</v>
      </c>
    </row>
    <row r="363" spans="1:40">
      <c r="A363" t="s">
        <v>2514</v>
      </c>
      <c r="B363" t="s">
        <v>34</v>
      </c>
      <c r="C363" t="s">
        <v>256</v>
      </c>
      <c r="D363" t="s">
        <v>1404</v>
      </c>
      <c r="E363" s="1">
        <v>46071.589004629626</v>
      </c>
      <c r="F363" t="s">
        <v>878</v>
      </c>
      <c r="G363" t="s">
        <v>776</v>
      </c>
      <c r="H363" t="s">
        <v>3666</v>
      </c>
      <c r="I363" t="s">
        <v>2398</v>
      </c>
      <c r="J363" t="s">
        <v>473</v>
      </c>
      <c r="K363" t="s">
        <v>44</v>
      </c>
      <c r="M363" t="s">
        <v>3528</v>
      </c>
      <c r="O363" t="s">
        <v>3096</v>
      </c>
      <c r="P363" t="s">
        <v>3097</v>
      </c>
      <c r="Q363" t="s">
        <v>3678</v>
      </c>
      <c r="R363" t="s">
        <v>162</v>
      </c>
      <c r="S363" t="s">
        <v>163</v>
      </c>
      <c r="T363" t="s">
        <v>164</v>
      </c>
      <c r="U363" s="1">
        <v>46072.645358796297</v>
      </c>
      <c r="V363" t="s">
        <v>31</v>
      </c>
      <c r="W363" t="s">
        <v>33</v>
      </c>
      <c r="X363" t="s">
        <v>3536</v>
      </c>
      <c r="Y363" t="s">
        <v>3368</v>
      </c>
      <c r="Z363" t="s">
        <v>1775</v>
      </c>
      <c r="AA363" t="s">
        <v>31</v>
      </c>
      <c r="AB363" t="s">
        <v>104</v>
      </c>
      <c r="AC363" t="s">
        <v>37</v>
      </c>
      <c r="AD363" t="s">
        <v>46</v>
      </c>
      <c r="AE363" t="s">
        <v>495</v>
      </c>
      <c r="AF363" t="s">
        <v>496</v>
      </c>
      <c r="AG363" t="s">
        <v>1775</v>
      </c>
      <c r="AH363">
        <v>15915</v>
      </c>
      <c r="AK363">
        <v>3</v>
      </c>
      <c r="AL363" t="s">
        <v>32</v>
      </c>
      <c r="AM363" t="s">
        <v>1429</v>
      </c>
      <c r="AN363" t="s">
        <v>1430</v>
      </c>
    </row>
    <row r="364" spans="1:40">
      <c r="A364" t="s">
        <v>2515</v>
      </c>
      <c r="B364" t="s">
        <v>34</v>
      </c>
      <c r="C364" t="s">
        <v>2024</v>
      </c>
      <c r="D364" t="s">
        <v>2516</v>
      </c>
      <c r="E364" s="1">
        <v>46071.563252314816</v>
      </c>
      <c r="F364" t="s">
        <v>173</v>
      </c>
      <c r="G364" t="s">
        <v>776</v>
      </c>
      <c r="H364" t="s">
        <v>3666</v>
      </c>
      <c r="I364" t="s">
        <v>813</v>
      </c>
      <c r="J364" t="s">
        <v>514</v>
      </c>
      <c r="K364" t="s">
        <v>44</v>
      </c>
      <c r="M364" t="s">
        <v>3526</v>
      </c>
      <c r="O364" t="s">
        <v>3099</v>
      </c>
      <c r="P364" t="s">
        <v>3100</v>
      </c>
      <c r="Q364" t="s">
        <v>3678</v>
      </c>
      <c r="R364" t="s">
        <v>46</v>
      </c>
      <c r="S364" t="s">
        <v>188</v>
      </c>
      <c r="T364" t="s">
        <v>431</v>
      </c>
      <c r="U364" s="1">
        <v>46077.547164351854</v>
      </c>
      <c r="V364" t="s">
        <v>31</v>
      </c>
      <c r="W364" t="s">
        <v>33</v>
      </c>
      <c r="X364" t="s">
        <v>3530</v>
      </c>
      <c r="Y364" t="s">
        <v>3369</v>
      </c>
      <c r="Z364" t="s">
        <v>38</v>
      </c>
      <c r="AA364" t="s">
        <v>31</v>
      </c>
      <c r="AB364" t="s">
        <v>49</v>
      </c>
      <c r="AC364" t="s">
        <v>30</v>
      </c>
      <c r="AD364" t="s">
        <v>46</v>
      </c>
      <c r="AE364" t="s">
        <v>188</v>
      </c>
      <c r="AF364" t="s">
        <v>431</v>
      </c>
      <c r="AG364" t="s">
        <v>38</v>
      </c>
      <c r="AH364" t="s">
        <v>3737</v>
      </c>
      <c r="AK364">
        <v>1</v>
      </c>
      <c r="AL364" t="s">
        <v>32</v>
      </c>
      <c r="AM364" t="s">
        <v>2517</v>
      </c>
      <c r="AN364" t="s">
        <v>2518</v>
      </c>
    </row>
    <row r="365" spans="1:40">
      <c r="A365" t="s">
        <v>2519</v>
      </c>
      <c r="B365" t="s">
        <v>34</v>
      </c>
      <c r="C365" t="s">
        <v>469</v>
      </c>
      <c r="D365" t="s">
        <v>900</v>
      </c>
      <c r="E365" s="1">
        <v>46071.508645833332</v>
      </c>
      <c r="F365" t="s">
        <v>226</v>
      </c>
      <c r="G365" t="s">
        <v>776</v>
      </c>
      <c r="H365" t="s">
        <v>3665</v>
      </c>
      <c r="I365" t="s">
        <v>345</v>
      </c>
      <c r="J365" t="s">
        <v>680</v>
      </c>
      <c r="K365" t="s">
        <v>44</v>
      </c>
      <c r="M365" t="s">
        <v>3526</v>
      </c>
      <c r="O365" t="s">
        <v>3099</v>
      </c>
      <c r="P365" t="s">
        <v>3100</v>
      </c>
      <c r="Q365" t="s">
        <v>3678</v>
      </c>
      <c r="R365" t="s">
        <v>162</v>
      </c>
      <c r="S365" t="s">
        <v>163</v>
      </c>
      <c r="T365" t="s">
        <v>164</v>
      </c>
      <c r="U365" s="1">
        <v>46078.355150462965</v>
      </c>
      <c r="V365" t="s">
        <v>31</v>
      </c>
      <c r="W365" t="s">
        <v>33</v>
      </c>
      <c r="X365" t="s">
        <v>3536</v>
      </c>
      <c r="Y365" t="s">
        <v>3370</v>
      </c>
      <c r="Z365" t="s">
        <v>38</v>
      </c>
      <c r="AA365" t="s">
        <v>31</v>
      </c>
      <c r="AB365" t="s">
        <v>104</v>
      </c>
      <c r="AC365" t="s">
        <v>30</v>
      </c>
      <c r="AD365" t="s">
        <v>46</v>
      </c>
      <c r="AE365" t="s">
        <v>365</v>
      </c>
      <c r="AF365" t="s">
        <v>366</v>
      </c>
      <c r="AG365" t="s">
        <v>38</v>
      </c>
      <c r="AH365">
        <v>15955</v>
      </c>
      <c r="AK365">
        <v>7</v>
      </c>
      <c r="AL365" t="s">
        <v>32</v>
      </c>
      <c r="AM365" t="s">
        <v>901</v>
      </c>
      <c r="AN365" t="s">
        <v>902</v>
      </c>
    </row>
    <row r="366" spans="1:40">
      <c r="A366" t="s">
        <v>2520</v>
      </c>
      <c r="B366" t="s">
        <v>34</v>
      </c>
      <c r="C366" t="s">
        <v>99</v>
      </c>
      <c r="D366" t="s">
        <v>2521</v>
      </c>
      <c r="E366" s="1">
        <v>46071.504583333335</v>
      </c>
      <c r="F366" t="s">
        <v>67</v>
      </c>
      <c r="G366" t="s">
        <v>776</v>
      </c>
      <c r="H366" t="s">
        <v>3671</v>
      </c>
      <c r="I366" t="s">
        <v>2522</v>
      </c>
      <c r="J366" t="s">
        <v>477</v>
      </c>
      <c r="K366" t="s">
        <v>134</v>
      </c>
      <c r="M366" t="s">
        <v>3529</v>
      </c>
      <c r="O366" t="s">
        <v>3099</v>
      </c>
      <c r="P366" t="s">
        <v>3100</v>
      </c>
      <c r="Q366" t="s">
        <v>3688</v>
      </c>
      <c r="R366" t="s">
        <v>46</v>
      </c>
      <c r="S366" t="s">
        <v>2523</v>
      </c>
      <c r="T366" t="s">
        <v>2524</v>
      </c>
      <c r="U366" s="1">
        <v>46076.397407407407</v>
      </c>
      <c r="V366" t="s">
        <v>31</v>
      </c>
      <c r="W366" t="s">
        <v>33</v>
      </c>
      <c r="X366" t="s">
        <v>3525</v>
      </c>
      <c r="Y366" t="s">
        <v>3371</v>
      </c>
      <c r="Z366" t="s">
        <v>38</v>
      </c>
      <c r="AA366" t="s">
        <v>31</v>
      </c>
      <c r="AB366" t="s">
        <v>227</v>
      </c>
      <c r="AC366" t="s">
        <v>30</v>
      </c>
      <c r="AD366" t="s">
        <v>46</v>
      </c>
      <c r="AE366" t="s">
        <v>2523</v>
      </c>
      <c r="AF366" t="s">
        <v>2524</v>
      </c>
      <c r="AG366" t="s">
        <v>38</v>
      </c>
      <c r="AH366">
        <v>11326</v>
      </c>
      <c r="AK366">
        <v>3</v>
      </c>
      <c r="AL366" t="s">
        <v>32</v>
      </c>
      <c r="AM366" t="s">
        <v>293</v>
      </c>
      <c r="AN366" t="s">
        <v>294</v>
      </c>
    </row>
    <row r="367" spans="1:40">
      <c r="A367" t="s">
        <v>2525</v>
      </c>
      <c r="B367" t="s">
        <v>34</v>
      </c>
      <c r="C367" t="s">
        <v>2218</v>
      </c>
      <c r="D367" t="s">
        <v>2219</v>
      </c>
      <c r="E367" s="1">
        <v>46071.497291666667</v>
      </c>
      <c r="F367" t="s">
        <v>171</v>
      </c>
      <c r="G367" t="s">
        <v>776</v>
      </c>
      <c r="H367" t="s">
        <v>3665</v>
      </c>
      <c r="I367" t="s">
        <v>95</v>
      </c>
      <c r="J367" t="s">
        <v>1219</v>
      </c>
      <c r="K367" t="s">
        <v>134</v>
      </c>
      <c r="M367" t="s">
        <v>3529</v>
      </c>
      <c r="O367" t="s">
        <v>3099</v>
      </c>
      <c r="P367" t="s">
        <v>3100</v>
      </c>
      <c r="Q367" t="s">
        <v>3678</v>
      </c>
      <c r="R367" t="s">
        <v>162</v>
      </c>
      <c r="S367" t="s">
        <v>163</v>
      </c>
      <c r="T367" t="s">
        <v>164</v>
      </c>
      <c r="U367" s="1">
        <v>46076.359375</v>
      </c>
      <c r="V367" t="s">
        <v>31</v>
      </c>
      <c r="W367" t="s">
        <v>33</v>
      </c>
      <c r="X367" t="s">
        <v>3536</v>
      </c>
      <c r="Y367" t="s">
        <v>3372</v>
      </c>
      <c r="Z367" t="s">
        <v>38</v>
      </c>
      <c r="AA367" t="s">
        <v>31</v>
      </c>
      <c r="AB367" t="s">
        <v>104</v>
      </c>
      <c r="AC367" t="s">
        <v>30</v>
      </c>
      <c r="AD367" t="s">
        <v>46</v>
      </c>
      <c r="AE367" t="s">
        <v>3374</v>
      </c>
      <c r="AF367" t="s">
        <v>3373</v>
      </c>
      <c r="AG367" t="s">
        <v>38</v>
      </c>
      <c r="AH367">
        <v>13365</v>
      </c>
      <c r="AJ367">
        <v>191693</v>
      </c>
      <c r="AK367">
        <v>8</v>
      </c>
      <c r="AL367" t="s">
        <v>32</v>
      </c>
      <c r="AM367" t="s">
        <v>2220</v>
      </c>
      <c r="AN367" t="s">
        <v>2221</v>
      </c>
    </row>
    <row r="368" spans="1:40">
      <c r="A368" t="s">
        <v>2526</v>
      </c>
      <c r="B368" t="s">
        <v>34</v>
      </c>
      <c r="C368" t="s">
        <v>485</v>
      </c>
      <c r="D368" t="s">
        <v>2241</v>
      </c>
      <c r="E368" s="1">
        <v>46071.497615740744</v>
      </c>
      <c r="F368" t="s">
        <v>35</v>
      </c>
      <c r="G368" t="s">
        <v>776</v>
      </c>
      <c r="H368" t="s">
        <v>3672</v>
      </c>
      <c r="I368" t="s">
        <v>2527</v>
      </c>
      <c r="J368" t="s">
        <v>680</v>
      </c>
      <c r="K368" t="s">
        <v>44</v>
      </c>
      <c r="M368" t="s">
        <v>3526</v>
      </c>
      <c r="O368" t="s">
        <v>3099</v>
      </c>
      <c r="P368" t="s">
        <v>3100</v>
      </c>
      <c r="Q368" t="s">
        <v>3678</v>
      </c>
      <c r="R368" t="s">
        <v>46</v>
      </c>
      <c r="S368" t="s">
        <v>110</v>
      </c>
      <c r="T368" t="s">
        <v>412</v>
      </c>
      <c r="U368" s="1">
        <v>46076.453541666669</v>
      </c>
      <c r="V368" t="s">
        <v>31</v>
      </c>
      <c r="W368" t="s">
        <v>33</v>
      </c>
      <c r="X368" t="s">
        <v>3525</v>
      </c>
      <c r="Y368" t="s">
        <v>3375</v>
      </c>
      <c r="Z368" t="s">
        <v>38</v>
      </c>
      <c r="AA368" t="s">
        <v>31</v>
      </c>
      <c r="AB368" t="s">
        <v>243</v>
      </c>
      <c r="AC368" t="s">
        <v>30</v>
      </c>
      <c r="AD368" t="s">
        <v>46</v>
      </c>
      <c r="AE368" t="s">
        <v>110</v>
      </c>
      <c r="AF368" t="s">
        <v>3349</v>
      </c>
      <c r="AG368" t="s">
        <v>38</v>
      </c>
      <c r="AH368">
        <v>14549</v>
      </c>
      <c r="AK368">
        <v>0</v>
      </c>
      <c r="AL368" t="s">
        <v>32</v>
      </c>
      <c r="AM368" t="s">
        <v>2528</v>
      </c>
      <c r="AN368" t="s">
        <v>2529</v>
      </c>
    </row>
    <row r="369" spans="1:40">
      <c r="A369" t="s">
        <v>2533</v>
      </c>
      <c r="B369" t="s">
        <v>34</v>
      </c>
      <c r="C369" t="s">
        <v>974</v>
      </c>
      <c r="D369" t="s">
        <v>975</v>
      </c>
      <c r="E369" s="1">
        <v>46071.466516203705</v>
      </c>
      <c r="F369" t="s">
        <v>26</v>
      </c>
      <c r="G369" t="s">
        <v>776</v>
      </c>
      <c r="H369" t="s">
        <v>3665</v>
      </c>
      <c r="I369" t="s">
        <v>2534</v>
      </c>
      <c r="J369" t="s">
        <v>765</v>
      </c>
      <c r="K369" t="s">
        <v>134</v>
      </c>
      <c r="M369" t="s">
        <v>3526</v>
      </c>
      <c r="O369" t="s">
        <v>3099</v>
      </c>
      <c r="P369" t="s">
        <v>3100</v>
      </c>
      <c r="Q369" t="s">
        <v>3678</v>
      </c>
      <c r="R369" t="s">
        <v>46</v>
      </c>
      <c r="S369" t="s">
        <v>188</v>
      </c>
      <c r="T369" t="s">
        <v>521</v>
      </c>
      <c r="U369" s="1">
        <v>46077.618668981479</v>
      </c>
      <c r="V369" t="s">
        <v>31</v>
      </c>
      <c r="W369" t="s">
        <v>33</v>
      </c>
      <c r="X369" t="s">
        <v>3530</v>
      </c>
      <c r="Y369" t="s">
        <v>3204</v>
      </c>
      <c r="Z369" t="s">
        <v>38</v>
      </c>
      <c r="AA369" t="s">
        <v>31</v>
      </c>
      <c r="AB369" t="s">
        <v>367</v>
      </c>
      <c r="AC369" t="s">
        <v>30</v>
      </c>
      <c r="AD369" t="s">
        <v>46</v>
      </c>
      <c r="AE369" t="s">
        <v>188</v>
      </c>
      <c r="AF369" t="s">
        <v>521</v>
      </c>
      <c r="AG369" t="s">
        <v>38</v>
      </c>
      <c r="AH369">
        <v>12275</v>
      </c>
      <c r="AK369">
        <v>1</v>
      </c>
      <c r="AL369" t="s">
        <v>32</v>
      </c>
      <c r="AM369" t="s">
        <v>976</v>
      </c>
      <c r="AN369" t="s">
        <v>977</v>
      </c>
    </row>
    <row r="370" spans="1:40">
      <c r="A370" t="s">
        <v>2535</v>
      </c>
      <c r="B370" t="s">
        <v>24</v>
      </c>
      <c r="C370" t="s">
        <v>2420</v>
      </c>
      <c r="D370" t="s">
        <v>2421</v>
      </c>
      <c r="E370" s="1">
        <v>46071.454444444447</v>
      </c>
      <c r="F370" t="s">
        <v>283</v>
      </c>
      <c r="G370" t="s">
        <v>776</v>
      </c>
      <c r="H370" t="s">
        <v>3670</v>
      </c>
      <c r="I370" t="s">
        <v>2536</v>
      </c>
      <c r="J370" t="s">
        <v>253</v>
      </c>
      <c r="K370" t="s">
        <v>44</v>
      </c>
      <c r="M370" t="s">
        <v>3528</v>
      </c>
      <c r="O370" t="s">
        <v>3103</v>
      </c>
      <c r="P370" t="s">
        <v>3104</v>
      </c>
      <c r="R370" t="s">
        <v>46</v>
      </c>
      <c r="S370" t="s">
        <v>2537</v>
      </c>
      <c r="T370" t="s">
        <v>2538</v>
      </c>
      <c r="U370" s="1">
        <v>46072.433252314811</v>
      </c>
      <c r="V370" t="s">
        <v>31</v>
      </c>
      <c r="W370" t="s">
        <v>33</v>
      </c>
      <c r="X370" t="s">
        <v>3530</v>
      </c>
      <c r="Y370" t="s">
        <v>3376</v>
      </c>
      <c r="Z370" t="s">
        <v>1775</v>
      </c>
      <c r="AA370" t="s">
        <v>31</v>
      </c>
      <c r="AB370" t="s">
        <v>367</v>
      </c>
      <c r="AC370" t="s">
        <v>86</v>
      </c>
      <c r="AD370" t="s">
        <v>46</v>
      </c>
      <c r="AE370" t="s">
        <v>2537</v>
      </c>
      <c r="AF370" t="s">
        <v>3377</v>
      </c>
      <c r="AG370" t="s">
        <v>1775</v>
      </c>
      <c r="AH370">
        <v>6569</v>
      </c>
      <c r="AK370">
        <v>4</v>
      </c>
      <c r="AL370" t="s">
        <v>32</v>
      </c>
      <c r="AM370" t="s">
        <v>2422</v>
      </c>
      <c r="AN370" t="s">
        <v>2423</v>
      </c>
    </row>
    <row r="371" spans="1:40">
      <c r="A371" t="s">
        <v>2539</v>
      </c>
      <c r="B371" t="s">
        <v>34</v>
      </c>
      <c r="C371" t="s">
        <v>123</v>
      </c>
      <c r="D371" t="s">
        <v>2540</v>
      </c>
      <c r="E371" s="1">
        <v>46071.442824074074</v>
      </c>
      <c r="F371" t="s">
        <v>132</v>
      </c>
      <c r="G371" t="s">
        <v>776</v>
      </c>
      <c r="H371" t="s">
        <v>3665</v>
      </c>
      <c r="I371" t="s">
        <v>136</v>
      </c>
      <c r="J371" t="s">
        <v>135</v>
      </c>
      <c r="K371" t="s">
        <v>134</v>
      </c>
      <c r="M371" t="s">
        <v>3528</v>
      </c>
      <c r="O371" t="s">
        <v>3099</v>
      </c>
      <c r="P371" t="s">
        <v>3100</v>
      </c>
      <c r="R371" t="s">
        <v>46</v>
      </c>
      <c r="S371" t="s">
        <v>136</v>
      </c>
      <c r="T371" t="s">
        <v>136</v>
      </c>
      <c r="U371" s="1">
        <v>46072.585613425923</v>
      </c>
      <c r="V371" t="s">
        <v>31</v>
      </c>
      <c r="W371" t="s">
        <v>33</v>
      </c>
      <c r="X371" t="s">
        <v>3525</v>
      </c>
      <c r="Y371" t="s">
        <v>3378</v>
      </c>
      <c r="Z371" t="s">
        <v>1775</v>
      </c>
      <c r="AA371" t="s">
        <v>31</v>
      </c>
      <c r="AB371" t="s">
        <v>227</v>
      </c>
      <c r="AC371" t="s">
        <v>30</v>
      </c>
      <c r="AD371" t="s">
        <v>46</v>
      </c>
      <c r="AE371" t="s">
        <v>3339</v>
      </c>
      <c r="AF371" t="s">
        <v>3339</v>
      </c>
      <c r="AG371" t="s">
        <v>1775</v>
      </c>
      <c r="AH371" t="s">
        <v>3738</v>
      </c>
      <c r="AK371">
        <v>1</v>
      </c>
      <c r="AL371" t="s">
        <v>32</v>
      </c>
      <c r="AM371" t="s">
        <v>2541</v>
      </c>
      <c r="AN371" t="s">
        <v>2542</v>
      </c>
    </row>
    <row r="372" spans="1:40">
      <c r="A372" t="s">
        <v>2546</v>
      </c>
      <c r="B372" t="s">
        <v>34</v>
      </c>
      <c r="C372" t="s">
        <v>123</v>
      </c>
      <c r="D372" t="s">
        <v>2540</v>
      </c>
      <c r="E372" s="1">
        <v>46071.435856481483</v>
      </c>
      <c r="F372" t="s">
        <v>132</v>
      </c>
      <c r="G372" t="s">
        <v>776</v>
      </c>
      <c r="H372" t="s">
        <v>3665</v>
      </c>
      <c r="I372" t="s">
        <v>136</v>
      </c>
      <c r="J372" t="s">
        <v>135</v>
      </c>
      <c r="K372" t="s">
        <v>134</v>
      </c>
      <c r="M372" t="s">
        <v>3526</v>
      </c>
      <c r="O372" t="s">
        <v>3099</v>
      </c>
      <c r="P372" t="s">
        <v>3100</v>
      </c>
      <c r="R372" t="s">
        <v>46</v>
      </c>
      <c r="S372" t="s">
        <v>136</v>
      </c>
      <c r="T372" t="s">
        <v>136</v>
      </c>
      <c r="U372" s="1">
        <v>46077.34412037037</v>
      </c>
      <c r="V372" t="s">
        <v>31</v>
      </c>
      <c r="W372" t="s">
        <v>33</v>
      </c>
      <c r="X372" t="s">
        <v>3525</v>
      </c>
      <c r="Y372" t="s">
        <v>3379</v>
      </c>
      <c r="Z372" t="s">
        <v>38</v>
      </c>
      <c r="AA372" t="s">
        <v>31</v>
      </c>
      <c r="AB372" t="s">
        <v>227</v>
      </c>
      <c r="AC372" t="s">
        <v>30</v>
      </c>
      <c r="AD372" t="s">
        <v>46</v>
      </c>
      <c r="AE372" t="s">
        <v>3339</v>
      </c>
      <c r="AF372" t="s">
        <v>3339</v>
      </c>
      <c r="AG372" t="s">
        <v>38</v>
      </c>
      <c r="AH372" t="s">
        <v>3738</v>
      </c>
      <c r="AJ372">
        <v>12517</v>
      </c>
      <c r="AK372">
        <v>5</v>
      </c>
      <c r="AL372" t="s">
        <v>32</v>
      </c>
      <c r="AM372" t="s">
        <v>2541</v>
      </c>
      <c r="AN372" t="s">
        <v>2542</v>
      </c>
    </row>
    <row r="373" spans="1:40">
      <c r="A373" t="s">
        <v>2547</v>
      </c>
      <c r="B373" t="s">
        <v>24</v>
      </c>
      <c r="C373" t="s">
        <v>97</v>
      </c>
      <c r="D373" t="s">
        <v>2548</v>
      </c>
      <c r="E373" s="1">
        <v>46071.430162037039</v>
      </c>
      <c r="F373" t="s">
        <v>353</v>
      </c>
      <c r="G373" t="s">
        <v>776</v>
      </c>
      <c r="H373" t="s">
        <v>3671</v>
      </c>
      <c r="I373" t="s">
        <v>2549</v>
      </c>
      <c r="J373" t="s">
        <v>290</v>
      </c>
      <c r="K373" t="s">
        <v>44</v>
      </c>
      <c r="M373" t="s">
        <v>3526</v>
      </c>
      <c r="O373" t="s">
        <v>3103</v>
      </c>
      <c r="P373" t="s">
        <v>3104</v>
      </c>
      <c r="Q373" t="s">
        <v>3678</v>
      </c>
      <c r="R373" t="s">
        <v>46</v>
      </c>
      <c r="S373" t="s">
        <v>2537</v>
      </c>
      <c r="T373" t="s">
        <v>2550</v>
      </c>
      <c r="U373" s="1">
        <v>46077.404143518521</v>
      </c>
      <c r="V373" t="s">
        <v>31</v>
      </c>
      <c r="W373" t="s">
        <v>33</v>
      </c>
      <c r="X373" t="s">
        <v>3530</v>
      </c>
      <c r="Y373" t="s">
        <v>3380</v>
      </c>
      <c r="Z373" t="s">
        <v>38</v>
      </c>
      <c r="AA373" t="s">
        <v>31</v>
      </c>
      <c r="AB373" t="s">
        <v>190</v>
      </c>
      <c r="AC373" t="s">
        <v>86</v>
      </c>
      <c r="AD373" t="s">
        <v>46</v>
      </c>
      <c r="AE373" t="s">
        <v>2537</v>
      </c>
      <c r="AF373" t="s">
        <v>3381</v>
      </c>
      <c r="AG373" t="s">
        <v>38</v>
      </c>
      <c r="AH373">
        <v>15895</v>
      </c>
      <c r="AK373">
        <v>2</v>
      </c>
      <c r="AL373" t="s">
        <v>32</v>
      </c>
      <c r="AM373" t="s">
        <v>2551</v>
      </c>
      <c r="AN373" t="s">
        <v>2552</v>
      </c>
    </row>
    <row r="374" spans="1:40">
      <c r="A374" t="s">
        <v>2553</v>
      </c>
      <c r="B374" t="s">
        <v>24</v>
      </c>
      <c r="C374" t="s">
        <v>2554</v>
      </c>
      <c r="D374" t="s">
        <v>2555</v>
      </c>
      <c r="E374" s="1">
        <v>46071.395636574074</v>
      </c>
      <c r="F374" t="s">
        <v>74</v>
      </c>
      <c r="G374" t="s">
        <v>776</v>
      </c>
      <c r="H374" t="s">
        <v>3665</v>
      </c>
      <c r="I374" t="s">
        <v>850</v>
      </c>
      <c r="J374" t="s">
        <v>253</v>
      </c>
      <c r="K374" t="s">
        <v>44</v>
      </c>
      <c r="M374" t="s">
        <v>3528</v>
      </c>
      <c r="O374" t="s">
        <v>3103</v>
      </c>
      <c r="P374" t="s">
        <v>3104</v>
      </c>
      <c r="R374" t="s">
        <v>46</v>
      </c>
      <c r="S374" t="s">
        <v>110</v>
      </c>
      <c r="T374" t="s">
        <v>111</v>
      </c>
      <c r="U374" s="1">
        <v>46072.434502314813</v>
      </c>
      <c r="V374" t="s">
        <v>31</v>
      </c>
      <c r="W374" t="s">
        <v>33</v>
      </c>
      <c r="X374" t="s">
        <v>3530</v>
      </c>
      <c r="Y374" t="s">
        <v>3382</v>
      </c>
      <c r="Z374" t="s">
        <v>1775</v>
      </c>
      <c r="AA374" t="s">
        <v>31</v>
      </c>
      <c r="AB374" t="s">
        <v>367</v>
      </c>
      <c r="AC374" t="s">
        <v>86</v>
      </c>
      <c r="AD374" t="s">
        <v>46</v>
      </c>
      <c r="AE374" t="s">
        <v>110</v>
      </c>
      <c r="AF374" t="s">
        <v>111</v>
      </c>
      <c r="AG374" t="s">
        <v>1775</v>
      </c>
      <c r="AH374">
        <v>15923</v>
      </c>
      <c r="AK374">
        <v>2</v>
      </c>
      <c r="AL374" t="s">
        <v>32</v>
      </c>
      <c r="AM374" t="s">
        <v>2556</v>
      </c>
      <c r="AN374" t="s">
        <v>2557</v>
      </c>
    </row>
    <row r="375" spans="1:40">
      <c r="A375" t="s">
        <v>2558</v>
      </c>
      <c r="B375" t="s">
        <v>24</v>
      </c>
      <c r="C375" t="s">
        <v>1464</v>
      </c>
      <c r="D375" t="s">
        <v>2072</v>
      </c>
      <c r="E375" s="1">
        <v>46071.375173611108</v>
      </c>
      <c r="F375" t="s">
        <v>62</v>
      </c>
      <c r="G375" t="s">
        <v>776</v>
      </c>
      <c r="H375" t="s">
        <v>3668</v>
      </c>
      <c r="I375" t="s">
        <v>2559</v>
      </c>
      <c r="J375" t="s">
        <v>179</v>
      </c>
      <c r="K375" t="s">
        <v>44</v>
      </c>
      <c r="M375" t="s">
        <v>3526</v>
      </c>
      <c r="O375" t="s">
        <v>3103</v>
      </c>
      <c r="P375" t="s">
        <v>3104</v>
      </c>
      <c r="Q375" t="s">
        <v>3711</v>
      </c>
      <c r="R375" t="s">
        <v>46</v>
      </c>
      <c r="S375" t="s">
        <v>454</v>
      </c>
      <c r="T375" t="s">
        <v>488</v>
      </c>
      <c r="U375" s="1">
        <v>46077.453414351854</v>
      </c>
      <c r="V375" t="s">
        <v>31</v>
      </c>
      <c r="W375" t="s">
        <v>33</v>
      </c>
      <c r="X375" t="s">
        <v>3525</v>
      </c>
      <c r="Y375" t="s">
        <v>3383</v>
      </c>
      <c r="Z375" t="s">
        <v>38</v>
      </c>
      <c r="AA375" t="s">
        <v>31</v>
      </c>
      <c r="AB375" t="s">
        <v>243</v>
      </c>
      <c r="AC375" t="s">
        <v>86</v>
      </c>
      <c r="AD375" t="s">
        <v>46</v>
      </c>
      <c r="AE375" t="s">
        <v>454</v>
      </c>
      <c r="AF375" t="s">
        <v>3116</v>
      </c>
      <c r="AG375" t="s">
        <v>38</v>
      </c>
      <c r="AH375">
        <v>8298</v>
      </c>
      <c r="AK375">
        <v>1</v>
      </c>
      <c r="AL375" t="s">
        <v>32</v>
      </c>
      <c r="AM375" t="s">
        <v>2560</v>
      </c>
      <c r="AN375" t="s">
        <v>2561</v>
      </c>
    </row>
    <row r="376" spans="1:40">
      <c r="A376" t="s">
        <v>2562</v>
      </c>
      <c r="B376" t="s">
        <v>34</v>
      </c>
      <c r="C376" t="s">
        <v>465</v>
      </c>
      <c r="D376" t="s">
        <v>2563</v>
      </c>
      <c r="E376" s="1">
        <v>46071.348333333335</v>
      </c>
      <c r="H376" t="s">
        <v>3671</v>
      </c>
      <c r="I376" t="s">
        <v>252</v>
      </c>
      <c r="J376" t="s">
        <v>253</v>
      </c>
      <c r="K376" t="s">
        <v>44</v>
      </c>
      <c r="M376" t="s">
        <v>3526</v>
      </c>
      <c r="O376" t="s">
        <v>3099</v>
      </c>
      <c r="P376" t="s">
        <v>3100</v>
      </c>
      <c r="Q376" t="s">
        <v>3678</v>
      </c>
      <c r="R376" t="s">
        <v>27</v>
      </c>
      <c r="S376" t="s">
        <v>28</v>
      </c>
      <c r="T376" t="s">
        <v>839</v>
      </c>
      <c r="U376" s="1">
        <v>46077.419328703705</v>
      </c>
      <c r="V376" t="s">
        <v>31</v>
      </c>
      <c r="W376" t="s">
        <v>33</v>
      </c>
      <c r="X376" t="s">
        <v>3536</v>
      </c>
      <c r="Y376" t="s">
        <v>3384</v>
      </c>
      <c r="Z376" t="s">
        <v>38</v>
      </c>
      <c r="AA376" t="s">
        <v>31</v>
      </c>
      <c r="AB376" t="s">
        <v>104</v>
      </c>
      <c r="AC376" t="s">
        <v>30</v>
      </c>
      <c r="AD376" t="s">
        <v>27</v>
      </c>
      <c r="AE376" t="s">
        <v>28</v>
      </c>
      <c r="AF376" t="s">
        <v>839</v>
      </c>
      <c r="AG376" t="s">
        <v>38</v>
      </c>
      <c r="AH376" t="s">
        <v>3740</v>
      </c>
      <c r="AK376">
        <v>10</v>
      </c>
      <c r="AL376" t="s">
        <v>32</v>
      </c>
      <c r="AM376" t="s">
        <v>2564</v>
      </c>
      <c r="AN376" t="s">
        <v>2565</v>
      </c>
    </row>
    <row r="377" spans="1:40">
      <c r="A377" t="s">
        <v>2566</v>
      </c>
      <c r="B377" t="s">
        <v>34</v>
      </c>
      <c r="C377" t="s">
        <v>167</v>
      </c>
      <c r="D377" t="s">
        <v>2567</v>
      </c>
      <c r="E377" s="1">
        <v>46071.240439814814</v>
      </c>
      <c r="F377" t="s">
        <v>878</v>
      </c>
      <c r="G377" t="s">
        <v>776</v>
      </c>
      <c r="H377" t="s">
        <v>3672</v>
      </c>
      <c r="I377" t="s">
        <v>2568</v>
      </c>
      <c r="J377" t="s">
        <v>1501</v>
      </c>
      <c r="K377" t="s">
        <v>134</v>
      </c>
      <c r="M377" t="s">
        <v>3526</v>
      </c>
      <c r="O377" t="s">
        <v>3099</v>
      </c>
      <c r="P377" t="s">
        <v>3100</v>
      </c>
      <c r="Q377" t="s">
        <v>3710</v>
      </c>
      <c r="R377" t="s">
        <v>46</v>
      </c>
      <c r="S377" t="s">
        <v>751</v>
      </c>
      <c r="T377" t="s">
        <v>752</v>
      </c>
      <c r="U377" s="1">
        <v>46078.423368055555</v>
      </c>
      <c r="V377" t="s">
        <v>31</v>
      </c>
      <c r="W377" t="s">
        <v>33</v>
      </c>
      <c r="X377" t="s">
        <v>3525</v>
      </c>
      <c r="Y377" t="s">
        <v>3385</v>
      </c>
      <c r="Z377" t="s">
        <v>38</v>
      </c>
      <c r="AA377" t="s">
        <v>31</v>
      </c>
      <c r="AB377" t="s">
        <v>399</v>
      </c>
      <c r="AC377" t="s">
        <v>30</v>
      </c>
      <c r="AD377" t="s">
        <v>46</v>
      </c>
      <c r="AE377" t="s">
        <v>751</v>
      </c>
      <c r="AF377" t="s">
        <v>752</v>
      </c>
      <c r="AG377" t="s">
        <v>38</v>
      </c>
      <c r="AH377">
        <v>5495</v>
      </c>
      <c r="AK377">
        <v>1</v>
      </c>
      <c r="AL377" t="s">
        <v>32</v>
      </c>
      <c r="AM377" t="s">
        <v>2569</v>
      </c>
      <c r="AN377" t="s">
        <v>2570</v>
      </c>
    </row>
    <row r="378" spans="1:40">
      <c r="A378" t="s">
        <v>2571</v>
      </c>
      <c r="B378" t="s">
        <v>34</v>
      </c>
      <c r="C378" t="s">
        <v>357</v>
      </c>
      <c r="D378" t="s">
        <v>358</v>
      </c>
      <c r="E378" s="1">
        <v>46071.216041666667</v>
      </c>
      <c r="F378" t="s">
        <v>117</v>
      </c>
      <c r="G378" t="s">
        <v>776</v>
      </c>
      <c r="H378" t="s">
        <v>3668</v>
      </c>
      <c r="I378" t="s">
        <v>2572</v>
      </c>
      <c r="J378" t="s">
        <v>642</v>
      </c>
      <c r="K378" t="s">
        <v>134</v>
      </c>
      <c r="M378" t="s">
        <v>3526</v>
      </c>
      <c r="O378" t="s">
        <v>3099</v>
      </c>
      <c r="P378" t="s">
        <v>3100</v>
      </c>
      <c r="Q378" t="s">
        <v>3678</v>
      </c>
      <c r="R378" t="s">
        <v>46</v>
      </c>
      <c r="S378" t="s">
        <v>94</v>
      </c>
      <c r="T378" t="s">
        <v>95</v>
      </c>
      <c r="U378" s="1">
        <v>46078.430694444447</v>
      </c>
      <c r="V378" t="s">
        <v>31</v>
      </c>
      <c r="W378" t="s">
        <v>33</v>
      </c>
      <c r="X378" t="s">
        <v>3525</v>
      </c>
      <c r="Y378" t="e">
        <f>- laptop provided to the user, and profile configured.  - CMDB updated.</f>
        <v>#NAME?</v>
      </c>
      <c r="Z378" t="s">
        <v>38</v>
      </c>
      <c r="AA378" t="s">
        <v>31</v>
      </c>
      <c r="AB378" t="s">
        <v>399</v>
      </c>
      <c r="AC378" t="s">
        <v>30</v>
      </c>
      <c r="AD378" t="s">
        <v>46</v>
      </c>
      <c r="AE378" t="s">
        <v>3374</v>
      </c>
      <c r="AF378" t="s">
        <v>3373</v>
      </c>
      <c r="AG378" t="s">
        <v>38</v>
      </c>
      <c r="AH378">
        <v>11843</v>
      </c>
      <c r="AJ378">
        <v>191686</v>
      </c>
      <c r="AK378">
        <v>5</v>
      </c>
      <c r="AL378" t="s">
        <v>32</v>
      </c>
      <c r="AM378" t="s">
        <v>359</v>
      </c>
      <c r="AN378" t="s">
        <v>360</v>
      </c>
    </row>
    <row r="379" spans="1:40">
      <c r="A379" t="s">
        <v>2573</v>
      </c>
      <c r="B379" t="s">
        <v>34</v>
      </c>
      <c r="C379" t="s">
        <v>241</v>
      </c>
      <c r="D379" t="s">
        <v>54</v>
      </c>
      <c r="E379" s="1">
        <v>46071.21361111111</v>
      </c>
      <c r="F379" t="s">
        <v>128</v>
      </c>
      <c r="G379" t="s">
        <v>776</v>
      </c>
      <c r="H379" t="s">
        <v>3668</v>
      </c>
      <c r="I379" t="s">
        <v>2572</v>
      </c>
      <c r="J379" t="s">
        <v>642</v>
      </c>
      <c r="K379" t="s">
        <v>134</v>
      </c>
      <c r="M379" t="s">
        <v>3526</v>
      </c>
      <c r="O379" t="s">
        <v>3099</v>
      </c>
      <c r="P379" t="s">
        <v>3100</v>
      </c>
      <c r="Q379" t="s">
        <v>3678</v>
      </c>
      <c r="R379" t="s">
        <v>46</v>
      </c>
      <c r="S379" t="s">
        <v>94</v>
      </c>
      <c r="T379" t="s">
        <v>95</v>
      </c>
      <c r="U379" s="1">
        <v>46078.376273148147</v>
      </c>
      <c r="V379" t="s">
        <v>31</v>
      </c>
      <c r="W379" t="s">
        <v>33</v>
      </c>
      <c r="X379" t="s">
        <v>3525</v>
      </c>
      <c r="Y379" t="e">
        <f>- laptop provided to the user, and profile configured.  - CMDB updated.</f>
        <v>#NAME?</v>
      </c>
      <c r="Z379" t="s">
        <v>38</v>
      </c>
      <c r="AA379" t="s">
        <v>31</v>
      </c>
      <c r="AB379" t="s">
        <v>399</v>
      </c>
      <c r="AC379" t="s">
        <v>30</v>
      </c>
      <c r="AD379" t="s">
        <v>46</v>
      </c>
      <c r="AE379" t="s">
        <v>3374</v>
      </c>
      <c r="AF379" t="s">
        <v>3373</v>
      </c>
      <c r="AG379" t="s">
        <v>38</v>
      </c>
      <c r="AH379">
        <v>14495</v>
      </c>
      <c r="AJ379">
        <v>191688</v>
      </c>
      <c r="AK379">
        <v>11</v>
      </c>
      <c r="AL379" t="s">
        <v>32</v>
      </c>
      <c r="AM379" t="s">
        <v>1901</v>
      </c>
      <c r="AN379" t="s">
        <v>1902</v>
      </c>
    </row>
    <row r="380" spans="1:40">
      <c r="A380" t="s">
        <v>2574</v>
      </c>
      <c r="B380" t="s">
        <v>34</v>
      </c>
      <c r="C380" t="s">
        <v>769</v>
      </c>
      <c r="D380" t="s">
        <v>770</v>
      </c>
      <c r="E380" s="1">
        <v>46071.146539351852</v>
      </c>
      <c r="F380" t="s">
        <v>62</v>
      </c>
      <c r="G380" t="s">
        <v>776</v>
      </c>
      <c r="H380" t="s">
        <v>3668</v>
      </c>
      <c r="I380" t="s">
        <v>2097</v>
      </c>
      <c r="J380" t="s">
        <v>772</v>
      </c>
      <c r="K380" t="s">
        <v>651</v>
      </c>
      <c r="M380" t="s">
        <v>3528</v>
      </c>
      <c r="O380" t="s">
        <v>3099</v>
      </c>
      <c r="P380" t="s">
        <v>3100</v>
      </c>
      <c r="Q380" t="s">
        <v>3678</v>
      </c>
      <c r="R380" t="s">
        <v>46</v>
      </c>
      <c r="S380" t="s">
        <v>751</v>
      </c>
      <c r="T380" t="s">
        <v>752</v>
      </c>
      <c r="U380" s="1">
        <v>46072.005254629628</v>
      </c>
      <c r="V380" t="s">
        <v>31</v>
      </c>
      <c r="W380" t="s">
        <v>33</v>
      </c>
      <c r="X380" t="s">
        <v>3525</v>
      </c>
      <c r="Y380" t="s">
        <v>3386</v>
      </c>
      <c r="Z380" t="s">
        <v>1775</v>
      </c>
      <c r="AA380" t="s">
        <v>31</v>
      </c>
      <c r="AB380" t="s">
        <v>399</v>
      </c>
      <c r="AC380" t="s">
        <v>30</v>
      </c>
      <c r="AD380" t="s">
        <v>46</v>
      </c>
      <c r="AE380" t="s">
        <v>751</v>
      </c>
      <c r="AF380" t="s">
        <v>752</v>
      </c>
      <c r="AG380" t="s">
        <v>1775</v>
      </c>
      <c r="AH380" t="s">
        <v>3580</v>
      </c>
      <c r="AK380">
        <v>1</v>
      </c>
      <c r="AL380" t="s">
        <v>32</v>
      </c>
      <c r="AM380" t="s">
        <v>773</v>
      </c>
      <c r="AN380" t="s">
        <v>774</v>
      </c>
    </row>
    <row r="381" spans="1:40">
      <c r="A381" t="s">
        <v>2575</v>
      </c>
      <c r="B381" t="s">
        <v>34</v>
      </c>
      <c r="C381" t="s">
        <v>144</v>
      </c>
      <c r="D381" t="s">
        <v>304</v>
      </c>
      <c r="E381" s="1">
        <v>46071.076249999998</v>
      </c>
      <c r="F381" t="s">
        <v>35</v>
      </c>
      <c r="G381" t="s">
        <v>776</v>
      </c>
      <c r="H381" t="s">
        <v>3672</v>
      </c>
      <c r="I381" t="s">
        <v>252</v>
      </c>
      <c r="J381" t="s">
        <v>514</v>
      </c>
      <c r="K381" t="s">
        <v>44</v>
      </c>
      <c r="M381" t="s">
        <v>3526</v>
      </c>
      <c r="O381" t="s">
        <v>3099</v>
      </c>
      <c r="P381" t="s">
        <v>3100</v>
      </c>
      <c r="Q381" t="s">
        <v>3678</v>
      </c>
      <c r="R381" t="s">
        <v>162</v>
      </c>
      <c r="S381" t="s">
        <v>163</v>
      </c>
      <c r="T381" t="s">
        <v>164</v>
      </c>
      <c r="U381" s="1">
        <v>46077.555613425924</v>
      </c>
      <c r="V381" t="s">
        <v>31</v>
      </c>
      <c r="W381" t="s">
        <v>33</v>
      </c>
      <c r="X381" t="s">
        <v>3536</v>
      </c>
      <c r="Y381" t="s">
        <v>3387</v>
      </c>
      <c r="Z381" t="s">
        <v>38</v>
      </c>
      <c r="AA381" t="s">
        <v>31</v>
      </c>
      <c r="AB381" t="s">
        <v>104</v>
      </c>
      <c r="AC381" t="s">
        <v>30</v>
      </c>
      <c r="AD381" t="s">
        <v>46</v>
      </c>
      <c r="AE381" t="s">
        <v>515</v>
      </c>
      <c r="AF381" t="s">
        <v>2177</v>
      </c>
      <c r="AG381" t="s">
        <v>38</v>
      </c>
      <c r="AH381">
        <v>14570</v>
      </c>
      <c r="AK381">
        <v>12</v>
      </c>
      <c r="AL381" t="s">
        <v>32</v>
      </c>
      <c r="AM381" t="s">
        <v>305</v>
      </c>
      <c r="AN381" t="s">
        <v>306</v>
      </c>
    </row>
    <row r="382" spans="1:40">
      <c r="A382" t="s">
        <v>2576</v>
      </c>
      <c r="B382" t="s">
        <v>34</v>
      </c>
      <c r="C382" t="s">
        <v>1124</v>
      </c>
      <c r="D382" t="s">
        <v>1125</v>
      </c>
      <c r="E382" s="1">
        <v>46070.667986111112</v>
      </c>
      <c r="F382" t="s">
        <v>62</v>
      </c>
      <c r="G382" t="s">
        <v>776</v>
      </c>
      <c r="H382" t="s">
        <v>3668</v>
      </c>
      <c r="I382" t="s">
        <v>2577</v>
      </c>
      <c r="J382" t="s">
        <v>494</v>
      </c>
      <c r="K382" t="s">
        <v>134</v>
      </c>
      <c r="M382" t="s">
        <v>3526</v>
      </c>
      <c r="O382" t="s">
        <v>3099</v>
      </c>
      <c r="P382" t="s">
        <v>3100</v>
      </c>
      <c r="Q382" t="s">
        <v>3697</v>
      </c>
      <c r="R382" t="s">
        <v>491</v>
      </c>
      <c r="S382" t="s">
        <v>1126</v>
      </c>
      <c r="T382" t="s">
        <v>1127</v>
      </c>
      <c r="U382" s="1">
        <v>46077.494930555556</v>
      </c>
      <c r="V382" t="s">
        <v>31</v>
      </c>
      <c r="W382" t="s">
        <v>33</v>
      </c>
      <c r="X382" t="s">
        <v>3525</v>
      </c>
      <c r="Y382" t="e">
        <f>- the toner has been replaced successfully.</f>
        <v>#NAME?</v>
      </c>
      <c r="Z382" t="s">
        <v>38</v>
      </c>
      <c r="AA382" t="s">
        <v>31</v>
      </c>
      <c r="AB382" t="s">
        <v>1128</v>
      </c>
      <c r="AC382" t="s">
        <v>30</v>
      </c>
      <c r="AD382" t="s">
        <v>491</v>
      </c>
      <c r="AE382" t="s">
        <v>1126</v>
      </c>
      <c r="AF382" t="s">
        <v>1127</v>
      </c>
      <c r="AG382" t="s">
        <v>38</v>
      </c>
      <c r="AJ382">
        <v>191689</v>
      </c>
      <c r="AK382">
        <v>6</v>
      </c>
      <c r="AL382" t="s">
        <v>32</v>
      </c>
      <c r="AM382" t="s">
        <v>1128</v>
      </c>
      <c r="AN382" t="s">
        <v>1129</v>
      </c>
    </row>
    <row r="383" spans="1:40">
      <c r="A383" t="s">
        <v>2578</v>
      </c>
      <c r="B383" t="s">
        <v>24</v>
      </c>
      <c r="C383" t="s">
        <v>2014</v>
      </c>
      <c r="D383" t="s">
        <v>2015</v>
      </c>
      <c r="E383" s="1">
        <v>46070.603564814817</v>
      </c>
      <c r="F383" t="s">
        <v>283</v>
      </c>
      <c r="G383" t="s">
        <v>776</v>
      </c>
      <c r="H383" t="s">
        <v>3670</v>
      </c>
      <c r="I383" t="s">
        <v>2579</v>
      </c>
      <c r="J383" t="s">
        <v>411</v>
      </c>
      <c r="K383" t="s">
        <v>44</v>
      </c>
      <c r="M383" t="s">
        <v>3528</v>
      </c>
      <c r="O383" t="s">
        <v>3103</v>
      </c>
      <c r="P383" t="s">
        <v>3104</v>
      </c>
      <c r="Q383" t="s">
        <v>3678</v>
      </c>
      <c r="R383" t="s">
        <v>27</v>
      </c>
      <c r="S383" t="s">
        <v>28</v>
      </c>
      <c r="T383" t="s">
        <v>986</v>
      </c>
      <c r="U383" s="1">
        <v>46073.416400462964</v>
      </c>
      <c r="V383" t="s">
        <v>31</v>
      </c>
      <c r="W383" t="s">
        <v>33</v>
      </c>
      <c r="X383" t="s">
        <v>3530</v>
      </c>
      <c r="Y383" t="s">
        <v>3388</v>
      </c>
      <c r="Z383" t="s">
        <v>1775</v>
      </c>
      <c r="AA383" t="s">
        <v>31</v>
      </c>
      <c r="AB383" t="s">
        <v>413</v>
      </c>
      <c r="AC383" t="s">
        <v>86</v>
      </c>
      <c r="AD383" t="s">
        <v>46</v>
      </c>
      <c r="AE383" t="s">
        <v>313</v>
      </c>
      <c r="AF383" t="s">
        <v>314</v>
      </c>
      <c r="AG383" t="s">
        <v>1775</v>
      </c>
      <c r="AH383">
        <v>15196</v>
      </c>
      <c r="AK383">
        <v>2</v>
      </c>
      <c r="AL383" t="s">
        <v>32</v>
      </c>
      <c r="AM383" t="s">
        <v>2016</v>
      </c>
      <c r="AN383" t="s">
        <v>2017</v>
      </c>
    </row>
    <row r="384" spans="1:40">
      <c r="A384" t="s">
        <v>2580</v>
      </c>
      <c r="B384" t="s">
        <v>24</v>
      </c>
      <c r="C384" t="s">
        <v>1251</v>
      </c>
      <c r="D384" t="s">
        <v>79</v>
      </c>
      <c r="E384" s="1">
        <v>46070.597349537034</v>
      </c>
      <c r="F384" t="s">
        <v>108</v>
      </c>
      <c r="G384" t="s">
        <v>776</v>
      </c>
      <c r="H384" t="s">
        <v>3666</v>
      </c>
      <c r="I384" t="s">
        <v>2581</v>
      </c>
      <c r="J384" t="s">
        <v>300</v>
      </c>
      <c r="K384" t="s">
        <v>44</v>
      </c>
      <c r="M384" t="s">
        <v>3526</v>
      </c>
      <c r="O384" t="s">
        <v>3103</v>
      </c>
      <c r="P384" t="s">
        <v>3104</v>
      </c>
      <c r="Q384" t="s">
        <v>3678</v>
      </c>
      <c r="R384" t="s">
        <v>162</v>
      </c>
      <c r="S384" t="s">
        <v>163</v>
      </c>
      <c r="T384" t="s">
        <v>164</v>
      </c>
      <c r="U384" s="1">
        <v>46077.465555555558</v>
      </c>
      <c r="V384" t="s">
        <v>31</v>
      </c>
      <c r="W384" t="s">
        <v>33</v>
      </c>
      <c r="X384" t="s">
        <v>3536</v>
      </c>
      <c r="Y384" t="e">
        <f>- Repaired MS teams meeting add-on. - restarted outlook.  - now user can join and create teams meetings.</f>
        <v>#NAME?</v>
      </c>
      <c r="Z384" t="s">
        <v>38</v>
      </c>
      <c r="AA384" t="s">
        <v>31</v>
      </c>
      <c r="AB384" t="s">
        <v>104</v>
      </c>
      <c r="AC384" t="s">
        <v>86</v>
      </c>
      <c r="AD384" t="s">
        <v>46</v>
      </c>
      <c r="AE384" t="s">
        <v>374</v>
      </c>
      <c r="AF384" t="s">
        <v>375</v>
      </c>
      <c r="AG384" t="s">
        <v>38</v>
      </c>
      <c r="AH384">
        <v>13338</v>
      </c>
      <c r="AK384">
        <v>3</v>
      </c>
      <c r="AL384" t="s">
        <v>32</v>
      </c>
      <c r="AM384" t="s">
        <v>1252</v>
      </c>
      <c r="AN384" t="s">
        <v>1253</v>
      </c>
    </row>
    <row r="385" spans="1:40">
      <c r="A385" t="s">
        <v>2582</v>
      </c>
      <c r="B385" t="s">
        <v>34</v>
      </c>
      <c r="C385" t="s">
        <v>532</v>
      </c>
      <c r="D385" t="s">
        <v>2583</v>
      </c>
      <c r="E385" s="1">
        <v>46070.583622685182</v>
      </c>
      <c r="F385" t="s">
        <v>101</v>
      </c>
      <c r="G385" t="s">
        <v>776</v>
      </c>
      <c r="H385" t="s">
        <v>3667</v>
      </c>
      <c r="I385" t="s">
        <v>1471</v>
      </c>
      <c r="J385" t="s">
        <v>765</v>
      </c>
      <c r="K385" t="s">
        <v>134</v>
      </c>
      <c r="M385" t="s">
        <v>3528</v>
      </c>
      <c r="O385" t="s">
        <v>3099</v>
      </c>
      <c r="P385" t="s">
        <v>3100</v>
      </c>
      <c r="Q385" t="s">
        <v>3678</v>
      </c>
      <c r="R385" t="s">
        <v>46</v>
      </c>
      <c r="S385" t="s">
        <v>348</v>
      </c>
      <c r="T385" t="s">
        <v>506</v>
      </c>
      <c r="U385" s="1">
        <v>46072.568356481483</v>
      </c>
      <c r="V385" t="s">
        <v>31</v>
      </c>
      <c r="W385" t="s">
        <v>33</v>
      </c>
      <c r="X385" t="s">
        <v>3530</v>
      </c>
      <c r="Y385" t="s">
        <v>3389</v>
      </c>
      <c r="Z385" t="s">
        <v>1775</v>
      </c>
      <c r="AA385" t="s">
        <v>31</v>
      </c>
      <c r="AB385" t="s">
        <v>413</v>
      </c>
      <c r="AC385" t="s">
        <v>30</v>
      </c>
      <c r="AD385" t="s">
        <v>46</v>
      </c>
      <c r="AE385" t="s">
        <v>348</v>
      </c>
      <c r="AF385" t="s">
        <v>506</v>
      </c>
      <c r="AG385" t="s">
        <v>1775</v>
      </c>
      <c r="AH385">
        <v>878</v>
      </c>
      <c r="AK385">
        <v>1</v>
      </c>
      <c r="AL385" t="s">
        <v>32</v>
      </c>
      <c r="AM385" t="s">
        <v>2584</v>
      </c>
      <c r="AN385" t="s">
        <v>2585</v>
      </c>
    </row>
    <row r="386" spans="1:40">
      <c r="A386" t="s">
        <v>2586</v>
      </c>
      <c r="B386" t="s">
        <v>34</v>
      </c>
      <c r="C386" t="s">
        <v>328</v>
      </c>
      <c r="D386" t="s">
        <v>99</v>
      </c>
      <c r="E386" s="1">
        <v>46070.556388888886</v>
      </c>
      <c r="F386" t="s">
        <v>161</v>
      </c>
      <c r="G386" t="s">
        <v>776</v>
      </c>
      <c r="H386" t="s">
        <v>3667</v>
      </c>
      <c r="I386" t="s">
        <v>2587</v>
      </c>
      <c r="J386" t="s">
        <v>1219</v>
      </c>
      <c r="K386" t="s">
        <v>134</v>
      </c>
      <c r="M386" t="s">
        <v>3529</v>
      </c>
      <c r="O386" t="s">
        <v>3099</v>
      </c>
      <c r="P386" t="s">
        <v>3100</v>
      </c>
      <c r="Q386" t="s">
        <v>3678</v>
      </c>
      <c r="R386" t="s">
        <v>46</v>
      </c>
      <c r="S386" t="s">
        <v>365</v>
      </c>
      <c r="T386" t="s">
        <v>2588</v>
      </c>
      <c r="U386" s="1">
        <v>46076.357581018521</v>
      </c>
      <c r="V386" t="s">
        <v>31</v>
      </c>
      <c r="W386" t="s">
        <v>33</v>
      </c>
      <c r="X386" t="s">
        <v>3525</v>
      </c>
      <c r="Y386" t="s">
        <v>3390</v>
      </c>
      <c r="Z386" t="s">
        <v>38</v>
      </c>
      <c r="AA386" t="s">
        <v>31</v>
      </c>
      <c r="AB386" t="s">
        <v>227</v>
      </c>
      <c r="AC386" t="s">
        <v>30</v>
      </c>
      <c r="AD386" t="s">
        <v>46</v>
      </c>
      <c r="AE386" t="s">
        <v>365</v>
      </c>
      <c r="AF386" t="s">
        <v>2588</v>
      </c>
      <c r="AG386" t="s">
        <v>38</v>
      </c>
      <c r="AH386">
        <v>15168</v>
      </c>
      <c r="AJ386">
        <v>191681</v>
      </c>
      <c r="AK386">
        <v>5</v>
      </c>
      <c r="AL386" t="s">
        <v>32</v>
      </c>
      <c r="AM386" t="s">
        <v>329</v>
      </c>
      <c r="AN386" t="s">
        <v>330</v>
      </c>
    </row>
    <row r="387" spans="1:40">
      <c r="A387" t="s">
        <v>2589</v>
      </c>
      <c r="B387" t="s">
        <v>34</v>
      </c>
      <c r="C387" t="s">
        <v>99</v>
      </c>
      <c r="D387" t="s">
        <v>2590</v>
      </c>
      <c r="E387" s="1">
        <v>46070.555104166669</v>
      </c>
      <c r="F387" t="s">
        <v>114</v>
      </c>
      <c r="G387" t="s">
        <v>776</v>
      </c>
      <c r="H387" t="s">
        <v>3669</v>
      </c>
      <c r="I387" t="s">
        <v>2591</v>
      </c>
      <c r="J387" t="s">
        <v>680</v>
      </c>
      <c r="K387" t="s">
        <v>44</v>
      </c>
      <c r="M387" t="s">
        <v>3528</v>
      </c>
      <c r="O387" t="s">
        <v>3099</v>
      </c>
      <c r="P387" t="s">
        <v>3100</v>
      </c>
      <c r="Q387" t="s">
        <v>3678</v>
      </c>
      <c r="R387" t="s">
        <v>162</v>
      </c>
      <c r="S387" t="s">
        <v>163</v>
      </c>
      <c r="T387" t="s">
        <v>164</v>
      </c>
      <c r="U387" s="1">
        <v>46073.571435185186</v>
      </c>
      <c r="V387" t="s">
        <v>31</v>
      </c>
      <c r="W387" t="s">
        <v>33</v>
      </c>
      <c r="X387" t="s">
        <v>3536</v>
      </c>
      <c r="Y387" t="s">
        <v>3391</v>
      </c>
      <c r="Z387" t="s">
        <v>1775</v>
      </c>
      <c r="AA387" t="s">
        <v>31</v>
      </c>
      <c r="AB387" t="s">
        <v>104</v>
      </c>
      <c r="AC387" t="s">
        <v>30</v>
      </c>
      <c r="AD387" t="s">
        <v>46</v>
      </c>
      <c r="AE387" t="s">
        <v>659</v>
      </c>
      <c r="AF387" t="s">
        <v>3392</v>
      </c>
      <c r="AG387" t="s">
        <v>1775</v>
      </c>
      <c r="AH387">
        <v>14466</v>
      </c>
      <c r="AK387">
        <v>9</v>
      </c>
      <c r="AL387" t="s">
        <v>32</v>
      </c>
      <c r="AM387" t="s">
        <v>2592</v>
      </c>
      <c r="AN387" t="s">
        <v>2593</v>
      </c>
    </row>
    <row r="388" spans="1:40">
      <c r="A388" t="s">
        <v>2594</v>
      </c>
      <c r="B388" t="s">
        <v>24</v>
      </c>
      <c r="C388" t="s">
        <v>2359</v>
      </c>
      <c r="D388" t="s">
        <v>2360</v>
      </c>
      <c r="E388" s="1">
        <v>46070.551886574074</v>
      </c>
      <c r="F388" t="s">
        <v>238</v>
      </c>
      <c r="G388" t="s">
        <v>776</v>
      </c>
      <c r="H388" t="s">
        <v>3665</v>
      </c>
      <c r="I388" t="s">
        <v>2595</v>
      </c>
      <c r="J388" t="s">
        <v>817</v>
      </c>
      <c r="K388" t="s">
        <v>134</v>
      </c>
      <c r="M388" t="s">
        <v>3528</v>
      </c>
      <c r="O388" t="s">
        <v>3103</v>
      </c>
      <c r="P388" t="s">
        <v>3104</v>
      </c>
      <c r="Q388" t="s">
        <v>3708</v>
      </c>
      <c r="R388" t="s">
        <v>46</v>
      </c>
      <c r="S388" t="s">
        <v>197</v>
      </c>
      <c r="T388" t="s">
        <v>725</v>
      </c>
      <c r="U388" s="1">
        <v>46072.508773148147</v>
      </c>
      <c r="V388" t="s">
        <v>31</v>
      </c>
      <c r="W388" t="s">
        <v>33</v>
      </c>
      <c r="X388" t="s">
        <v>3530</v>
      </c>
      <c r="Y388" t="s">
        <v>3393</v>
      </c>
      <c r="Z388" t="s">
        <v>1775</v>
      </c>
      <c r="AA388" t="s">
        <v>31</v>
      </c>
      <c r="AB388" t="s">
        <v>413</v>
      </c>
      <c r="AC388" t="s">
        <v>86</v>
      </c>
      <c r="AD388" t="s">
        <v>46</v>
      </c>
      <c r="AE388" t="s">
        <v>197</v>
      </c>
      <c r="AF388" t="s">
        <v>875</v>
      </c>
      <c r="AG388" t="s">
        <v>1775</v>
      </c>
      <c r="AH388">
        <v>6361</v>
      </c>
      <c r="AK388">
        <v>10</v>
      </c>
      <c r="AL388" t="s">
        <v>32</v>
      </c>
      <c r="AM388" t="s">
        <v>2361</v>
      </c>
      <c r="AN388" t="s">
        <v>2362</v>
      </c>
    </row>
    <row r="389" spans="1:40">
      <c r="A389" t="s">
        <v>2596</v>
      </c>
      <c r="B389" t="s">
        <v>24</v>
      </c>
      <c r="C389" t="s">
        <v>25</v>
      </c>
      <c r="D389" t="s">
        <v>2597</v>
      </c>
      <c r="E389" s="1">
        <v>46070.544756944444</v>
      </c>
      <c r="F389" t="s">
        <v>168</v>
      </c>
      <c r="G389" t="s">
        <v>776</v>
      </c>
      <c r="H389" t="s">
        <v>3669</v>
      </c>
      <c r="I389" t="s">
        <v>338</v>
      </c>
      <c r="J389" t="s">
        <v>231</v>
      </c>
      <c r="K389" t="s">
        <v>134</v>
      </c>
      <c r="M389" t="s">
        <v>3528</v>
      </c>
      <c r="O389" t="s">
        <v>3144</v>
      </c>
      <c r="P389" t="s">
        <v>3145</v>
      </c>
      <c r="Q389" t="s">
        <v>3678</v>
      </c>
      <c r="R389" t="s">
        <v>46</v>
      </c>
      <c r="S389" t="s">
        <v>338</v>
      </c>
      <c r="T389" t="s">
        <v>890</v>
      </c>
      <c r="U389" s="1">
        <v>46072.462361111109</v>
      </c>
      <c r="V389" t="s">
        <v>31</v>
      </c>
      <c r="W389" t="s">
        <v>33</v>
      </c>
      <c r="X389" t="s">
        <v>3525</v>
      </c>
      <c r="Y389" t="s">
        <v>3394</v>
      </c>
      <c r="Z389" t="s">
        <v>1775</v>
      </c>
      <c r="AA389" t="s">
        <v>31</v>
      </c>
      <c r="AB389" t="s">
        <v>227</v>
      </c>
      <c r="AC389" t="s">
        <v>284</v>
      </c>
      <c r="AD389" t="s">
        <v>46</v>
      </c>
      <c r="AE389" t="s">
        <v>338</v>
      </c>
      <c r="AF389" t="s">
        <v>890</v>
      </c>
      <c r="AG389" t="s">
        <v>1775</v>
      </c>
      <c r="AH389" t="s">
        <v>3742</v>
      </c>
      <c r="AK389">
        <v>1</v>
      </c>
      <c r="AL389" t="s">
        <v>32</v>
      </c>
      <c r="AM389" t="s">
        <v>2598</v>
      </c>
      <c r="AN389" t="s">
        <v>2599</v>
      </c>
    </row>
    <row r="390" spans="1:40">
      <c r="A390" t="s">
        <v>2600</v>
      </c>
      <c r="B390" t="s">
        <v>24</v>
      </c>
      <c r="C390" t="s">
        <v>2601</v>
      </c>
      <c r="D390" t="s">
        <v>2602</v>
      </c>
      <c r="E390" s="1">
        <v>46070.537812499999</v>
      </c>
      <c r="F390" t="s">
        <v>128</v>
      </c>
      <c r="G390" t="s">
        <v>776</v>
      </c>
      <c r="H390" t="s">
        <v>3668</v>
      </c>
      <c r="I390" t="s">
        <v>338</v>
      </c>
      <c r="J390" t="s">
        <v>642</v>
      </c>
      <c r="K390" t="s">
        <v>134</v>
      </c>
      <c r="M390" t="s">
        <v>3528</v>
      </c>
      <c r="O390" t="s">
        <v>3144</v>
      </c>
      <c r="P390" t="s">
        <v>3145</v>
      </c>
      <c r="Q390" t="s">
        <v>3678</v>
      </c>
      <c r="R390" t="s">
        <v>46</v>
      </c>
      <c r="S390" t="s">
        <v>338</v>
      </c>
      <c r="T390" t="s">
        <v>890</v>
      </c>
      <c r="U390" s="1">
        <v>46072.379930555559</v>
      </c>
      <c r="V390" t="s">
        <v>31</v>
      </c>
      <c r="W390" t="s">
        <v>33</v>
      </c>
      <c r="X390" t="s">
        <v>3525</v>
      </c>
      <c r="Y390" t="e">
        <f>- full scan Completed  - re-connected to RTA Network</f>
        <v>#NAME?</v>
      </c>
      <c r="Z390" t="s">
        <v>1775</v>
      </c>
      <c r="AA390" t="s">
        <v>31</v>
      </c>
      <c r="AB390" t="s">
        <v>227</v>
      </c>
      <c r="AC390" t="s">
        <v>284</v>
      </c>
      <c r="AD390" t="s">
        <v>46</v>
      </c>
      <c r="AE390" t="s">
        <v>338</v>
      </c>
      <c r="AF390" t="s">
        <v>890</v>
      </c>
      <c r="AG390" t="s">
        <v>1775</v>
      </c>
      <c r="AH390" t="s">
        <v>3743</v>
      </c>
      <c r="AK390">
        <v>1</v>
      </c>
      <c r="AL390" t="s">
        <v>32</v>
      </c>
      <c r="AM390" t="s">
        <v>2603</v>
      </c>
      <c r="AN390" t="s">
        <v>2604</v>
      </c>
    </row>
    <row r="391" spans="1:40">
      <c r="A391" t="s">
        <v>2605</v>
      </c>
      <c r="B391" t="s">
        <v>24</v>
      </c>
      <c r="C391" t="s">
        <v>2606</v>
      </c>
      <c r="D391" t="s">
        <v>2607</v>
      </c>
      <c r="E391" s="1">
        <v>46070.533958333333</v>
      </c>
      <c r="F391" t="s">
        <v>118</v>
      </c>
      <c r="G391" t="s">
        <v>776</v>
      </c>
      <c r="H391" t="s">
        <v>3666</v>
      </c>
      <c r="I391" t="s">
        <v>2608</v>
      </c>
      <c r="J391" t="s">
        <v>1501</v>
      </c>
      <c r="K391" t="s">
        <v>134</v>
      </c>
      <c r="M391" t="s">
        <v>3526</v>
      </c>
      <c r="O391" t="s">
        <v>3103</v>
      </c>
      <c r="P391" t="s">
        <v>3104</v>
      </c>
      <c r="R391" t="s">
        <v>46</v>
      </c>
      <c r="S391" t="s">
        <v>197</v>
      </c>
      <c r="T391" t="s">
        <v>875</v>
      </c>
      <c r="U391" s="1">
        <v>46077.559131944443</v>
      </c>
      <c r="V391" t="s">
        <v>31</v>
      </c>
      <c r="W391" t="s">
        <v>33</v>
      </c>
      <c r="X391" t="s">
        <v>3530</v>
      </c>
      <c r="Y391" t="s">
        <v>3395</v>
      </c>
      <c r="Z391" t="s">
        <v>38</v>
      </c>
      <c r="AA391" t="s">
        <v>31</v>
      </c>
      <c r="AB391" t="s">
        <v>413</v>
      </c>
      <c r="AC391" t="s">
        <v>86</v>
      </c>
      <c r="AD391" t="s">
        <v>46</v>
      </c>
      <c r="AE391" t="s">
        <v>365</v>
      </c>
      <c r="AF391" t="s">
        <v>3396</v>
      </c>
      <c r="AG391" t="s">
        <v>38</v>
      </c>
      <c r="AH391" t="s">
        <v>3744</v>
      </c>
      <c r="AJ391">
        <v>191697</v>
      </c>
      <c r="AK391">
        <v>9</v>
      </c>
      <c r="AL391" t="s">
        <v>32</v>
      </c>
      <c r="AM391" t="s">
        <v>2609</v>
      </c>
      <c r="AN391" t="s">
        <v>2610</v>
      </c>
    </row>
    <row r="392" spans="1:40">
      <c r="A392" t="s">
        <v>2611</v>
      </c>
      <c r="B392" t="s">
        <v>24</v>
      </c>
      <c r="C392" t="s">
        <v>124</v>
      </c>
      <c r="D392" t="s">
        <v>356</v>
      </c>
      <c r="E392" s="1">
        <v>46070.496157407404</v>
      </c>
      <c r="F392" t="s">
        <v>26</v>
      </c>
      <c r="G392" t="s">
        <v>776</v>
      </c>
      <c r="H392" t="s">
        <v>3665</v>
      </c>
      <c r="I392" t="s">
        <v>875</v>
      </c>
      <c r="J392" t="s">
        <v>765</v>
      </c>
      <c r="K392" t="s">
        <v>134</v>
      </c>
      <c r="M392" t="s">
        <v>3526</v>
      </c>
      <c r="O392" t="s">
        <v>3103</v>
      </c>
      <c r="P392" t="s">
        <v>3104</v>
      </c>
      <c r="Q392" t="s">
        <v>3691</v>
      </c>
      <c r="R392" t="s">
        <v>46</v>
      </c>
      <c r="S392" t="s">
        <v>197</v>
      </c>
      <c r="T392" t="s">
        <v>875</v>
      </c>
      <c r="U392" s="1">
        <v>46077.483460648145</v>
      </c>
      <c r="V392" t="s">
        <v>31</v>
      </c>
      <c r="W392" t="s">
        <v>33</v>
      </c>
      <c r="X392" t="s">
        <v>3530</v>
      </c>
      <c r="Y392" t="s">
        <v>3397</v>
      </c>
      <c r="Z392" t="s">
        <v>38</v>
      </c>
      <c r="AA392" t="s">
        <v>31</v>
      </c>
      <c r="AB392" t="s">
        <v>367</v>
      </c>
      <c r="AC392" t="s">
        <v>86</v>
      </c>
      <c r="AD392" t="s">
        <v>46</v>
      </c>
      <c r="AE392" t="s">
        <v>197</v>
      </c>
      <c r="AF392" t="s">
        <v>875</v>
      </c>
      <c r="AG392" t="s">
        <v>38</v>
      </c>
      <c r="AH392">
        <v>5548</v>
      </c>
      <c r="AK392">
        <v>1</v>
      </c>
      <c r="AL392" t="s">
        <v>181</v>
      </c>
      <c r="AM392" t="s">
        <v>2612</v>
      </c>
      <c r="AN392" t="s">
        <v>2613</v>
      </c>
    </row>
    <row r="393" spans="1:40">
      <c r="A393" t="s">
        <v>2614</v>
      </c>
      <c r="B393" t="s">
        <v>24</v>
      </c>
      <c r="C393" t="s">
        <v>323</v>
      </c>
      <c r="D393" t="s">
        <v>324</v>
      </c>
      <c r="E393" s="1">
        <v>46070.46707175926</v>
      </c>
      <c r="F393" t="s">
        <v>62</v>
      </c>
      <c r="G393" t="s">
        <v>776</v>
      </c>
      <c r="H393" t="s">
        <v>3668</v>
      </c>
      <c r="I393" t="s">
        <v>2615</v>
      </c>
      <c r="J393" t="s">
        <v>642</v>
      </c>
      <c r="K393" t="s">
        <v>134</v>
      </c>
      <c r="M393" t="s">
        <v>3526</v>
      </c>
      <c r="O393" t="s">
        <v>3103</v>
      </c>
      <c r="P393" t="s">
        <v>3104</v>
      </c>
      <c r="Q393" t="s">
        <v>3745</v>
      </c>
      <c r="R393" t="s">
        <v>162</v>
      </c>
      <c r="S393" t="s">
        <v>163</v>
      </c>
      <c r="T393" t="s">
        <v>164</v>
      </c>
      <c r="U393" s="1">
        <v>46077.400659722225</v>
      </c>
      <c r="V393" t="s">
        <v>31</v>
      </c>
      <c r="W393" t="s">
        <v>33</v>
      </c>
      <c r="X393" t="s">
        <v>3536</v>
      </c>
      <c r="Y393" t="s">
        <v>3398</v>
      </c>
      <c r="Z393" t="s">
        <v>38</v>
      </c>
      <c r="AA393" t="s">
        <v>31</v>
      </c>
      <c r="AB393" t="s">
        <v>104</v>
      </c>
      <c r="AC393" t="s">
        <v>86</v>
      </c>
      <c r="AD393" t="s">
        <v>46</v>
      </c>
      <c r="AE393" t="s">
        <v>197</v>
      </c>
      <c r="AF393" t="s">
        <v>875</v>
      </c>
      <c r="AG393" t="s">
        <v>38</v>
      </c>
      <c r="AH393" t="s">
        <v>3550</v>
      </c>
      <c r="AK393">
        <v>11</v>
      </c>
      <c r="AL393" t="s">
        <v>32</v>
      </c>
      <c r="AM393" t="s">
        <v>325</v>
      </c>
      <c r="AN393" t="s">
        <v>326</v>
      </c>
    </row>
    <row r="394" spans="1:40">
      <c r="A394" t="s">
        <v>2616</v>
      </c>
      <c r="B394" t="s">
        <v>24</v>
      </c>
      <c r="C394" t="s">
        <v>594</v>
      </c>
      <c r="D394" t="s">
        <v>658</v>
      </c>
      <c r="E394" s="1">
        <v>46070.460289351853</v>
      </c>
      <c r="F394" t="s">
        <v>26</v>
      </c>
      <c r="G394" t="s">
        <v>776</v>
      </c>
      <c r="H394" t="s">
        <v>3665</v>
      </c>
      <c r="I394" t="s">
        <v>875</v>
      </c>
      <c r="J394" t="s">
        <v>765</v>
      </c>
      <c r="K394" t="s">
        <v>134</v>
      </c>
      <c r="M394" t="s">
        <v>3526</v>
      </c>
      <c r="O394" t="s">
        <v>3103</v>
      </c>
      <c r="P394" t="s">
        <v>3104</v>
      </c>
      <c r="Q394" t="s">
        <v>3703</v>
      </c>
      <c r="R394" t="s">
        <v>46</v>
      </c>
      <c r="S394" t="s">
        <v>197</v>
      </c>
      <c r="T394" t="s">
        <v>875</v>
      </c>
      <c r="U394" s="1">
        <v>46078.584108796298</v>
      </c>
      <c r="V394" t="s">
        <v>31</v>
      </c>
      <c r="W394" t="s">
        <v>33</v>
      </c>
      <c r="X394" t="s">
        <v>3530</v>
      </c>
      <c r="Y394" t="s">
        <v>3399</v>
      </c>
      <c r="Z394" t="s">
        <v>38</v>
      </c>
      <c r="AA394" t="s">
        <v>31</v>
      </c>
      <c r="AB394" t="s">
        <v>367</v>
      </c>
      <c r="AC394" t="s">
        <v>86</v>
      </c>
      <c r="AD394" t="s">
        <v>46</v>
      </c>
      <c r="AE394" t="s">
        <v>197</v>
      </c>
      <c r="AF394" t="s">
        <v>875</v>
      </c>
      <c r="AG394" t="s">
        <v>38</v>
      </c>
      <c r="AH394">
        <v>6445</v>
      </c>
      <c r="AK394">
        <v>8</v>
      </c>
      <c r="AL394" t="s">
        <v>32</v>
      </c>
      <c r="AM394" t="s">
        <v>660</v>
      </c>
      <c r="AN394" t="s">
        <v>661</v>
      </c>
    </row>
    <row r="395" spans="1:40">
      <c r="A395" t="s">
        <v>2617</v>
      </c>
      <c r="B395" t="s">
        <v>24</v>
      </c>
      <c r="C395" t="s">
        <v>2618</v>
      </c>
      <c r="D395" t="s">
        <v>2619</v>
      </c>
      <c r="E395" s="1">
        <v>46070.446469907409</v>
      </c>
      <c r="F395" t="s">
        <v>62</v>
      </c>
      <c r="G395" t="s">
        <v>776</v>
      </c>
      <c r="H395" t="s">
        <v>3668</v>
      </c>
      <c r="I395" t="s">
        <v>2620</v>
      </c>
      <c r="J395" t="s">
        <v>179</v>
      </c>
      <c r="K395" t="s">
        <v>44</v>
      </c>
      <c r="M395" t="s">
        <v>3528</v>
      </c>
      <c r="O395" t="s">
        <v>3103</v>
      </c>
      <c r="P395" t="s">
        <v>3104</v>
      </c>
      <c r="Q395" t="s">
        <v>3678</v>
      </c>
      <c r="R395" t="s">
        <v>46</v>
      </c>
      <c r="S395" t="s">
        <v>188</v>
      </c>
      <c r="T395" t="s">
        <v>431</v>
      </c>
      <c r="U395" s="1">
        <v>46072.577187499999</v>
      </c>
      <c r="V395" t="s">
        <v>31</v>
      </c>
      <c r="W395" t="s">
        <v>33</v>
      </c>
      <c r="X395" t="s">
        <v>3530</v>
      </c>
      <c r="Y395" t="s">
        <v>3236</v>
      </c>
      <c r="Z395" t="s">
        <v>1775</v>
      </c>
      <c r="AA395" t="s">
        <v>31</v>
      </c>
      <c r="AB395" t="s">
        <v>350</v>
      </c>
      <c r="AC395" t="s">
        <v>86</v>
      </c>
      <c r="AD395" t="s">
        <v>46</v>
      </c>
      <c r="AE395" t="s">
        <v>188</v>
      </c>
      <c r="AF395" t="s">
        <v>189</v>
      </c>
      <c r="AG395" t="s">
        <v>1775</v>
      </c>
      <c r="AH395" t="s">
        <v>3746</v>
      </c>
      <c r="AK395">
        <v>2</v>
      </c>
      <c r="AL395" t="s">
        <v>32</v>
      </c>
      <c r="AM395" t="s">
        <v>2621</v>
      </c>
      <c r="AN395" t="s">
        <v>2622</v>
      </c>
    </row>
    <row r="396" spans="1:40">
      <c r="A396" t="s">
        <v>2623</v>
      </c>
      <c r="B396" t="s">
        <v>34</v>
      </c>
      <c r="C396" t="s">
        <v>234</v>
      </c>
      <c r="D396" t="s">
        <v>2624</v>
      </c>
      <c r="E396" s="1">
        <v>46070.42287037037</v>
      </c>
      <c r="F396" t="s">
        <v>143</v>
      </c>
      <c r="G396" t="s">
        <v>776</v>
      </c>
      <c r="H396" t="s">
        <v>3670</v>
      </c>
      <c r="I396" t="s">
        <v>252</v>
      </c>
      <c r="J396" t="s">
        <v>253</v>
      </c>
      <c r="K396" t="s">
        <v>44</v>
      </c>
      <c r="M396" t="s">
        <v>3526</v>
      </c>
      <c r="O396" t="s">
        <v>3099</v>
      </c>
      <c r="P396" t="s">
        <v>3100</v>
      </c>
      <c r="Q396" t="s">
        <v>3678</v>
      </c>
      <c r="R396" t="s">
        <v>162</v>
      </c>
      <c r="S396" t="s">
        <v>163</v>
      </c>
      <c r="T396" t="s">
        <v>164</v>
      </c>
      <c r="U396" s="1">
        <v>46078.446898148148</v>
      </c>
      <c r="V396" t="s">
        <v>31</v>
      </c>
      <c r="W396" t="s">
        <v>33</v>
      </c>
      <c r="X396" t="s">
        <v>3536</v>
      </c>
      <c r="Y396" t="s">
        <v>3400</v>
      </c>
      <c r="Z396" t="s">
        <v>38</v>
      </c>
      <c r="AA396" t="s">
        <v>31</v>
      </c>
      <c r="AB396" t="s">
        <v>104</v>
      </c>
      <c r="AC396" t="s">
        <v>30</v>
      </c>
      <c r="AD396" t="s">
        <v>46</v>
      </c>
      <c r="AE396" t="s">
        <v>515</v>
      </c>
      <c r="AF396" t="s">
        <v>2177</v>
      </c>
      <c r="AG396" t="s">
        <v>38</v>
      </c>
      <c r="AH396">
        <v>15390</v>
      </c>
      <c r="AK396">
        <v>18</v>
      </c>
      <c r="AL396" t="s">
        <v>32</v>
      </c>
      <c r="AM396" t="s">
        <v>2625</v>
      </c>
      <c r="AN396" t="s">
        <v>2626</v>
      </c>
    </row>
    <row r="397" spans="1:40">
      <c r="A397" t="s">
        <v>2627</v>
      </c>
      <c r="B397" t="s">
        <v>34</v>
      </c>
      <c r="C397" t="s">
        <v>2628</v>
      </c>
      <c r="D397" t="s">
        <v>441</v>
      </c>
      <c r="E397" s="1">
        <v>46070.37128472222</v>
      </c>
      <c r="F397" t="s">
        <v>333</v>
      </c>
      <c r="G397" t="s">
        <v>776</v>
      </c>
      <c r="H397" t="s">
        <v>3671</v>
      </c>
      <c r="I397" t="s">
        <v>2629</v>
      </c>
      <c r="J397" t="s">
        <v>320</v>
      </c>
      <c r="K397" t="s">
        <v>134</v>
      </c>
      <c r="M397" t="s">
        <v>3526</v>
      </c>
      <c r="O397" t="s">
        <v>3099</v>
      </c>
      <c r="P397" t="s">
        <v>3100</v>
      </c>
      <c r="Q397" t="s">
        <v>3747</v>
      </c>
      <c r="R397" t="s">
        <v>46</v>
      </c>
      <c r="S397" t="s">
        <v>1062</v>
      </c>
      <c r="T397" t="s">
        <v>2630</v>
      </c>
      <c r="U397" s="1">
        <v>46077.400983796295</v>
      </c>
      <c r="V397" t="s">
        <v>31</v>
      </c>
      <c r="W397" t="s">
        <v>33</v>
      </c>
      <c r="X397" t="s">
        <v>3525</v>
      </c>
      <c r="Y397" t="s">
        <v>3401</v>
      </c>
      <c r="Z397" t="s">
        <v>38</v>
      </c>
      <c r="AA397" t="s">
        <v>31</v>
      </c>
      <c r="AB397" t="s">
        <v>49</v>
      </c>
      <c r="AC397" t="s">
        <v>30</v>
      </c>
      <c r="AD397" t="s">
        <v>46</v>
      </c>
      <c r="AE397" t="s">
        <v>1062</v>
      </c>
      <c r="AF397" t="s">
        <v>2737</v>
      </c>
      <c r="AG397" t="s">
        <v>38</v>
      </c>
      <c r="AH397">
        <v>3576</v>
      </c>
      <c r="AJ397">
        <v>191696</v>
      </c>
      <c r="AK397">
        <v>11</v>
      </c>
      <c r="AL397" t="s">
        <v>32</v>
      </c>
      <c r="AM397" t="s">
        <v>2631</v>
      </c>
      <c r="AN397" t="s">
        <v>2632</v>
      </c>
    </row>
    <row r="398" spans="1:40">
      <c r="A398" t="s">
        <v>2637</v>
      </c>
      <c r="B398" t="s">
        <v>34</v>
      </c>
      <c r="C398" t="s">
        <v>502</v>
      </c>
      <c r="D398" t="s">
        <v>503</v>
      </c>
      <c r="E398" s="1">
        <v>46070.349965277775</v>
      </c>
      <c r="F398" t="s">
        <v>26</v>
      </c>
      <c r="G398" t="s">
        <v>776</v>
      </c>
      <c r="H398" t="s">
        <v>3665</v>
      </c>
      <c r="I398" t="s">
        <v>1981</v>
      </c>
      <c r="J398" t="s">
        <v>494</v>
      </c>
      <c r="K398" t="s">
        <v>134</v>
      </c>
      <c r="M398" t="s">
        <v>3526</v>
      </c>
      <c r="O398" t="s">
        <v>3099</v>
      </c>
      <c r="P398" t="s">
        <v>3100</v>
      </c>
      <c r="Q398" t="s">
        <v>3678</v>
      </c>
      <c r="R398" t="s">
        <v>46</v>
      </c>
      <c r="S398" t="s">
        <v>348</v>
      </c>
      <c r="T398" t="s">
        <v>506</v>
      </c>
      <c r="U398" s="1">
        <v>46077.525775462964</v>
      </c>
      <c r="V398" t="s">
        <v>31</v>
      </c>
      <c r="W398" t="s">
        <v>33</v>
      </c>
      <c r="X398" t="s">
        <v>3530</v>
      </c>
      <c r="Y398" t="e">
        <f>- According to conversation the user asked to close this Request for now.</f>
        <v>#NAME?</v>
      </c>
      <c r="Z398" t="s">
        <v>38</v>
      </c>
      <c r="AA398" t="s">
        <v>31</v>
      </c>
      <c r="AB398" t="s">
        <v>367</v>
      </c>
      <c r="AC398" t="s">
        <v>30</v>
      </c>
      <c r="AD398" t="s">
        <v>46</v>
      </c>
      <c r="AE398" t="s">
        <v>348</v>
      </c>
      <c r="AF398" t="s">
        <v>506</v>
      </c>
      <c r="AG398" t="s">
        <v>38</v>
      </c>
      <c r="AH398">
        <v>2942</v>
      </c>
      <c r="AK398">
        <v>6</v>
      </c>
      <c r="AL398" t="s">
        <v>181</v>
      </c>
      <c r="AM398" t="s">
        <v>507</v>
      </c>
      <c r="AN398" t="s">
        <v>508</v>
      </c>
    </row>
    <row r="399" spans="1:40">
      <c r="A399" t="s">
        <v>2638</v>
      </c>
      <c r="B399" t="s">
        <v>34</v>
      </c>
      <c r="C399" t="s">
        <v>769</v>
      </c>
      <c r="D399" t="s">
        <v>770</v>
      </c>
      <c r="E399" s="1">
        <v>46070.220300925925</v>
      </c>
      <c r="F399" t="s">
        <v>62</v>
      </c>
      <c r="G399" t="s">
        <v>776</v>
      </c>
      <c r="H399" t="s">
        <v>3668</v>
      </c>
      <c r="I399" t="s">
        <v>771</v>
      </c>
      <c r="J399" t="s">
        <v>772</v>
      </c>
      <c r="K399" t="s">
        <v>651</v>
      </c>
      <c r="M399" t="s">
        <v>3528</v>
      </c>
      <c r="O399" t="s">
        <v>3099</v>
      </c>
      <c r="P399" t="s">
        <v>3100</v>
      </c>
      <c r="Q399" t="s">
        <v>3678</v>
      </c>
      <c r="R399" t="s">
        <v>46</v>
      </c>
      <c r="S399" t="s">
        <v>751</v>
      </c>
      <c r="T399" t="s">
        <v>752</v>
      </c>
      <c r="U399" s="1">
        <v>46072.012731481482</v>
      </c>
      <c r="V399" t="s">
        <v>31</v>
      </c>
      <c r="W399" t="s">
        <v>33</v>
      </c>
      <c r="X399" t="s">
        <v>3525</v>
      </c>
      <c r="Y399" t="s">
        <v>3402</v>
      </c>
      <c r="Z399" t="s">
        <v>1775</v>
      </c>
      <c r="AA399" t="s">
        <v>31</v>
      </c>
      <c r="AB399" t="s">
        <v>399</v>
      </c>
      <c r="AC399" t="s">
        <v>30</v>
      </c>
      <c r="AD399" t="s">
        <v>46</v>
      </c>
      <c r="AE399" t="s">
        <v>751</v>
      </c>
      <c r="AF399" t="s">
        <v>752</v>
      </c>
      <c r="AG399" t="s">
        <v>1775</v>
      </c>
      <c r="AH399" t="s">
        <v>3580</v>
      </c>
      <c r="AK399">
        <v>1</v>
      </c>
      <c r="AL399" t="s">
        <v>32</v>
      </c>
      <c r="AM399" t="s">
        <v>773</v>
      </c>
      <c r="AN399" t="s">
        <v>774</v>
      </c>
    </row>
    <row r="400" spans="1:40">
      <c r="A400" t="s">
        <v>2639</v>
      </c>
      <c r="B400" t="s">
        <v>34</v>
      </c>
      <c r="C400" t="s">
        <v>2123</v>
      </c>
      <c r="D400" t="s">
        <v>2640</v>
      </c>
      <c r="E400" s="1">
        <v>46070.170937499999</v>
      </c>
      <c r="F400" t="s">
        <v>353</v>
      </c>
      <c r="G400" t="s">
        <v>776</v>
      </c>
      <c r="H400" t="s">
        <v>3671</v>
      </c>
      <c r="I400" t="s">
        <v>2641</v>
      </c>
      <c r="J400" t="s">
        <v>477</v>
      </c>
      <c r="K400" t="s">
        <v>134</v>
      </c>
      <c r="M400" t="s">
        <v>3529</v>
      </c>
      <c r="O400" t="s">
        <v>3099</v>
      </c>
      <c r="P400" t="s">
        <v>3100</v>
      </c>
      <c r="Q400" t="s">
        <v>3689</v>
      </c>
      <c r="R400" t="s">
        <v>46</v>
      </c>
      <c r="S400" t="s">
        <v>94</v>
      </c>
      <c r="T400" t="s">
        <v>95</v>
      </c>
      <c r="U400" s="1">
        <v>46076.476493055554</v>
      </c>
      <c r="V400" t="s">
        <v>31</v>
      </c>
      <c r="W400" t="s">
        <v>33</v>
      </c>
      <c r="X400" t="s">
        <v>3525</v>
      </c>
      <c r="Y400" t="s">
        <v>3403</v>
      </c>
      <c r="Z400" t="s">
        <v>38</v>
      </c>
      <c r="AA400" t="s">
        <v>31</v>
      </c>
      <c r="AB400" t="s">
        <v>399</v>
      </c>
      <c r="AC400" t="s">
        <v>30</v>
      </c>
      <c r="AD400" t="s">
        <v>46</v>
      </c>
      <c r="AE400" t="s">
        <v>3374</v>
      </c>
      <c r="AF400" t="s">
        <v>3373</v>
      </c>
      <c r="AG400" t="s">
        <v>38</v>
      </c>
      <c r="AH400">
        <v>2862</v>
      </c>
      <c r="AJ400">
        <v>191674</v>
      </c>
      <c r="AK400">
        <v>8</v>
      </c>
      <c r="AL400" t="s">
        <v>32</v>
      </c>
      <c r="AM400" t="s">
        <v>2642</v>
      </c>
      <c r="AN400" t="s">
        <v>2643</v>
      </c>
    </row>
    <row r="401" spans="1:40">
      <c r="A401" t="s">
        <v>2644</v>
      </c>
      <c r="B401" t="s">
        <v>34</v>
      </c>
      <c r="C401" t="s">
        <v>79</v>
      </c>
      <c r="D401" t="s">
        <v>2543</v>
      </c>
      <c r="E401" s="1">
        <v>46070.153252314813</v>
      </c>
      <c r="F401" t="s">
        <v>55</v>
      </c>
      <c r="G401" t="s">
        <v>776</v>
      </c>
      <c r="H401" t="s">
        <v>3666</v>
      </c>
      <c r="I401" t="s">
        <v>2645</v>
      </c>
      <c r="J401" t="s">
        <v>642</v>
      </c>
      <c r="K401" t="s">
        <v>134</v>
      </c>
      <c r="M401" t="s">
        <v>3526</v>
      </c>
      <c r="O401" t="s">
        <v>3096</v>
      </c>
      <c r="P401" t="s">
        <v>3097</v>
      </c>
      <c r="Q401" t="s">
        <v>3739</v>
      </c>
      <c r="R401" t="s">
        <v>46</v>
      </c>
      <c r="S401" t="s">
        <v>94</v>
      </c>
      <c r="T401" t="s">
        <v>2390</v>
      </c>
      <c r="U401" s="1">
        <v>46076.587465277778</v>
      </c>
      <c r="V401" t="s">
        <v>31</v>
      </c>
      <c r="W401" t="s">
        <v>33</v>
      </c>
      <c r="X401" t="s">
        <v>3525</v>
      </c>
      <c r="Y401" t="e">
        <f>- iPad provided to the user, and profile configured.  - CMDB updated.</f>
        <v>#NAME?</v>
      </c>
      <c r="Z401" t="s">
        <v>38</v>
      </c>
      <c r="AA401" t="s">
        <v>31</v>
      </c>
      <c r="AB401" t="s">
        <v>399</v>
      </c>
      <c r="AC401" t="s">
        <v>37</v>
      </c>
      <c r="AD401" t="s">
        <v>46</v>
      </c>
      <c r="AE401" t="s">
        <v>94</v>
      </c>
      <c r="AF401" t="s">
        <v>2390</v>
      </c>
      <c r="AG401" t="s">
        <v>38</v>
      </c>
      <c r="AH401">
        <v>10327</v>
      </c>
      <c r="AK401">
        <v>6</v>
      </c>
      <c r="AL401" t="s">
        <v>181</v>
      </c>
      <c r="AM401" t="s">
        <v>2544</v>
      </c>
      <c r="AN401" t="s">
        <v>2545</v>
      </c>
    </row>
    <row r="402" spans="1:40">
      <c r="A402" t="s">
        <v>2646</v>
      </c>
      <c r="B402" t="s">
        <v>34</v>
      </c>
      <c r="C402" t="s">
        <v>469</v>
      </c>
      <c r="D402" t="s">
        <v>1131</v>
      </c>
      <c r="E402" s="1">
        <v>46070.122986111113</v>
      </c>
      <c r="F402" t="s">
        <v>26</v>
      </c>
      <c r="G402" t="s">
        <v>776</v>
      </c>
      <c r="H402" t="s">
        <v>3665</v>
      </c>
      <c r="I402" t="s">
        <v>2647</v>
      </c>
      <c r="J402" t="s">
        <v>290</v>
      </c>
      <c r="K402" t="s">
        <v>44</v>
      </c>
      <c r="M402" t="s">
        <v>3528</v>
      </c>
      <c r="O402" t="s">
        <v>3099</v>
      </c>
      <c r="P402" t="s">
        <v>3100</v>
      </c>
      <c r="Q402" t="s">
        <v>3678</v>
      </c>
      <c r="R402" t="s">
        <v>46</v>
      </c>
      <c r="S402" t="s">
        <v>47</v>
      </c>
      <c r="T402" t="s">
        <v>48</v>
      </c>
      <c r="U402" s="1">
        <v>46072.468321759261</v>
      </c>
      <c r="V402" t="s">
        <v>31</v>
      </c>
      <c r="W402" t="s">
        <v>33</v>
      </c>
      <c r="X402" t="s">
        <v>3525</v>
      </c>
      <c r="Y402" t="s">
        <v>3108</v>
      </c>
      <c r="Z402" t="s">
        <v>1775</v>
      </c>
      <c r="AA402" t="s">
        <v>31</v>
      </c>
      <c r="AB402" t="s">
        <v>399</v>
      </c>
      <c r="AC402" t="s">
        <v>30</v>
      </c>
      <c r="AD402" t="s">
        <v>46</v>
      </c>
      <c r="AE402" t="s">
        <v>47</v>
      </c>
      <c r="AF402" t="s">
        <v>48</v>
      </c>
      <c r="AG402" t="s">
        <v>1775</v>
      </c>
      <c r="AH402">
        <v>11777</v>
      </c>
      <c r="AK402">
        <v>1</v>
      </c>
      <c r="AL402" t="s">
        <v>32</v>
      </c>
      <c r="AM402" t="s">
        <v>1132</v>
      </c>
      <c r="AN402" t="s">
        <v>1133</v>
      </c>
    </row>
    <row r="403" spans="1:40">
      <c r="A403" t="s">
        <v>2648</v>
      </c>
      <c r="B403" t="s">
        <v>24</v>
      </c>
      <c r="C403" t="s">
        <v>2649</v>
      </c>
      <c r="D403" t="s">
        <v>2650</v>
      </c>
      <c r="E403" s="1">
        <v>46069.814363425925</v>
      </c>
      <c r="F403" t="s">
        <v>153</v>
      </c>
      <c r="G403" t="s">
        <v>776</v>
      </c>
      <c r="H403" t="s">
        <v>3669</v>
      </c>
      <c r="I403" t="s">
        <v>2651</v>
      </c>
      <c r="J403" t="s">
        <v>514</v>
      </c>
      <c r="K403" t="s">
        <v>44</v>
      </c>
      <c r="M403" t="s">
        <v>3526</v>
      </c>
      <c r="O403" t="s">
        <v>3103</v>
      </c>
      <c r="P403" t="s">
        <v>3104</v>
      </c>
      <c r="R403" t="s">
        <v>162</v>
      </c>
      <c r="S403" t="s">
        <v>163</v>
      </c>
      <c r="T403" t="s">
        <v>164</v>
      </c>
      <c r="U403" s="1">
        <v>46077.546249999999</v>
      </c>
      <c r="V403" t="s">
        <v>31</v>
      </c>
      <c r="W403" t="s">
        <v>33</v>
      </c>
      <c r="X403" t="s">
        <v>3536</v>
      </c>
      <c r="Y403" t="s">
        <v>3369</v>
      </c>
      <c r="Z403" t="s">
        <v>38</v>
      </c>
      <c r="AA403" t="s">
        <v>31</v>
      </c>
      <c r="AB403" t="s">
        <v>104</v>
      </c>
      <c r="AC403" t="s">
        <v>86</v>
      </c>
      <c r="AD403" t="s">
        <v>46</v>
      </c>
      <c r="AE403" t="s">
        <v>682</v>
      </c>
      <c r="AF403" t="s">
        <v>3404</v>
      </c>
      <c r="AG403" t="s">
        <v>38</v>
      </c>
      <c r="AH403">
        <v>14849</v>
      </c>
      <c r="AK403">
        <v>4</v>
      </c>
      <c r="AL403" t="s">
        <v>32</v>
      </c>
      <c r="AM403" t="s">
        <v>2652</v>
      </c>
      <c r="AN403" t="s">
        <v>2653</v>
      </c>
    </row>
    <row r="404" spans="1:40">
      <c r="A404" t="s">
        <v>2654</v>
      </c>
      <c r="B404" t="s">
        <v>34</v>
      </c>
      <c r="C404" t="s">
        <v>827</v>
      </c>
      <c r="D404" t="s">
        <v>532</v>
      </c>
      <c r="E404" s="1">
        <v>46069.58016203704</v>
      </c>
      <c r="F404" t="s">
        <v>168</v>
      </c>
      <c r="G404" t="s">
        <v>776</v>
      </c>
      <c r="H404" t="s">
        <v>3669</v>
      </c>
      <c r="I404" t="s">
        <v>2655</v>
      </c>
      <c r="J404" t="s">
        <v>680</v>
      </c>
      <c r="K404" t="s">
        <v>44</v>
      </c>
      <c r="M404" t="s">
        <v>3526</v>
      </c>
      <c r="O404" t="s">
        <v>3099</v>
      </c>
      <c r="P404" t="s">
        <v>3100</v>
      </c>
      <c r="Q404" t="s">
        <v>3678</v>
      </c>
      <c r="R404" t="s">
        <v>162</v>
      </c>
      <c r="S404" t="s">
        <v>163</v>
      </c>
      <c r="T404" t="s">
        <v>164</v>
      </c>
      <c r="U404" s="1">
        <v>46077.537129629629</v>
      </c>
      <c r="V404" t="s">
        <v>31</v>
      </c>
      <c r="W404" t="s">
        <v>33</v>
      </c>
      <c r="X404" t="s">
        <v>3536</v>
      </c>
      <c r="Y404" t="s">
        <v>3405</v>
      </c>
      <c r="Z404" t="s">
        <v>38</v>
      </c>
      <c r="AA404" t="s">
        <v>31</v>
      </c>
      <c r="AB404" t="s">
        <v>104</v>
      </c>
      <c r="AC404" t="s">
        <v>30</v>
      </c>
      <c r="AD404" t="s">
        <v>46</v>
      </c>
      <c r="AE404" t="s">
        <v>365</v>
      </c>
      <c r="AF404" t="s">
        <v>366</v>
      </c>
      <c r="AG404" t="s">
        <v>38</v>
      </c>
      <c r="AH404">
        <v>13304</v>
      </c>
      <c r="AK404">
        <v>8</v>
      </c>
      <c r="AL404" t="s">
        <v>32</v>
      </c>
      <c r="AM404" t="s">
        <v>2656</v>
      </c>
      <c r="AN404" t="s">
        <v>2657</v>
      </c>
    </row>
    <row r="405" spans="1:40">
      <c r="A405" t="s">
        <v>2658</v>
      </c>
      <c r="B405" t="s">
        <v>24</v>
      </c>
      <c r="C405" t="s">
        <v>184</v>
      </c>
      <c r="D405" t="s">
        <v>2241</v>
      </c>
      <c r="E405" s="1">
        <v>46069.506979166668</v>
      </c>
      <c r="F405" t="s">
        <v>186</v>
      </c>
      <c r="G405" t="s">
        <v>776</v>
      </c>
      <c r="H405" t="s">
        <v>3667</v>
      </c>
      <c r="I405" t="s">
        <v>2659</v>
      </c>
      <c r="J405" t="s">
        <v>1219</v>
      </c>
      <c r="K405" t="s">
        <v>134</v>
      </c>
      <c r="M405" t="s">
        <v>3529</v>
      </c>
      <c r="O405" t="s">
        <v>3103</v>
      </c>
      <c r="P405" t="s">
        <v>3104</v>
      </c>
      <c r="R405" t="s">
        <v>46</v>
      </c>
      <c r="S405" t="s">
        <v>197</v>
      </c>
      <c r="T405" t="s">
        <v>875</v>
      </c>
      <c r="U405" s="1">
        <v>46076.638321759259</v>
      </c>
      <c r="V405" t="s">
        <v>31</v>
      </c>
      <c r="W405" t="s">
        <v>33</v>
      </c>
      <c r="X405" t="s">
        <v>3530</v>
      </c>
      <c r="Y405" t="s">
        <v>3406</v>
      </c>
      <c r="Z405" t="s">
        <v>38</v>
      </c>
      <c r="AA405" t="s">
        <v>31</v>
      </c>
      <c r="AB405" t="s">
        <v>413</v>
      </c>
      <c r="AC405" t="s">
        <v>86</v>
      </c>
      <c r="AD405" t="s">
        <v>46</v>
      </c>
      <c r="AE405" t="s">
        <v>582</v>
      </c>
      <c r="AF405" t="s">
        <v>1373</v>
      </c>
      <c r="AG405" t="s">
        <v>38</v>
      </c>
      <c r="AH405">
        <v>14968</v>
      </c>
      <c r="AJ405">
        <v>191682</v>
      </c>
      <c r="AK405">
        <v>5</v>
      </c>
      <c r="AL405" t="s">
        <v>32</v>
      </c>
      <c r="AM405" t="s">
        <v>2660</v>
      </c>
      <c r="AN405" t="s">
        <v>2661</v>
      </c>
    </row>
    <row r="406" spans="1:40">
      <c r="A406" t="s">
        <v>2662</v>
      </c>
      <c r="B406" t="s">
        <v>34</v>
      </c>
      <c r="C406" t="s">
        <v>1459</v>
      </c>
      <c r="D406" t="s">
        <v>2663</v>
      </c>
      <c r="E406" s="1">
        <v>46069.502847222226</v>
      </c>
      <c r="F406" t="s">
        <v>62</v>
      </c>
      <c r="G406" t="s">
        <v>776</v>
      </c>
      <c r="H406" t="s">
        <v>3668</v>
      </c>
      <c r="I406" t="s">
        <v>2664</v>
      </c>
      <c r="J406" t="s">
        <v>205</v>
      </c>
      <c r="K406" t="s">
        <v>44</v>
      </c>
      <c r="M406" t="s">
        <v>3526</v>
      </c>
      <c r="O406" t="s">
        <v>3099</v>
      </c>
      <c r="P406" t="s">
        <v>3100</v>
      </c>
      <c r="Q406" t="s">
        <v>3678</v>
      </c>
      <c r="R406" t="s">
        <v>46</v>
      </c>
      <c r="S406" t="s">
        <v>110</v>
      </c>
      <c r="T406" t="s">
        <v>460</v>
      </c>
      <c r="U406" s="1">
        <v>46077.514826388891</v>
      </c>
      <c r="V406" t="s">
        <v>31</v>
      </c>
      <c r="W406" t="s">
        <v>33</v>
      </c>
      <c r="X406" t="s">
        <v>3525</v>
      </c>
      <c r="Y406" t="s">
        <v>3407</v>
      </c>
      <c r="Z406" t="s">
        <v>38</v>
      </c>
      <c r="AA406" t="s">
        <v>31</v>
      </c>
      <c r="AB406" t="s">
        <v>49</v>
      </c>
      <c r="AC406" t="s">
        <v>30</v>
      </c>
      <c r="AD406" t="s">
        <v>46</v>
      </c>
      <c r="AE406" t="s">
        <v>110</v>
      </c>
      <c r="AF406" t="s">
        <v>3110</v>
      </c>
      <c r="AG406" t="s">
        <v>38</v>
      </c>
      <c r="AH406" t="s">
        <v>3748</v>
      </c>
      <c r="AK406">
        <v>5</v>
      </c>
      <c r="AL406" t="s">
        <v>32</v>
      </c>
      <c r="AM406" t="s">
        <v>2665</v>
      </c>
      <c r="AN406" t="s">
        <v>2666</v>
      </c>
    </row>
    <row r="407" spans="1:40">
      <c r="A407" t="s">
        <v>2667</v>
      </c>
      <c r="B407" t="s">
        <v>34</v>
      </c>
      <c r="C407" t="s">
        <v>1330</v>
      </c>
      <c r="D407" t="s">
        <v>1331</v>
      </c>
      <c r="E407" s="1">
        <v>46069.500451388885</v>
      </c>
      <c r="F407" t="s">
        <v>35</v>
      </c>
      <c r="G407" t="s">
        <v>776</v>
      </c>
      <c r="H407" t="s">
        <v>3672</v>
      </c>
      <c r="I407" t="s">
        <v>252</v>
      </c>
      <c r="J407" t="s">
        <v>179</v>
      </c>
      <c r="K407" t="s">
        <v>44</v>
      </c>
      <c r="M407" t="s">
        <v>3529</v>
      </c>
      <c r="O407" t="s">
        <v>3099</v>
      </c>
      <c r="P407" t="s">
        <v>3100</v>
      </c>
      <c r="Q407" t="s">
        <v>3678</v>
      </c>
      <c r="R407" t="s">
        <v>162</v>
      </c>
      <c r="S407" t="s">
        <v>163</v>
      </c>
      <c r="T407" t="s">
        <v>164</v>
      </c>
      <c r="U407" s="1">
        <v>46077.431122685186</v>
      </c>
      <c r="V407" t="s">
        <v>31</v>
      </c>
      <c r="W407" t="s">
        <v>33</v>
      </c>
      <c r="X407" t="s">
        <v>3536</v>
      </c>
      <c r="Y407" t="s">
        <v>3408</v>
      </c>
      <c r="Z407" t="s">
        <v>38</v>
      </c>
      <c r="AA407" t="s">
        <v>31</v>
      </c>
      <c r="AB407" t="s">
        <v>104</v>
      </c>
      <c r="AC407" t="s">
        <v>30</v>
      </c>
      <c r="AD407" t="s">
        <v>46</v>
      </c>
      <c r="AE407" t="s">
        <v>515</v>
      </c>
      <c r="AF407" t="s">
        <v>3143</v>
      </c>
      <c r="AG407" t="s">
        <v>38</v>
      </c>
      <c r="AH407" t="s">
        <v>3606</v>
      </c>
      <c r="AK407">
        <v>4</v>
      </c>
      <c r="AL407" t="s">
        <v>32</v>
      </c>
      <c r="AM407" t="s">
        <v>1332</v>
      </c>
      <c r="AN407" t="s">
        <v>1333</v>
      </c>
    </row>
    <row r="408" spans="1:40">
      <c r="A408" t="s">
        <v>2668</v>
      </c>
      <c r="B408" t="s">
        <v>34</v>
      </c>
      <c r="C408" t="s">
        <v>1124</v>
      </c>
      <c r="D408" t="s">
        <v>1125</v>
      </c>
      <c r="E408" s="1">
        <v>46069.499699074076</v>
      </c>
      <c r="F408" t="s">
        <v>62</v>
      </c>
      <c r="G408" t="s">
        <v>776</v>
      </c>
      <c r="H408" t="s">
        <v>3668</v>
      </c>
      <c r="I408" t="s">
        <v>2669</v>
      </c>
      <c r="J408" t="s">
        <v>494</v>
      </c>
      <c r="K408" t="s">
        <v>134</v>
      </c>
      <c r="M408" t="s">
        <v>3528</v>
      </c>
      <c r="O408" t="s">
        <v>3099</v>
      </c>
      <c r="P408" t="s">
        <v>3100</v>
      </c>
      <c r="Q408" t="s">
        <v>3697</v>
      </c>
      <c r="R408" t="s">
        <v>491</v>
      </c>
      <c r="S408" t="s">
        <v>1126</v>
      </c>
      <c r="T408" t="s">
        <v>1127</v>
      </c>
      <c r="U408" s="1">
        <v>46072.433298611111</v>
      </c>
      <c r="V408" t="s">
        <v>31</v>
      </c>
      <c r="W408" t="s">
        <v>33</v>
      </c>
      <c r="X408" t="s">
        <v>3525</v>
      </c>
      <c r="Y408" t="e">
        <f>- toner has been replaced successfully.</f>
        <v>#NAME?</v>
      </c>
      <c r="Z408" t="s">
        <v>1775</v>
      </c>
      <c r="AA408" t="s">
        <v>31</v>
      </c>
      <c r="AB408" t="s">
        <v>1128</v>
      </c>
      <c r="AC408" t="s">
        <v>30</v>
      </c>
      <c r="AD408" t="s">
        <v>491</v>
      </c>
      <c r="AE408" t="s">
        <v>1126</v>
      </c>
      <c r="AF408" t="s">
        <v>1127</v>
      </c>
      <c r="AG408" t="s">
        <v>1775</v>
      </c>
      <c r="AJ408">
        <v>191670</v>
      </c>
      <c r="AK408">
        <v>6</v>
      </c>
      <c r="AL408" t="s">
        <v>32</v>
      </c>
      <c r="AM408" t="s">
        <v>1128</v>
      </c>
      <c r="AN408" t="s">
        <v>1129</v>
      </c>
    </row>
    <row r="409" spans="1:40">
      <c r="A409" t="s">
        <v>2670</v>
      </c>
      <c r="B409" t="s">
        <v>34</v>
      </c>
      <c r="C409" t="s">
        <v>2671</v>
      </c>
      <c r="D409" t="s">
        <v>2672</v>
      </c>
      <c r="E409" s="1">
        <v>46069.456608796296</v>
      </c>
      <c r="F409" t="s">
        <v>265</v>
      </c>
      <c r="G409" t="s">
        <v>776</v>
      </c>
      <c r="H409" t="s">
        <v>3671</v>
      </c>
      <c r="I409" t="s">
        <v>2673</v>
      </c>
      <c r="J409" t="s">
        <v>273</v>
      </c>
      <c r="K409" t="s">
        <v>134</v>
      </c>
      <c r="M409" t="s">
        <v>3528</v>
      </c>
      <c r="O409" t="s">
        <v>3099</v>
      </c>
      <c r="P409" t="s">
        <v>3100</v>
      </c>
      <c r="Q409" t="s">
        <v>3678</v>
      </c>
      <c r="R409" t="s">
        <v>46</v>
      </c>
      <c r="S409" t="s">
        <v>365</v>
      </c>
      <c r="T409" t="s">
        <v>1287</v>
      </c>
      <c r="U409" s="1">
        <v>46072.549293981479</v>
      </c>
      <c r="V409" t="s">
        <v>31</v>
      </c>
      <c r="W409" t="s">
        <v>33</v>
      </c>
      <c r="X409" t="s">
        <v>3530</v>
      </c>
      <c r="Y409" t="s">
        <v>3409</v>
      </c>
      <c r="Z409" t="s">
        <v>1775</v>
      </c>
      <c r="AA409" t="s">
        <v>31</v>
      </c>
      <c r="AB409" t="s">
        <v>190</v>
      </c>
      <c r="AC409" t="s">
        <v>30</v>
      </c>
      <c r="AD409" t="s">
        <v>46</v>
      </c>
      <c r="AE409" t="s">
        <v>365</v>
      </c>
      <c r="AF409" t="s">
        <v>1287</v>
      </c>
      <c r="AG409" t="s">
        <v>1775</v>
      </c>
      <c r="AH409">
        <v>14697</v>
      </c>
      <c r="AJ409">
        <v>191675</v>
      </c>
      <c r="AK409">
        <v>6</v>
      </c>
      <c r="AL409" t="s">
        <v>32</v>
      </c>
      <c r="AM409" t="s">
        <v>2674</v>
      </c>
      <c r="AN409" t="s">
        <v>2675</v>
      </c>
    </row>
    <row r="410" spans="1:40">
      <c r="A410" t="s">
        <v>2676</v>
      </c>
      <c r="B410" t="s">
        <v>24</v>
      </c>
      <c r="C410" t="s">
        <v>758</v>
      </c>
      <c r="D410" t="s">
        <v>2677</v>
      </c>
      <c r="E410" s="1">
        <v>46069.423229166663</v>
      </c>
      <c r="F410" t="s">
        <v>118</v>
      </c>
      <c r="G410" t="s">
        <v>776</v>
      </c>
      <c r="H410" t="s">
        <v>3666</v>
      </c>
      <c r="I410" t="s">
        <v>2678</v>
      </c>
      <c r="J410" t="s">
        <v>1501</v>
      </c>
      <c r="K410" t="s">
        <v>134</v>
      </c>
      <c r="M410" t="s">
        <v>3528</v>
      </c>
      <c r="O410" t="s">
        <v>3103</v>
      </c>
      <c r="P410" t="s">
        <v>3104</v>
      </c>
      <c r="Q410" t="s">
        <v>3710</v>
      </c>
      <c r="R410" t="s">
        <v>46</v>
      </c>
      <c r="S410" t="s">
        <v>365</v>
      </c>
      <c r="T410" t="s">
        <v>366</v>
      </c>
      <c r="U410" s="1">
        <v>46072.574884259258</v>
      </c>
      <c r="V410" t="s">
        <v>31</v>
      </c>
      <c r="W410" t="s">
        <v>33</v>
      </c>
      <c r="X410" t="s">
        <v>3530</v>
      </c>
      <c r="Y410" t="s">
        <v>3410</v>
      </c>
      <c r="Z410" t="s">
        <v>1775</v>
      </c>
      <c r="AA410" t="s">
        <v>31</v>
      </c>
      <c r="AB410" t="s">
        <v>350</v>
      </c>
      <c r="AC410" t="s">
        <v>86</v>
      </c>
      <c r="AD410" t="s">
        <v>46</v>
      </c>
      <c r="AE410" t="s">
        <v>582</v>
      </c>
      <c r="AF410" t="s">
        <v>3137</v>
      </c>
      <c r="AG410" t="s">
        <v>1775</v>
      </c>
      <c r="AH410">
        <v>10618</v>
      </c>
      <c r="AK410">
        <v>3</v>
      </c>
      <c r="AL410" t="s">
        <v>32</v>
      </c>
      <c r="AM410" t="s">
        <v>2679</v>
      </c>
      <c r="AN410" t="s">
        <v>2680</v>
      </c>
    </row>
    <row r="411" spans="1:40">
      <c r="A411" t="s">
        <v>2681</v>
      </c>
      <c r="B411" t="s">
        <v>24</v>
      </c>
      <c r="C411" t="s">
        <v>79</v>
      </c>
      <c r="D411" t="s">
        <v>2682</v>
      </c>
      <c r="E411" s="1">
        <v>46069.386192129627</v>
      </c>
      <c r="F411" t="s">
        <v>755</v>
      </c>
      <c r="G411" t="s">
        <v>776</v>
      </c>
      <c r="H411" t="s">
        <v>3669</v>
      </c>
      <c r="I411" t="s">
        <v>2683</v>
      </c>
      <c r="J411" t="s">
        <v>231</v>
      </c>
      <c r="K411" t="s">
        <v>134</v>
      </c>
      <c r="M411" t="s">
        <v>3526</v>
      </c>
      <c r="O411" t="s">
        <v>3103</v>
      </c>
      <c r="P411" t="s">
        <v>3104</v>
      </c>
      <c r="R411" t="s">
        <v>162</v>
      </c>
      <c r="S411" t="s">
        <v>163</v>
      </c>
      <c r="T411" t="s">
        <v>164</v>
      </c>
      <c r="U411" s="1">
        <v>46076.536215277774</v>
      </c>
      <c r="V411" t="s">
        <v>31</v>
      </c>
      <c r="W411" t="s">
        <v>33</v>
      </c>
      <c r="X411" t="s">
        <v>3536</v>
      </c>
      <c r="Y411" t="s">
        <v>3411</v>
      </c>
      <c r="Z411" t="s">
        <v>38</v>
      </c>
      <c r="AA411" t="s">
        <v>31</v>
      </c>
      <c r="AB411" t="s">
        <v>104</v>
      </c>
      <c r="AC411" t="s">
        <v>86</v>
      </c>
      <c r="AD411" t="s">
        <v>46</v>
      </c>
      <c r="AE411" t="s">
        <v>365</v>
      </c>
      <c r="AF411" t="s">
        <v>957</v>
      </c>
      <c r="AG411" t="s">
        <v>38</v>
      </c>
      <c r="AH411">
        <v>15004</v>
      </c>
      <c r="AK411">
        <v>6</v>
      </c>
      <c r="AL411" t="s">
        <v>32</v>
      </c>
      <c r="AM411" t="s">
        <v>2684</v>
      </c>
      <c r="AN411" t="s">
        <v>2685</v>
      </c>
    </row>
    <row r="412" spans="1:40">
      <c r="A412" t="s">
        <v>2686</v>
      </c>
      <c r="B412" t="s">
        <v>34</v>
      </c>
      <c r="C412" t="s">
        <v>2687</v>
      </c>
      <c r="D412" t="s">
        <v>2688</v>
      </c>
      <c r="E412" s="1">
        <v>46069.33866898148</v>
      </c>
      <c r="F412" t="s">
        <v>39</v>
      </c>
      <c r="G412" t="s">
        <v>776</v>
      </c>
      <c r="H412" t="s">
        <v>3667</v>
      </c>
      <c r="I412" t="s">
        <v>345</v>
      </c>
      <c r="J412" t="s">
        <v>680</v>
      </c>
      <c r="K412" t="s">
        <v>44</v>
      </c>
      <c r="M412" t="s">
        <v>3528</v>
      </c>
      <c r="O412" t="s">
        <v>3099</v>
      </c>
      <c r="P412" t="s">
        <v>3100</v>
      </c>
      <c r="Q412" t="s">
        <v>3678</v>
      </c>
      <c r="R412" t="s">
        <v>162</v>
      </c>
      <c r="S412" t="s">
        <v>163</v>
      </c>
      <c r="T412" t="s">
        <v>164</v>
      </c>
      <c r="U412" s="1">
        <v>46073.361250000002</v>
      </c>
      <c r="V412" t="s">
        <v>31</v>
      </c>
      <c r="W412" t="s">
        <v>33</v>
      </c>
      <c r="X412" t="s">
        <v>3536</v>
      </c>
      <c r="Y412" t="s">
        <v>3412</v>
      </c>
      <c r="Z412" t="s">
        <v>1775</v>
      </c>
      <c r="AA412" t="s">
        <v>31</v>
      </c>
      <c r="AB412" t="s">
        <v>104</v>
      </c>
      <c r="AC412" t="s">
        <v>30</v>
      </c>
      <c r="AD412" t="s">
        <v>46</v>
      </c>
      <c r="AE412" t="s">
        <v>365</v>
      </c>
      <c r="AF412" t="s">
        <v>366</v>
      </c>
      <c r="AG412" t="s">
        <v>1775</v>
      </c>
      <c r="AH412">
        <v>15971</v>
      </c>
      <c r="AI412" t="s">
        <v>3749</v>
      </c>
      <c r="AK412">
        <v>9</v>
      </c>
      <c r="AL412" t="s">
        <v>32</v>
      </c>
      <c r="AM412" t="s">
        <v>2689</v>
      </c>
      <c r="AN412" t="s">
        <v>2690</v>
      </c>
    </row>
    <row r="413" spans="1:40">
      <c r="A413" t="s">
        <v>2691</v>
      </c>
      <c r="B413" t="s">
        <v>24</v>
      </c>
      <c r="C413" t="s">
        <v>73</v>
      </c>
      <c r="D413" t="s">
        <v>2692</v>
      </c>
      <c r="E413" s="1">
        <v>46069.315196759257</v>
      </c>
      <c r="F413" t="s">
        <v>755</v>
      </c>
      <c r="G413" t="s">
        <v>776</v>
      </c>
      <c r="H413" t="s">
        <v>3669</v>
      </c>
      <c r="I413" t="s">
        <v>2693</v>
      </c>
      <c r="J413" t="s">
        <v>2157</v>
      </c>
      <c r="K413" t="s">
        <v>134</v>
      </c>
      <c r="M413" t="s">
        <v>3528</v>
      </c>
      <c r="O413" t="s">
        <v>3103</v>
      </c>
      <c r="P413" t="s">
        <v>3104</v>
      </c>
      <c r="Q413" t="s">
        <v>3678</v>
      </c>
      <c r="R413" t="s">
        <v>46</v>
      </c>
      <c r="S413" t="s">
        <v>682</v>
      </c>
      <c r="T413" t="s">
        <v>864</v>
      </c>
      <c r="U413" s="1">
        <v>46073.370312500003</v>
      </c>
      <c r="V413" t="s">
        <v>31</v>
      </c>
      <c r="W413" t="s">
        <v>33</v>
      </c>
      <c r="X413" t="s">
        <v>3530</v>
      </c>
      <c r="Y413" t="s">
        <v>3413</v>
      </c>
      <c r="Z413" t="s">
        <v>1775</v>
      </c>
      <c r="AA413" t="s">
        <v>31</v>
      </c>
      <c r="AB413" t="s">
        <v>399</v>
      </c>
      <c r="AC413" t="s">
        <v>86</v>
      </c>
      <c r="AD413" t="s">
        <v>46</v>
      </c>
      <c r="AE413" t="s">
        <v>682</v>
      </c>
      <c r="AF413" t="s">
        <v>3414</v>
      </c>
      <c r="AG413" t="s">
        <v>1775</v>
      </c>
      <c r="AH413">
        <v>3187</v>
      </c>
      <c r="AK413">
        <v>3</v>
      </c>
      <c r="AL413" t="s">
        <v>32</v>
      </c>
      <c r="AM413" t="s">
        <v>2694</v>
      </c>
      <c r="AN413" t="s">
        <v>2695</v>
      </c>
    </row>
    <row r="414" spans="1:40">
      <c r="A414" t="s">
        <v>2696</v>
      </c>
      <c r="B414" t="s">
        <v>24</v>
      </c>
      <c r="C414" t="s">
        <v>2697</v>
      </c>
      <c r="D414" t="s">
        <v>99</v>
      </c>
      <c r="E414" s="1">
        <v>46068.591932870368</v>
      </c>
      <c r="F414" t="s">
        <v>26</v>
      </c>
      <c r="G414" t="s">
        <v>776</v>
      </c>
      <c r="H414" t="s">
        <v>3665</v>
      </c>
      <c r="I414" t="s">
        <v>2698</v>
      </c>
      <c r="J414" t="s">
        <v>135</v>
      </c>
      <c r="K414" t="s">
        <v>134</v>
      </c>
      <c r="M414" t="s">
        <v>3526</v>
      </c>
      <c r="O414" t="s">
        <v>3103</v>
      </c>
      <c r="P414" t="s">
        <v>3104</v>
      </c>
      <c r="Q414" t="s">
        <v>3710</v>
      </c>
      <c r="R414" t="s">
        <v>46</v>
      </c>
      <c r="S414" t="s">
        <v>274</v>
      </c>
      <c r="T414" t="s">
        <v>275</v>
      </c>
      <c r="U414" s="1">
        <v>46078.576006944444</v>
      </c>
      <c r="V414" t="s">
        <v>31</v>
      </c>
      <c r="W414" t="s">
        <v>33</v>
      </c>
      <c r="X414" t="s">
        <v>3530</v>
      </c>
      <c r="Y414" t="s">
        <v>3415</v>
      </c>
      <c r="Z414" t="s">
        <v>38</v>
      </c>
      <c r="AA414" t="s">
        <v>31</v>
      </c>
      <c r="AB414" t="s">
        <v>49</v>
      </c>
      <c r="AC414" t="s">
        <v>86</v>
      </c>
      <c r="AD414" t="s">
        <v>46</v>
      </c>
      <c r="AE414" t="s">
        <v>1062</v>
      </c>
      <c r="AF414" t="s">
        <v>3416</v>
      </c>
      <c r="AG414" t="s">
        <v>38</v>
      </c>
      <c r="AH414" t="s">
        <v>3750</v>
      </c>
      <c r="AJ414">
        <v>191685</v>
      </c>
      <c r="AK414">
        <v>10</v>
      </c>
      <c r="AL414" t="s">
        <v>32</v>
      </c>
      <c r="AM414" t="s">
        <v>2699</v>
      </c>
      <c r="AN414" t="s">
        <v>2700</v>
      </c>
    </row>
    <row r="415" spans="1:40">
      <c r="A415" t="s">
        <v>2701</v>
      </c>
      <c r="B415" t="s">
        <v>34</v>
      </c>
      <c r="C415" t="s">
        <v>562</v>
      </c>
      <c r="D415" t="s">
        <v>2702</v>
      </c>
      <c r="E415" s="1">
        <v>46067.11954861111</v>
      </c>
      <c r="F415" t="s">
        <v>470</v>
      </c>
      <c r="G415" t="s">
        <v>776</v>
      </c>
      <c r="H415" t="s">
        <v>3671</v>
      </c>
      <c r="I415" t="s">
        <v>230</v>
      </c>
      <c r="J415" t="s">
        <v>477</v>
      </c>
      <c r="K415" t="s">
        <v>134</v>
      </c>
      <c r="M415" t="s">
        <v>3529</v>
      </c>
      <c r="O415" t="s">
        <v>3099</v>
      </c>
      <c r="P415" t="s">
        <v>3100</v>
      </c>
      <c r="Q415" t="s">
        <v>3678</v>
      </c>
      <c r="R415" t="s">
        <v>46</v>
      </c>
      <c r="S415" t="s">
        <v>136</v>
      </c>
      <c r="T415" t="s">
        <v>136</v>
      </c>
      <c r="U415" s="1">
        <v>46077.425671296296</v>
      </c>
      <c r="V415" t="s">
        <v>31</v>
      </c>
      <c r="W415" t="s">
        <v>33</v>
      </c>
      <c r="X415" t="s">
        <v>3525</v>
      </c>
      <c r="Y415" t="s">
        <v>3417</v>
      </c>
      <c r="Z415" t="s">
        <v>38</v>
      </c>
      <c r="AA415" t="s">
        <v>31</v>
      </c>
      <c r="AB415" t="s">
        <v>266</v>
      </c>
      <c r="AC415" t="s">
        <v>30</v>
      </c>
      <c r="AD415" t="s">
        <v>46</v>
      </c>
      <c r="AE415" t="s">
        <v>2952</v>
      </c>
      <c r="AF415" t="s">
        <v>3418</v>
      </c>
      <c r="AG415" t="s">
        <v>38</v>
      </c>
      <c r="AH415">
        <v>12696</v>
      </c>
      <c r="AJ415">
        <v>12508</v>
      </c>
      <c r="AK415">
        <v>9</v>
      </c>
      <c r="AL415" t="s">
        <v>32</v>
      </c>
      <c r="AM415" t="s">
        <v>2703</v>
      </c>
      <c r="AN415" t="s">
        <v>2704</v>
      </c>
    </row>
    <row r="416" spans="1:40">
      <c r="A416" t="s">
        <v>2705</v>
      </c>
      <c r="B416" t="s">
        <v>34</v>
      </c>
      <c r="C416" t="s">
        <v>79</v>
      </c>
      <c r="D416" t="s">
        <v>2706</v>
      </c>
      <c r="E416" s="1">
        <v>46067.101435185185</v>
      </c>
      <c r="F416" t="s">
        <v>470</v>
      </c>
      <c r="G416" t="s">
        <v>776</v>
      </c>
      <c r="H416" t="s">
        <v>3671</v>
      </c>
      <c r="I416" t="s">
        <v>230</v>
      </c>
      <c r="J416" t="s">
        <v>477</v>
      </c>
      <c r="K416" t="s">
        <v>134</v>
      </c>
      <c r="M416" t="s">
        <v>3529</v>
      </c>
      <c r="O416" t="s">
        <v>3099</v>
      </c>
      <c r="P416" t="s">
        <v>3100</v>
      </c>
      <c r="Q416" t="s">
        <v>3683</v>
      </c>
      <c r="R416" t="s">
        <v>46</v>
      </c>
      <c r="S416" t="s">
        <v>136</v>
      </c>
      <c r="T416" t="s">
        <v>136</v>
      </c>
      <c r="U416" s="1">
        <v>46076.525763888887</v>
      </c>
      <c r="V416" t="s">
        <v>31</v>
      </c>
      <c r="W416" t="s">
        <v>33</v>
      </c>
      <c r="X416" t="s">
        <v>3525</v>
      </c>
      <c r="Y416" t="s">
        <v>3419</v>
      </c>
      <c r="Z416" t="s">
        <v>38</v>
      </c>
      <c r="AA416" t="s">
        <v>31</v>
      </c>
      <c r="AB416" t="s">
        <v>266</v>
      </c>
      <c r="AC416" t="s">
        <v>30</v>
      </c>
      <c r="AD416" t="s">
        <v>46</v>
      </c>
      <c r="AE416" t="s">
        <v>2952</v>
      </c>
      <c r="AF416" t="s">
        <v>3418</v>
      </c>
      <c r="AG416" t="s">
        <v>38</v>
      </c>
      <c r="AH416">
        <v>10564</v>
      </c>
      <c r="AJ416">
        <v>12498</v>
      </c>
      <c r="AK416">
        <v>11</v>
      </c>
      <c r="AL416" t="s">
        <v>32</v>
      </c>
      <c r="AM416" t="s">
        <v>2707</v>
      </c>
      <c r="AN416" t="s">
        <v>2708</v>
      </c>
    </row>
    <row r="417" spans="1:40">
      <c r="A417" t="s">
        <v>2709</v>
      </c>
      <c r="B417" t="s">
        <v>34</v>
      </c>
      <c r="C417" t="s">
        <v>79</v>
      </c>
      <c r="D417" t="s">
        <v>2710</v>
      </c>
      <c r="E417" s="1">
        <v>46067.093622685185</v>
      </c>
      <c r="F417" t="s">
        <v>424</v>
      </c>
      <c r="G417" t="s">
        <v>776</v>
      </c>
      <c r="H417" t="s">
        <v>3668</v>
      </c>
      <c r="I417" t="s">
        <v>2711</v>
      </c>
      <c r="J417" t="s">
        <v>733</v>
      </c>
      <c r="K417" t="s">
        <v>44</v>
      </c>
      <c r="M417" t="s">
        <v>3526</v>
      </c>
      <c r="O417" t="s">
        <v>3099</v>
      </c>
      <c r="P417" t="s">
        <v>3100</v>
      </c>
      <c r="Q417" t="s">
        <v>3678</v>
      </c>
      <c r="R417" t="s">
        <v>46</v>
      </c>
      <c r="S417" t="s">
        <v>751</v>
      </c>
      <c r="T417" t="s">
        <v>752</v>
      </c>
      <c r="U417" s="1">
        <v>46076.47991898148</v>
      </c>
      <c r="V417" t="s">
        <v>31</v>
      </c>
      <c r="W417" t="s">
        <v>33</v>
      </c>
      <c r="X417" t="s">
        <v>3525</v>
      </c>
      <c r="Y417" t="s">
        <v>3420</v>
      </c>
      <c r="Z417" t="s">
        <v>38</v>
      </c>
      <c r="AA417" t="s">
        <v>31</v>
      </c>
      <c r="AB417" t="s">
        <v>266</v>
      </c>
      <c r="AC417" t="s">
        <v>30</v>
      </c>
      <c r="AD417" t="s">
        <v>46</v>
      </c>
      <c r="AE417" t="s">
        <v>751</v>
      </c>
      <c r="AF417" t="s">
        <v>752</v>
      </c>
      <c r="AG417" t="s">
        <v>38</v>
      </c>
      <c r="AH417" t="s">
        <v>3751</v>
      </c>
      <c r="AK417">
        <v>2</v>
      </c>
      <c r="AL417" t="s">
        <v>32</v>
      </c>
      <c r="AM417" t="s">
        <v>2712</v>
      </c>
      <c r="AN417" t="s">
        <v>2713</v>
      </c>
    </row>
    <row r="418" spans="1:40">
      <c r="A418" t="s">
        <v>2714</v>
      </c>
      <c r="B418" t="s">
        <v>24</v>
      </c>
      <c r="C418" t="s">
        <v>2254</v>
      </c>
      <c r="D418" t="s">
        <v>2255</v>
      </c>
      <c r="E418" s="1">
        <v>46067.073761574073</v>
      </c>
      <c r="F418" t="s">
        <v>171</v>
      </c>
      <c r="G418" t="s">
        <v>776</v>
      </c>
      <c r="H418" t="s">
        <v>3665</v>
      </c>
      <c r="I418" t="s">
        <v>2715</v>
      </c>
      <c r="J418" t="s">
        <v>1219</v>
      </c>
      <c r="K418" t="s">
        <v>134</v>
      </c>
      <c r="M418" t="s">
        <v>3528</v>
      </c>
      <c r="O418" t="s">
        <v>3144</v>
      </c>
      <c r="P418" t="s">
        <v>3145</v>
      </c>
      <c r="Q418" t="s">
        <v>3678</v>
      </c>
      <c r="R418" t="s">
        <v>46</v>
      </c>
      <c r="S418" t="s">
        <v>338</v>
      </c>
      <c r="T418" t="s">
        <v>890</v>
      </c>
      <c r="U418" s="1">
        <v>46072.572291666664</v>
      </c>
      <c r="V418" t="s">
        <v>31</v>
      </c>
      <c r="W418" t="s">
        <v>33</v>
      </c>
      <c r="X418" t="s">
        <v>3525</v>
      </c>
      <c r="Y418" t="s">
        <v>3421</v>
      </c>
      <c r="Z418" t="s">
        <v>1775</v>
      </c>
      <c r="AA418" t="s">
        <v>31</v>
      </c>
      <c r="AB418" t="s">
        <v>266</v>
      </c>
      <c r="AC418" t="s">
        <v>284</v>
      </c>
      <c r="AD418" t="s">
        <v>46</v>
      </c>
      <c r="AE418" t="s">
        <v>338</v>
      </c>
      <c r="AF418" t="s">
        <v>890</v>
      </c>
      <c r="AG418" t="s">
        <v>1775</v>
      </c>
      <c r="AH418">
        <v>11902</v>
      </c>
      <c r="AK418">
        <v>1</v>
      </c>
      <c r="AL418" t="s">
        <v>32</v>
      </c>
      <c r="AM418" t="s">
        <v>2256</v>
      </c>
      <c r="AN418" t="s">
        <v>2257</v>
      </c>
    </row>
    <row r="419" spans="1:40">
      <c r="A419" t="s">
        <v>2716</v>
      </c>
      <c r="B419" t="s">
        <v>34</v>
      </c>
      <c r="C419" t="s">
        <v>2717</v>
      </c>
      <c r="D419" t="s">
        <v>66</v>
      </c>
      <c r="E419" s="1">
        <v>46066.603321759256</v>
      </c>
      <c r="F419" t="s">
        <v>77</v>
      </c>
      <c r="G419" t="s">
        <v>776</v>
      </c>
      <c r="H419" t="s">
        <v>3669</v>
      </c>
      <c r="I419" t="s">
        <v>2718</v>
      </c>
      <c r="J419" t="s">
        <v>1219</v>
      </c>
      <c r="K419" t="s">
        <v>134</v>
      </c>
      <c r="M419" t="s">
        <v>3529</v>
      </c>
      <c r="O419" t="s">
        <v>3099</v>
      </c>
      <c r="P419" t="s">
        <v>3100</v>
      </c>
      <c r="Q419" t="s">
        <v>3688</v>
      </c>
      <c r="R419" t="s">
        <v>46</v>
      </c>
      <c r="S419" t="s">
        <v>94</v>
      </c>
      <c r="T419" t="s">
        <v>95</v>
      </c>
      <c r="U419" s="1">
        <v>46076.344780092593</v>
      </c>
      <c r="V419" t="s">
        <v>31</v>
      </c>
      <c r="W419" t="s">
        <v>33</v>
      </c>
      <c r="X419" t="s">
        <v>3525</v>
      </c>
      <c r="Y419" t="s">
        <v>3372</v>
      </c>
      <c r="Z419" t="s">
        <v>38</v>
      </c>
      <c r="AA419" t="s">
        <v>31</v>
      </c>
      <c r="AB419" t="s">
        <v>227</v>
      </c>
      <c r="AC419" t="s">
        <v>30</v>
      </c>
      <c r="AD419" t="s">
        <v>46</v>
      </c>
      <c r="AE419" t="s">
        <v>3374</v>
      </c>
      <c r="AF419" t="s">
        <v>3373</v>
      </c>
      <c r="AG419" t="s">
        <v>38</v>
      </c>
      <c r="AH419">
        <v>9847</v>
      </c>
      <c r="AJ419">
        <v>191622</v>
      </c>
      <c r="AK419">
        <v>7</v>
      </c>
      <c r="AL419" t="s">
        <v>181</v>
      </c>
      <c r="AM419" t="s">
        <v>2719</v>
      </c>
      <c r="AN419" t="s">
        <v>2720</v>
      </c>
    </row>
    <row r="420" spans="1:40">
      <c r="A420" t="s">
        <v>2721</v>
      </c>
      <c r="B420" t="s">
        <v>34</v>
      </c>
      <c r="C420" t="s">
        <v>562</v>
      </c>
      <c r="D420" t="s">
        <v>2702</v>
      </c>
      <c r="E420" s="1">
        <v>46066.48641203704</v>
      </c>
      <c r="F420" t="s">
        <v>470</v>
      </c>
      <c r="G420" t="s">
        <v>776</v>
      </c>
      <c r="H420" t="s">
        <v>3671</v>
      </c>
      <c r="I420" t="s">
        <v>2722</v>
      </c>
      <c r="J420" t="s">
        <v>320</v>
      </c>
      <c r="K420" t="s">
        <v>134</v>
      </c>
      <c r="M420" t="s">
        <v>3526</v>
      </c>
      <c r="O420" t="s">
        <v>3099</v>
      </c>
      <c r="P420" t="s">
        <v>3100</v>
      </c>
      <c r="Q420" t="s">
        <v>3678</v>
      </c>
      <c r="R420" t="s">
        <v>46</v>
      </c>
      <c r="S420" t="s">
        <v>2523</v>
      </c>
      <c r="T420" t="s">
        <v>2524</v>
      </c>
      <c r="U420" s="1">
        <v>46076.349085648151</v>
      </c>
      <c r="V420" t="s">
        <v>31</v>
      </c>
      <c r="W420" t="s">
        <v>33</v>
      </c>
      <c r="X420" t="s">
        <v>3525</v>
      </c>
      <c r="Y420" t="s">
        <v>3422</v>
      </c>
      <c r="Z420" t="s">
        <v>38</v>
      </c>
      <c r="AA420" t="s">
        <v>31</v>
      </c>
      <c r="AB420" t="s">
        <v>227</v>
      </c>
      <c r="AC420" t="s">
        <v>30</v>
      </c>
      <c r="AD420" t="s">
        <v>46</v>
      </c>
      <c r="AE420" t="s">
        <v>2523</v>
      </c>
      <c r="AF420" t="s">
        <v>2524</v>
      </c>
      <c r="AG420" t="s">
        <v>38</v>
      </c>
      <c r="AH420">
        <v>12696</v>
      </c>
      <c r="AK420">
        <v>6</v>
      </c>
      <c r="AL420" t="s">
        <v>32</v>
      </c>
      <c r="AM420" t="s">
        <v>2703</v>
      </c>
      <c r="AN420" t="s">
        <v>2704</v>
      </c>
    </row>
    <row r="421" spans="1:40">
      <c r="A421" t="s">
        <v>2723</v>
      </c>
      <c r="B421" t="s">
        <v>34</v>
      </c>
      <c r="C421" t="s">
        <v>800</v>
      </c>
      <c r="D421" t="s">
        <v>967</v>
      </c>
      <c r="E421" s="1">
        <v>46066.483715277776</v>
      </c>
      <c r="F421" t="s">
        <v>702</v>
      </c>
      <c r="G421" t="s">
        <v>776</v>
      </c>
      <c r="H421" t="s">
        <v>3670</v>
      </c>
      <c r="I421" t="s">
        <v>252</v>
      </c>
      <c r="J421" t="s">
        <v>273</v>
      </c>
      <c r="K421" t="s">
        <v>134</v>
      </c>
      <c r="M421" t="s">
        <v>3528</v>
      </c>
      <c r="O421" t="s">
        <v>3099</v>
      </c>
      <c r="P421" t="s">
        <v>3100</v>
      </c>
      <c r="Q421" t="s">
        <v>3678</v>
      </c>
      <c r="R421" t="s">
        <v>46</v>
      </c>
      <c r="S421" t="s">
        <v>515</v>
      </c>
      <c r="T421" t="s">
        <v>2724</v>
      </c>
      <c r="U421" s="1">
        <v>46073.456689814811</v>
      </c>
      <c r="V421" t="s">
        <v>31</v>
      </c>
      <c r="W421" t="s">
        <v>33</v>
      </c>
      <c r="X421" t="s">
        <v>3536</v>
      </c>
      <c r="Y421" t="s">
        <v>3423</v>
      </c>
      <c r="Z421" t="s">
        <v>1775</v>
      </c>
      <c r="AA421" t="s">
        <v>31</v>
      </c>
      <c r="AB421" t="s">
        <v>104</v>
      </c>
      <c r="AC421" t="s">
        <v>30</v>
      </c>
      <c r="AD421" t="s">
        <v>46</v>
      </c>
      <c r="AE421" t="s">
        <v>515</v>
      </c>
      <c r="AF421" t="s">
        <v>3424</v>
      </c>
      <c r="AG421" t="s">
        <v>1775</v>
      </c>
      <c r="AH421">
        <v>15975</v>
      </c>
      <c r="AK421">
        <v>21</v>
      </c>
      <c r="AL421" t="s">
        <v>32</v>
      </c>
      <c r="AM421" t="s">
        <v>968</v>
      </c>
      <c r="AN421" t="s">
        <v>969</v>
      </c>
    </row>
    <row r="422" spans="1:40">
      <c r="A422" t="s">
        <v>2470</v>
      </c>
      <c r="B422" t="s">
        <v>34</v>
      </c>
      <c r="C422" t="s">
        <v>53</v>
      </c>
      <c r="D422" t="s">
        <v>450</v>
      </c>
      <c r="E422" s="1">
        <v>46076.081574074073</v>
      </c>
      <c r="F422" t="s">
        <v>77</v>
      </c>
      <c r="G422" t="s">
        <v>776</v>
      </c>
      <c r="H422" t="s">
        <v>3669</v>
      </c>
      <c r="I422" t="s">
        <v>1755</v>
      </c>
      <c r="J422" t="s">
        <v>477</v>
      </c>
      <c r="K422" t="s">
        <v>134</v>
      </c>
      <c r="M422" t="s">
        <v>3529</v>
      </c>
      <c r="O422" t="s">
        <v>3099</v>
      </c>
      <c r="P422" t="s">
        <v>3100</v>
      </c>
      <c r="Q422" t="s">
        <v>3678</v>
      </c>
      <c r="R422" t="s">
        <v>46</v>
      </c>
      <c r="S422" t="s">
        <v>751</v>
      </c>
      <c r="T422" t="s">
        <v>752</v>
      </c>
      <c r="U422" s="1">
        <v>46077.568368055552</v>
      </c>
      <c r="V422" t="s">
        <v>31</v>
      </c>
      <c r="W422" t="s">
        <v>33</v>
      </c>
      <c r="X422" t="s">
        <v>3525</v>
      </c>
      <c r="Y422" t="s">
        <v>3425</v>
      </c>
      <c r="Z422" t="s">
        <v>38</v>
      </c>
      <c r="AA422" t="s">
        <v>31</v>
      </c>
      <c r="AB422" t="s">
        <v>1150</v>
      </c>
      <c r="AC422" t="s">
        <v>30</v>
      </c>
      <c r="AD422" t="s">
        <v>46</v>
      </c>
      <c r="AE422" t="s">
        <v>751</v>
      </c>
      <c r="AF422" t="s">
        <v>752</v>
      </c>
      <c r="AG422" t="s">
        <v>38</v>
      </c>
      <c r="AH422">
        <v>12209</v>
      </c>
      <c r="AK422">
        <v>1</v>
      </c>
      <c r="AL422" t="s">
        <v>32</v>
      </c>
      <c r="AM422" t="s">
        <v>2471</v>
      </c>
      <c r="AN422" t="s">
        <v>2472</v>
      </c>
    </row>
    <row r="423" spans="1:40">
      <c r="A423" t="s">
        <v>2473</v>
      </c>
      <c r="B423" t="s">
        <v>34</v>
      </c>
      <c r="C423" t="s">
        <v>1939</v>
      </c>
      <c r="D423" t="s">
        <v>1940</v>
      </c>
      <c r="E423" s="1">
        <v>46076.079780092594</v>
      </c>
      <c r="F423" t="s">
        <v>26</v>
      </c>
      <c r="G423" t="s">
        <v>776</v>
      </c>
      <c r="H423" t="s">
        <v>3665</v>
      </c>
      <c r="I423" t="s">
        <v>1755</v>
      </c>
      <c r="J423" t="s">
        <v>135</v>
      </c>
      <c r="K423" t="s">
        <v>134</v>
      </c>
      <c r="M423" t="s">
        <v>3526</v>
      </c>
      <c r="O423" t="s">
        <v>3099</v>
      </c>
      <c r="P423" t="s">
        <v>3100</v>
      </c>
      <c r="Q423" t="s">
        <v>3689</v>
      </c>
      <c r="R423" t="s">
        <v>46</v>
      </c>
      <c r="S423" t="s">
        <v>751</v>
      </c>
      <c r="T423" t="s">
        <v>752</v>
      </c>
      <c r="U423" s="1">
        <v>46076.374432870369</v>
      </c>
      <c r="V423" t="s">
        <v>31</v>
      </c>
      <c r="W423" t="s">
        <v>33</v>
      </c>
      <c r="X423" t="s">
        <v>3525</v>
      </c>
      <c r="Y423" t="s">
        <v>3426</v>
      </c>
      <c r="Z423" t="s">
        <v>38</v>
      </c>
      <c r="AA423" t="s">
        <v>31</v>
      </c>
      <c r="AB423" t="s">
        <v>1150</v>
      </c>
      <c r="AC423" t="s">
        <v>30</v>
      </c>
      <c r="AD423" t="s">
        <v>46</v>
      </c>
      <c r="AE423" t="s">
        <v>751</v>
      </c>
      <c r="AF423" t="s">
        <v>752</v>
      </c>
      <c r="AG423" t="s">
        <v>38</v>
      </c>
      <c r="AH423">
        <v>3297</v>
      </c>
      <c r="AK423">
        <v>0</v>
      </c>
      <c r="AL423" t="s">
        <v>32</v>
      </c>
      <c r="AM423" t="s">
        <v>1942</v>
      </c>
      <c r="AN423" t="s">
        <v>1943</v>
      </c>
    </row>
    <row r="424" spans="1:40">
      <c r="A424" t="s">
        <v>2474</v>
      </c>
      <c r="B424" t="s">
        <v>34</v>
      </c>
      <c r="C424" t="s">
        <v>234</v>
      </c>
      <c r="D424" t="s">
        <v>1542</v>
      </c>
      <c r="E424" s="1">
        <v>46076.076006944444</v>
      </c>
      <c r="F424" t="s">
        <v>186</v>
      </c>
      <c r="G424" t="s">
        <v>776</v>
      </c>
      <c r="H424" t="s">
        <v>3667</v>
      </c>
      <c r="I424" t="s">
        <v>2475</v>
      </c>
      <c r="J424" t="s">
        <v>494</v>
      </c>
      <c r="K424" t="s">
        <v>134</v>
      </c>
      <c r="M424" t="s">
        <v>3526</v>
      </c>
      <c r="O424" t="s">
        <v>3099</v>
      </c>
      <c r="P424" t="s">
        <v>3100</v>
      </c>
      <c r="Q424" t="s">
        <v>3678</v>
      </c>
      <c r="R424" t="s">
        <v>46</v>
      </c>
      <c r="S424" t="s">
        <v>751</v>
      </c>
      <c r="T424" t="s">
        <v>752</v>
      </c>
      <c r="U424" s="1">
        <v>46077.35670138889</v>
      </c>
      <c r="V424" t="s">
        <v>31</v>
      </c>
      <c r="W424" t="s">
        <v>33</v>
      </c>
      <c r="X424" t="s">
        <v>3525</v>
      </c>
      <c r="Y424" t="s">
        <v>3427</v>
      </c>
      <c r="Z424" t="s">
        <v>38</v>
      </c>
      <c r="AA424" t="s">
        <v>31</v>
      </c>
      <c r="AB424" t="s">
        <v>1150</v>
      </c>
      <c r="AC424" t="s">
        <v>30</v>
      </c>
      <c r="AD424" t="s">
        <v>46</v>
      </c>
      <c r="AE424" t="s">
        <v>751</v>
      </c>
      <c r="AF424" t="s">
        <v>752</v>
      </c>
      <c r="AG424" t="s">
        <v>38</v>
      </c>
      <c r="AH424" t="s">
        <v>3627</v>
      </c>
      <c r="AK424">
        <v>1</v>
      </c>
      <c r="AL424" t="s">
        <v>32</v>
      </c>
      <c r="AM424" t="s">
        <v>1789</v>
      </c>
      <c r="AN424" t="s">
        <v>1790</v>
      </c>
    </row>
    <row r="425" spans="1:40">
      <c r="A425" t="s">
        <v>2476</v>
      </c>
      <c r="B425" t="s">
        <v>34</v>
      </c>
      <c r="C425" t="s">
        <v>115</v>
      </c>
      <c r="D425" t="s">
        <v>195</v>
      </c>
      <c r="E425" s="1">
        <v>46076.07309027778</v>
      </c>
      <c r="F425" t="s">
        <v>153</v>
      </c>
      <c r="G425" t="s">
        <v>776</v>
      </c>
      <c r="H425" t="s">
        <v>3669</v>
      </c>
      <c r="I425" t="s">
        <v>2475</v>
      </c>
      <c r="J425" t="s">
        <v>231</v>
      </c>
      <c r="K425" t="s">
        <v>134</v>
      </c>
      <c r="M425" t="s">
        <v>3526</v>
      </c>
      <c r="O425" t="s">
        <v>3099</v>
      </c>
      <c r="P425" t="s">
        <v>3100</v>
      </c>
      <c r="Q425" t="s">
        <v>3678</v>
      </c>
      <c r="R425" t="s">
        <v>46</v>
      </c>
      <c r="S425" t="s">
        <v>751</v>
      </c>
      <c r="T425" t="s">
        <v>752</v>
      </c>
      <c r="U425" s="1">
        <v>46077.695289351854</v>
      </c>
      <c r="V425" t="s">
        <v>31</v>
      </c>
      <c r="W425" t="s">
        <v>33</v>
      </c>
      <c r="X425" t="s">
        <v>3525</v>
      </c>
      <c r="Y425" t="s">
        <v>3428</v>
      </c>
      <c r="Z425" t="s">
        <v>38</v>
      </c>
      <c r="AA425" t="s">
        <v>31</v>
      </c>
      <c r="AB425" t="s">
        <v>1150</v>
      </c>
      <c r="AC425" t="s">
        <v>30</v>
      </c>
      <c r="AD425" t="s">
        <v>46</v>
      </c>
      <c r="AE425" t="s">
        <v>751</v>
      </c>
      <c r="AF425" t="s">
        <v>752</v>
      </c>
      <c r="AG425" t="s">
        <v>38</v>
      </c>
      <c r="AH425">
        <v>13242</v>
      </c>
      <c r="AK425">
        <v>1</v>
      </c>
      <c r="AL425" t="s">
        <v>32</v>
      </c>
      <c r="AM425" t="s">
        <v>2477</v>
      </c>
      <c r="AN425" t="s">
        <v>2478</v>
      </c>
    </row>
    <row r="426" spans="1:40">
      <c r="A426" t="s">
        <v>2479</v>
      </c>
      <c r="B426" t="s">
        <v>34</v>
      </c>
      <c r="C426" t="s">
        <v>2480</v>
      </c>
      <c r="D426" t="s">
        <v>2481</v>
      </c>
      <c r="E426" s="1">
        <v>46076.068726851852</v>
      </c>
      <c r="F426" t="s">
        <v>77</v>
      </c>
      <c r="G426" t="s">
        <v>776</v>
      </c>
      <c r="H426" t="s">
        <v>3669</v>
      </c>
      <c r="I426" t="s">
        <v>2482</v>
      </c>
      <c r="J426" t="s">
        <v>1219</v>
      </c>
      <c r="K426" t="s">
        <v>134</v>
      </c>
      <c r="M426" t="s">
        <v>3529</v>
      </c>
      <c r="O426" t="s">
        <v>3099</v>
      </c>
      <c r="P426" t="s">
        <v>3100</v>
      </c>
      <c r="Q426" t="s">
        <v>3678</v>
      </c>
      <c r="R426" t="s">
        <v>46</v>
      </c>
      <c r="S426" t="s">
        <v>751</v>
      </c>
      <c r="T426" t="s">
        <v>752</v>
      </c>
      <c r="U426" s="1">
        <v>46077.488240740742</v>
      </c>
      <c r="V426" t="s">
        <v>31</v>
      </c>
      <c r="W426" t="s">
        <v>33</v>
      </c>
      <c r="X426" t="s">
        <v>3525</v>
      </c>
      <c r="Y426" t="s">
        <v>3429</v>
      </c>
      <c r="Z426" t="s">
        <v>38</v>
      </c>
      <c r="AA426" t="s">
        <v>31</v>
      </c>
      <c r="AB426" t="s">
        <v>1150</v>
      </c>
      <c r="AC426" t="s">
        <v>30</v>
      </c>
      <c r="AD426" t="s">
        <v>46</v>
      </c>
      <c r="AE426" t="s">
        <v>751</v>
      </c>
      <c r="AF426" t="s">
        <v>752</v>
      </c>
      <c r="AG426" t="s">
        <v>38</v>
      </c>
      <c r="AH426" t="s">
        <v>3664</v>
      </c>
      <c r="AK426">
        <v>1</v>
      </c>
      <c r="AL426" t="s">
        <v>32</v>
      </c>
      <c r="AM426" t="s">
        <v>2483</v>
      </c>
      <c r="AN426" t="s">
        <v>2484</v>
      </c>
    </row>
    <row r="427" spans="1:40">
      <c r="A427" t="s">
        <v>2485</v>
      </c>
      <c r="B427" t="s">
        <v>34</v>
      </c>
      <c r="C427" t="s">
        <v>144</v>
      </c>
      <c r="D427" t="s">
        <v>2486</v>
      </c>
      <c r="E427" s="1">
        <v>46075.99554398148</v>
      </c>
      <c r="F427" t="s">
        <v>226</v>
      </c>
      <c r="G427" t="s">
        <v>776</v>
      </c>
      <c r="H427" t="s">
        <v>3665</v>
      </c>
      <c r="I427" t="s">
        <v>109</v>
      </c>
      <c r="J427" t="s">
        <v>1149</v>
      </c>
      <c r="K427" t="s">
        <v>44</v>
      </c>
      <c r="M427" t="s">
        <v>3528</v>
      </c>
      <c r="O427" t="s">
        <v>3099</v>
      </c>
      <c r="P427" t="s">
        <v>3100</v>
      </c>
      <c r="Q427" t="s">
        <v>3704</v>
      </c>
      <c r="R427" t="s">
        <v>46</v>
      </c>
      <c r="S427" t="s">
        <v>110</v>
      </c>
      <c r="T427" t="s">
        <v>111</v>
      </c>
      <c r="U427" s="1">
        <v>46076.064351851855</v>
      </c>
      <c r="V427" t="s">
        <v>31</v>
      </c>
      <c r="W427" t="s">
        <v>33</v>
      </c>
      <c r="X427" t="s">
        <v>3530</v>
      </c>
      <c r="Y427" t="s">
        <v>3193</v>
      </c>
      <c r="Z427" t="s">
        <v>1775</v>
      </c>
      <c r="AA427" t="s">
        <v>31</v>
      </c>
      <c r="AB427" t="s">
        <v>1150</v>
      </c>
      <c r="AC427" t="s">
        <v>30</v>
      </c>
      <c r="AD427" t="s">
        <v>46</v>
      </c>
      <c r="AE427" t="s">
        <v>110</v>
      </c>
      <c r="AF427" t="s">
        <v>111</v>
      </c>
      <c r="AG427" t="s">
        <v>1775</v>
      </c>
      <c r="AH427">
        <v>7485</v>
      </c>
      <c r="AK427">
        <v>0</v>
      </c>
      <c r="AL427" t="s">
        <v>32</v>
      </c>
      <c r="AM427" t="s">
        <v>2487</v>
      </c>
      <c r="AN427" t="s">
        <v>2488</v>
      </c>
    </row>
    <row r="428" spans="1:40">
      <c r="A428" t="s">
        <v>2489</v>
      </c>
      <c r="B428" t="s">
        <v>34</v>
      </c>
      <c r="C428" t="s">
        <v>704</v>
      </c>
      <c r="D428" t="s">
        <v>142</v>
      </c>
      <c r="E428" s="1">
        <v>46073.377511574072</v>
      </c>
      <c r="F428" t="s">
        <v>26</v>
      </c>
      <c r="G428" t="s">
        <v>776</v>
      </c>
      <c r="H428" t="s">
        <v>3665</v>
      </c>
      <c r="I428" t="s">
        <v>2490</v>
      </c>
      <c r="J428" t="s">
        <v>320</v>
      </c>
      <c r="K428" t="s">
        <v>134</v>
      </c>
      <c r="M428" t="s">
        <v>3528</v>
      </c>
      <c r="O428" t="s">
        <v>3099</v>
      </c>
      <c r="P428" t="s">
        <v>3100</v>
      </c>
      <c r="Q428" t="s">
        <v>3678</v>
      </c>
      <c r="R428" t="s">
        <v>46</v>
      </c>
      <c r="S428" t="s">
        <v>348</v>
      </c>
      <c r="T428" t="s">
        <v>506</v>
      </c>
      <c r="U428" s="1">
        <v>46073.4921412037</v>
      </c>
      <c r="V428" t="s">
        <v>31</v>
      </c>
      <c r="W428" t="s">
        <v>33</v>
      </c>
      <c r="X428" t="s">
        <v>3531</v>
      </c>
      <c r="Y428" t="s">
        <v>3430</v>
      </c>
      <c r="Z428" t="s">
        <v>1775</v>
      </c>
      <c r="AA428" t="s">
        <v>31</v>
      </c>
      <c r="AB428" t="s">
        <v>923</v>
      </c>
      <c r="AC428" t="s">
        <v>30</v>
      </c>
      <c r="AD428" t="s">
        <v>46</v>
      </c>
      <c r="AE428" t="s">
        <v>348</v>
      </c>
      <c r="AF428" t="s">
        <v>3197</v>
      </c>
      <c r="AG428" t="s">
        <v>1775</v>
      </c>
      <c r="AH428">
        <v>13011</v>
      </c>
      <c r="AK428">
        <v>0</v>
      </c>
      <c r="AL428" t="s">
        <v>32</v>
      </c>
      <c r="AM428" t="s">
        <v>2491</v>
      </c>
      <c r="AN428" t="s">
        <v>2492</v>
      </c>
    </row>
    <row r="429" spans="1:40">
      <c r="A429" t="s">
        <v>2725</v>
      </c>
      <c r="B429" t="s">
        <v>34</v>
      </c>
      <c r="C429" t="s">
        <v>2726</v>
      </c>
      <c r="D429" t="s">
        <v>2493</v>
      </c>
      <c r="E429" s="1">
        <v>46066.427604166667</v>
      </c>
      <c r="F429" t="s">
        <v>242</v>
      </c>
      <c r="G429" t="s">
        <v>776</v>
      </c>
      <c r="H429" t="s">
        <v>3671</v>
      </c>
      <c r="I429" t="s">
        <v>252</v>
      </c>
      <c r="J429" t="s">
        <v>2157</v>
      </c>
      <c r="K429" t="s">
        <v>134</v>
      </c>
      <c r="M429" t="s">
        <v>3528</v>
      </c>
      <c r="O429" t="s">
        <v>3099</v>
      </c>
      <c r="P429" t="s">
        <v>3100</v>
      </c>
      <c r="Q429" t="s">
        <v>3752</v>
      </c>
      <c r="R429" t="s">
        <v>162</v>
      </c>
      <c r="S429" t="s">
        <v>163</v>
      </c>
      <c r="T429" t="s">
        <v>164</v>
      </c>
      <c r="U429" s="1">
        <v>46072.339560185188</v>
      </c>
      <c r="V429" t="s">
        <v>31</v>
      </c>
      <c r="W429" t="s">
        <v>33</v>
      </c>
      <c r="X429" t="s">
        <v>3536</v>
      </c>
      <c r="Y429" t="s">
        <v>3431</v>
      </c>
      <c r="Z429" t="s">
        <v>1775</v>
      </c>
      <c r="AA429" t="s">
        <v>31</v>
      </c>
      <c r="AB429" t="s">
        <v>104</v>
      </c>
      <c r="AC429" t="s">
        <v>30</v>
      </c>
      <c r="AD429" t="s">
        <v>46</v>
      </c>
      <c r="AE429" t="s">
        <v>515</v>
      </c>
      <c r="AF429" t="s">
        <v>3432</v>
      </c>
      <c r="AG429" t="s">
        <v>1775</v>
      </c>
      <c r="AH429">
        <v>11615</v>
      </c>
      <c r="AK429">
        <v>14</v>
      </c>
      <c r="AL429" t="s">
        <v>32</v>
      </c>
      <c r="AM429" t="s">
        <v>2727</v>
      </c>
      <c r="AN429" t="s">
        <v>2728</v>
      </c>
    </row>
    <row r="430" spans="1:40">
      <c r="A430" t="s">
        <v>2729</v>
      </c>
      <c r="B430" t="s">
        <v>34</v>
      </c>
      <c r="C430" t="s">
        <v>97</v>
      </c>
      <c r="D430" t="s">
        <v>65</v>
      </c>
      <c r="E430" s="1">
        <v>46066.381238425929</v>
      </c>
      <c r="F430" t="s">
        <v>245</v>
      </c>
      <c r="G430" t="s">
        <v>776</v>
      </c>
      <c r="H430" t="s">
        <v>3665</v>
      </c>
      <c r="I430" t="s">
        <v>2730</v>
      </c>
      <c r="J430" t="s">
        <v>438</v>
      </c>
      <c r="K430" t="s">
        <v>44</v>
      </c>
      <c r="M430" t="s">
        <v>3526</v>
      </c>
      <c r="O430" t="s">
        <v>3099</v>
      </c>
      <c r="P430" t="s">
        <v>3100</v>
      </c>
      <c r="Q430" t="s">
        <v>3678</v>
      </c>
      <c r="R430" t="s">
        <v>162</v>
      </c>
      <c r="S430" t="s">
        <v>163</v>
      </c>
      <c r="T430" t="s">
        <v>164</v>
      </c>
      <c r="U430" s="1">
        <v>46078.349849537037</v>
      </c>
      <c r="V430" t="s">
        <v>31</v>
      </c>
      <c r="W430" t="s">
        <v>33</v>
      </c>
      <c r="X430" t="s">
        <v>3536</v>
      </c>
      <c r="Y430" t="s">
        <v>3433</v>
      </c>
      <c r="Z430" t="s">
        <v>38</v>
      </c>
      <c r="AA430" t="s">
        <v>31</v>
      </c>
      <c r="AB430" t="s">
        <v>104</v>
      </c>
      <c r="AC430" t="s">
        <v>30</v>
      </c>
      <c r="AD430" t="s">
        <v>46</v>
      </c>
      <c r="AE430" t="s">
        <v>110</v>
      </c>
      <c r="AF430" t="s">
        <v>3434</v>
      </c>
      <c r="AG430" t="s">
        <v>38</v>
      </c>
      <c r="AH430">
        <v>15314</v>
      </c>
      <c r="AK430">
        <v>2</v>
      </c>
      <c r="AL430" t="s">
        <v>32</v>
      </c>
      <c r="AM430" t="s">
        <v>2731</v>
      </c>
      <c r="AN430" t="s">
        <v>2732</v>
      </c>
    </row>
    <row r="431" spans="1:40">
      <c r="A431" t="s">
        <v>2733</v>
      </c>
      <c r="B431" t="s">
        <v>34</v>
      </c>
      <c r="C431" t="s">
        <v>627</v>
      </c>
      <c r="D431" t="s">
        <v>628</v>
      </c>
      <c r="E431" s="1">
        <v>46066.38175925926</v>
      </c>
      <c r="F431" t="s">
        <v>108</v>
      </c>
      <c r="G431" t="s">
        <v>776</v>
      </c>
      <c r="H431" t="s">
        <v>3666</v>
      </c>
      <c r="I431" t="s">
        <v>2734</v>
      </c>
      <c r="J431" t="s">
        <v>320</v>
      </c>
      <c r="K431" t="s">
        <v>134</v>
      </c>
      <c r="M431" t="s">
        <v>3526</v>
      </c>
      <c r="O431" t="s">
        <v>3099</v>
      </c>
      <c r="P431" t="s">
        <v>3100</v>
      </c>
      <c r="Q431" t="s">
        <v>3678</v>
      </c>
      <c r="R431" t="s">
        <v>46</v>
      </c>
      <c r="S431" t="s">
        <v>2523</v>
      </c>
      <c r="T431" t="s">
        <v>2524</v>
      </c>
      <c r="U431" s="1">
        <v>46076.349652777775</v>
      </c>
      <c r="V431" t="s">
        <v>31</v>
      </c>
      <c r="W431" t="s">
        <v>33</v>
      </c>
      <c r="X431" t="s">
        <v>3525</v>
      </c>
      <c r="Y431" t="s">
        <v>3435</v>
      </c>
      <c r="Z431" t="s">
        <v>38</v>
      </c>
      <c r="AA431" t="s">
        <v>31</v>
      </c>
      <c r="AB431" t="s">
        <v>227</v>
      </c>
      <c r="AC431" t="s">
        <v>30</v>
      </c>
      <c r="AD431" t="s">
        <v>46</v>
      </c>
      <c r="AE431" t="s">
        <v>2523</v>
      </c>
      <c r="AF431" t="s">
        <v>2524</v>
      </c>
      <c r="AG431" t="s">
        <v>38</v>
      </c>
      <c r="AH431" t="s">
        <v>3567</v>
      </c>
      <c r="AK431">
        <v>5</v>
      </c>
      <c r="AL431" t="s">
        <v>32</v>
      </c>
      <c r="AM431" t="s">
        <v>629</v>
      </c>
      <c r="AN431" t="s">
        <v>630</v>
      </c>
    </row>
    <row r="432" spans="1:40">
      <c r="A432" t="s">
        <v>2735</v>
      </c>
      <c r="B432" t="s">
        <v>34</v>
      </c>
      <c r="C432" t="s">
        <v>115</v>
      </c>
      <c r="D432" t="s">
        <v>873</v>
      </c>
      <c r="E432" s="1">
        <v>46066.348379629628</v>
      </c>
      <c r="F432" t="s">
        <v>150</v>
      </c>
      <c r="G432" t="s">
        <v>776</v>
      </c>
      <c r="H432" t="s">
        <v>3671</v>
      </c>
      <c r="I432" t="s">
        <v>2736</v>
      </c>
      <c r="J432" t="s">
        <v>273</v>
      </c>
      <c r="K432" t="s">
        <v>134</v>
      </c>
      <c r="M432" t="s">
        <v>3526</v>
      </c>
      <c r="O432" t="s">
        <v>3099</v>
      </c>
      <c r="P432" t="s">
        <v>3100</v>
      </c>
      <c r="R432" t="s">
        <v>46</v>
      </c>
      <c r="S432" t="s">
        <v>1062</v>
      </c>
      <c r="T432" t="s">
        <v>2737</v>
      </c>
      <c r="U432" s="1">
        <v>46077.551574074074</v>
      </c>
      <c r="V432" t="s">
        <v>31</v>
      </c>
      <c r="W432" t="s">
        <v>33</v>
      </c>
      <c r="X432" t="s">
        <v>3536</v>
      </c>
      <c r="Y432" t="s">
        <v>3436</v>
      </c>
      <c r="Z432" t="s">
        <v>38</v>
      </c>
      <c r="AA432" t="s">
        <v>31</v>
      </c>
      <c r="AB432" t="s">
        <v>104</v>
      </c>
      <c r="AC432" t="s">
        <v>30</v>
      </c>
      <c r="AD432" t="s">
        <v>46</v>
      </c>
      <c r="AE432" t="s">
        <v>1062</v>
      </c>
      <c r="AF432" t="s">
        <v>2737</v>
      </c>
      <c r="AG432" t="s">
        <v>38</v>
      </c>
      <c r="AH432">
        <v>14863</v>
      </c>
      <c r="AJ432">
        <v>191627</v>
      </c>
      <c r="AK432">
        <v>13</v>
      </c>
      <c r="AL432" t="s">
        <v>32</v>
      </c>
      <c r="AM432" t="s">
        <v>2738</v>
      </c>
      <c r="AN432" t="s">
        <v>2739</v>
      </c>
    </row>
    <row r="433" spans="1:40">
      <c r="A433" t="s">
        <v>2740</v>
      </c>
      <c r="B433" t="s">
        <v>24</v>
      </c>
      <c r="C433" t="s">
        <v>115</v>
      </c>
      <c r="D433" t="s">
        <v>754</v>
      </c>
      <c r="E433" s="1">
        <v>46066.336377314816</v>
      </c>
      <c r="F433" t="s">
        <v>755</v>
      </c>
      <c r="G433" t="s">
        <v>776</v>
      </c>
      <c r="H433" t="s">
        <v>3669</v>
      </c>
      <c r="I433" t="s">
        <v>2741</v>
      </c>
      <c r="J433" t="s">
        <v>2157</v>
      </c>
      <c r="K433" t="s">
        <v>134</v>
      </c>
      <c r="M433" t="s">
        <v>3528</v>
      </c>
      <c r="O433" t="s">
        <v>3103</v>
      </c>
      <c r="P433" t="s">
        <v>3104</v>
      </c>
      <c r="Q433" t="s">
        <v>3712</v>
      </c>
      <c r="R433" t="s">
        <v>46</v>
      </c>
      <c r="S433" t="s">
        <v>582</v>
      </c>
      <c r="T433" t="s">
        <v>2742</v>
      </c>
      <c r="U433" s="1">
        <v>46073.389131944445</v>
      </c>
      <c r="V433" t="s">
        <v>180</v>
      </c>
      <c r="W433" t="s">
        <v>33</v>
      </c>
      <c r="X433" t="s">
        <v>3525</v>
      </c>
      <c r="Y433" t="s">
        <v>3437</v>
      </c>
      <c r="Z433" t="s">
        <v>1775</v>
      </c>
      <c r="AA433" t="s">
        <v>180</v>
      </c>
      <c r="AB433" t="s">
        <v>227</v>
      </c>
      <c r="AC433" t="s">
        <v>86</v>
      </c>
      <c r="AD433" t="s">
        <v>46</v>
      </c>
      <c r="AE433" t="s">
        <v>582</v>
      </c>
      <c r="AF433" t="s">
        <v>3290</v>
      </c>
      <c r="AG433" t="s">
        <v>1775</v>
      </c>
      <c r="AH433">
        <v>3172</v>
      </c>
      <c r="AK433">
        <v>11</v>
      </c>
      <c r="AL433" t="s">
        <v>181</v>
      </c>
      <c r="AM433" t="s">
        <v>756</v>
      </c>
      <c r="AN433" t="s">
        <v>757</v>
      </c>
    </row>
    <row r="434" spans="1:40">
      <c r="A434" t="s">
        <v>2743</v>
      </c>
      <c r="B434" t="s">
        <v>34</v>
      </c>
      <c r="C434" t="s">
        <v>2744</v>
      </c>
      <c r="D434" t="s">
        <v>498</v>
      </c>
      <c r="E434" s="1">
        <v>46066.176759259259</v>
      </c>
      <c r="F434" t="s">
        <v>62</v>
      </c>
      <c r="G434" t="s">
        <v>776</v>
      </c>
      <c r="H434" t="s">
        <v>3668</v>
      </c>
      <c r="I434" t="s">
        <v>230</v>
      </c>
      <c r="J434" t="s">
        <v>642</v>
      </c>
      <c r="K434" t="s">
        <v>134</v>
      </c>
      <c r="M434" t="s">
        <v>3526</v>
      </c>
      <c r="O434" t="s">
        <v>3099</v>
      </c>
      <c r="P434" t="s">
        <v>3100</v>
      </c>
      <c r="Q434" t="s">
        <v>3678</v>
      </c>
      <c r="R434" t="s">
        <v>46</v>
      </c>
      <c r="S434" t="s">
        <v>136</v>
      </c>
      <c r="T434" t="s">
        <v>136</v>
      </c>
      <c r="U434" s="1">
        <v>46077.467118055552</v>
      </c>
      <c r="V434" t="s">
        <v>31</v>
      </c>
      <c r="W434" t="s">
        <v>33</v>
      </c>
      <c r="X434" t="s">
        <v>3525</v>
      </c>
      <c r="Y434" t="e">
        <f>- old laptop returned to the store.  - CMDB updated.</f>
        <v>#NAME?</v>
      </c>
      <c r="Z434" t="s">
        <v>38</v>
      </c>
      <c r="AA434" t="s">
        <v>31</v>
      </c>
      <c r="AB434" t="s">
        <v>266</v>
      </c>
      <c r="AC434" t="s">
        <v>30</v>
      </c>
      <c r="AD434" t="s">
        <v>46</v>
      </c>
      <c r="AE434" t="s">
        <v>3339</v>
      </c>
      <c r="AF434" t="s">
        <v>3339</v>
      </c>
      <c r="AG434" t="s">
        <v>38</v>
      </c>
      <c r="AH434" t="s">
        <v>3753</v>
      </c>
      <c r="AJ434">
        <v>12522</v>
      </c>
      <c r="AK434">
        <v>8</v>
      </c>
      <c r="AL434" t="s">
        <v>32</v>
      </c>
      <c r="AM434" t="s">
        <v>2745</v>
      </c>
      <c r="AN434" t="s">
        <v>2746</v>
      </c>
    </row>
    <row r="435" spans="1:40">
      <c r="A435" t="s">
        <v>2747</v>
      </c>
      <c r="B435" t="s">
        <v>34</v>
      </c>
      <c r="C435" t="s">
        <v>1338</v>
      </c>
      <c r="D435" t="s">
        <v>1339</v>
      </c>
      <c r="E435" s="1">
        <v>46065.997118055559</v>
      </c>
      <c r="F435" t="s">
        <v>35</v>
      </c>
      <c r="G435" t="s">
        <v>776</v>
      </c>
      <c r="H435" t="s">
        <v>3672</v>
      </c>
      <c r="I435" t="s">
        <v>679</v>
      </c>
      <c r="J435" t="s">
        <v>411</v>
      </c>
      <c r="K435" t="s">
        <v>44</v>
      </c>
      <c r="M435" t="s">
        <v>3526</v>
      </c>
      <c r="O435" t="s">
        <v>3099</v>
      </c>
      <c r="P435" t="s">
        <v>3100</v>
      </c>
      <c r="Q435" t="s">
        <v>3678</v>
      </c>
      <c r="R435" t="s">
        <v>162</v>
      </c>
      <c r="S435" t="s">
        <v>163</v>
      </c>
      <c r="T435" t="s">
        <v>164</v>
      </c>
      <c r="U435" s="1">
        <v>46076.314143518517</v>
      </c>
      <c r="V435" t="s">
        <v>31</v>
      </c>
      <c r="W435" t="s">
        <v>33</v>
      </c>
      <c r="X435" t="s">
        <v>3536</v>
      </c>
      <c r="Y435" t="s">
        <v>3438</v>
      </c>
      <c r="Z435" t="s">
        <v>38</v>
      </c>
      <c r="AA435" t="s">
        <v>31</v>
      </c>
      <c r="AB435" t="s">
        <v>104</v>
      </c>
      <c r="AC435" t="s">
        <v>30</v>
      </c>
      <c r="AD435" t="s">
        <v>1423</v>
      </c>
      <c r="AE435" t="s">
        <v>3440</v>
      </c>
      <c r="AF435" t="s">
        <v>3439</v>
      </c>
      <c r="AG435" t="s">
        <v>38</v>
      </c>
      <c r="AH435" t="s">
        <v>3608</v>
      </c>
      <c r="AK435">
        <v>2</v>
      </c>
      <c r="AL435" t="s">
        <v>32</v>
      </c>
      <c r="AM435" t="s">
        <v>1340</v>
      </c>
      <c r="AN435" t="s">
        <v>1341</v>
      </c>
    </row>
    <row r="436" spans="1:40">
      <c r="A436" t="s">
        <v>2748</v>
      </c>
      <c r="B436" t="s">
        <v>24</v>
      </c>
      <c r="C436" t="s">
        <v>361</v>
      </c>
      <c r="D436" t="s">
        <v>2749</v>
      </c>
      <c r="E436" s="1">
        <v>46065.824641203704</v>
      </c>
      <c r="F436" t="s">
        <v>168</v>
      </c>
      <c r="G436" t="s">
        <v>776</v>
      </c>
      <c r="H436" t="s">
        <v>3669</v>
      </c>
      <c r="I436" t="s">
        <v>187</v>
      </c>
      <c r="J436" t="s">
        <v>231</v>
      </c>
      <c r="K436" t="s">
        <v>134</v>
      </c>
      <c r="M436" t="s">
        <v>3526</v>
      </c>
      <c r="O436" t="s">
        <v>3103</v>
      </c>
      <c r="P436" t="s">
        <v>3104</v>
      </c>
      <c r="Q436" t="s">
        <v>3678</v>
      </c>
      <c r="R436" t="s">
        <v>46</v>
      </c>
      <c r="S436" t="s">
        <v>188</v>
      </c>
      <c r="T436" t="s">
        <v>189</v>
      </c>
      <c r="U436" s="1">
        <v>46076.568622685183</v>
      </c>
      <c r="V436" t="s">
        <v>31</v>
      </c>
      <c r="W436" t="s">
        <v>33</v>
      </c>
      <c r="X436" t="s">
        <v>3530</v>
      </c>
      <c r="Y436" t="s">
        <v>3441</v>
      </c>
      <c r="Z436" t="s">
        <v>38</v>
      </c>
      <c r="AA436" t="s">
        <v>31</v>
      </c>
      <c r="AB436" t="s">
        <v>899</v>
      </c>
      <c r="AC436" t="s">
        <v>86</v>
      </c>
      <c r="AD436" t="s">
        <v>46</v>
      </c>
      <c r="AE436" t="s">
        <v>188</v>
      </c>
      <c r="AF436" t="s">
        <v>189</v>
      </c>
      <c r="AG436" t="s">
        <v>38</v>
      </c>
      <c r="AH436">
        <v>13261</v>
      </c>
      <c r="AK436">
        <v>6</v>
      </c>
      <c r="AL436" t="s">
        <v>32</v>
      </c>
      <c r="AM436" t="s">
        <v>2750</v>
      </c>
      <c r="AN436" t="s">
        <v>2751</v>
      </c>
    </row>
    <row r="437" spans="1:40">
      <c r="A437" t="s">
        <v>2752</v>
      </c>
      <c r="B437" t="s">
        <v>34</v>
      </c>
      <c r="C437" t="s">
        <v>41</v>
      </c>
      <c r="D437" t="s">
        <v>42</v>
      </c>
      <c r="E437" s="1">
        <v>46065.754386574074</v>
      </c>
      <c r="F437" t="s">
        <v>26</v>
      </c>
      <c r="G437" t="s">
        <v>776</v>
      </c>
      <c r="H437" t="s">
        <v>3665</v>
      </c>
      <c r="I437" t="s">
        <v>2753</v>
      </c>
      <c r="J437" t="s">
        <v>179</v>
      </c>
      <c r="K437" t="s">
        <v>44</v>
      </c>
      <c r="M437" t="s">
        <v>3529</v>
      </c>
      <c r="O437" t="s">
        <v>3099</v>
      </c>
      <c r="P437" t="s">
        <v>3100</v>
      </c>
      <c r="Q437" t="s">
        <v>3678</v>
      </c>
      <c r="R437" t="s">
        <v>491</v>
      </c>
      <c r="S437" t="s">
        <v>188</v>
      </c>
      <c r="T437" t="s">
        <v>797</v>
      </c>
      <c r="U437" s="1">
        <v>46076.473032407404</v>
      </c>
      <c r="V437" t="s">
        <v>31</v>
      </c>
      <c r="W437" t="s">
        <v>33</v>
      </c>
      <c r="X437" t="s">
        <v>3525</v>
      </c>
      <c r="Y437" t="s">
        <v>3442</v>
      </c>
      <c r="Z437" t="s">
        <v>38</v>
      </c>
      <c r="AA437" t="s">
        <v>31</v>
      </c>
      <c r="AB437" t="s">
        <v>899</v>
      </c>
      <c r="AC437" t="s">
        <v>30</v>
      </c>
      <c r="AD437" t="s">
        <v>491</v>
      </c>
      <c r="AE437" t="s">
        <v>188</v>
      </c>
      <c r="AF437" t="s">
        <v>3443</v>
      </c>
      <c r="AG437" t="s">
        <v>38</v>
      </c>
      <c r="AH437">
        <v>15896</v>
      </c>
      <c r="AK437">
        <v>2</v>
      </c>
      <c r="AL437" t="s">
        <v>32</v>
      </c>
      <c r="AM437" t="s">
        <v>50</v>
      </c>
      <c r="AN437" t="s">
        <v>51</v>
      </c>
    </row>
    <row r="438" spans="1:40">
      <c r="A438" t="s">
        <v>2754</v>
      </c>
      <c r="B438" t="s">
        <v>34</v>
      </c>
      <c r="C438" t="s">
        <v>2755</v>
      </c>
      <c r="D438" t="s">
        <v>441</v>
      </c>
      <c r="E438" s="1">
        <v>46065.615023148152</v>
      </c>
      <c r="F438" t="s">
        <v>226</v>
      </c>
      <c r="G438" t="s">
        <v>776</v>
      </c>
      <c r="H438" t="s">
        <v>3665</v>
      </c>
      <c r="I438" t="s">
        <v>252</v>
      </c>
      <c r="J438" t="s">
        <v>494</v>
      </c>
      <c r="K438" t="s">
        <v>134</v>
      </c>
      <c r="M438" t="s">
        <v>3526</v>
      </c>
      <c r="O438" t="s">
        <v>3099</v>
      </c>
      <c r="P438" t="s">
        <v>3100</v>
      </c>
      <c r="Q438" t="s">
        <v>3678</v>
      </c>
      <c r="R438" t="s">
        <v>27</v>
      </c>
      <c r="S438" t="s">
        <v>28</v>
      </c>
      <c r="T438" t="s">
        <v>406</v>
      </c>
      <c r="U438" s="1">
        <v>46077.516527777778</v>
      </c>
      <c r="V438" t="s">
        <v>31</v>
      </c>
      <c r="W438" t="s">
        <v>33</v>
      </c>
      <c r="X438" t="s">
        <v>3536</v>
      </c>
      <c r="Y438" t="e">
        <f>- user confirmed the EDMS issue has been resolved</f>
        <v>#NAME?</v>
      </c>
      <c r="Z438" t="s">
        <v>38</v>
      </c>
      <c r="AA438" t="s">
        <v>31</v>
      </c>
      <c r="AB438" t="s">
        <v>104</v>
      </c>
      <c r="AC438" t="s">
        <v>30</v>
      </c>
      <c r="AD438" t="s">
        <v>46</v>
      </c>
      <c r="AE438" t="s">
        <v>515</v>
      </c>
      <c r="AF438" t="s">
        <v>2177</v>
      </c>
      <c r="AG438" t="s">
        <v>38</v>
      </c>
      <c r="AH438" t="s">
        <v>3754</v>
      </c>
      <c r="AK438">
        <v>7</v>
      </c>
      <c r="AL438" t="s">
        <v>32</v>
      </c>
      <c r="AM438" t="s">
        <v>2756</v>
      </c>
      <c r="AN438" t="s">
        <v>2757</v>
      </c>
    </row>
    <row r="439" spans="1:40">
      <c r="A439" t="s">
        <v>2762</v>
      </c>
      <c r="B439" t="s">
        <v>34</v>
      </c>
      <c r="C439" t="s">
        <v>668</v>
      </c>
      <c r="D439" t="s">
        <v>669</v>
      </c>
      <c r="E439" s="1">
        <v>46065.593009259261</v>
      </c>
      <c r="F439" t="s">
        <v>26</v>
      </c>
      <c r="G439" t="s">
        <v>776</v>
      </c>
      <c r="H439" t="s">
        <v>3665</v>
      </c>
      <c r="I439" t="s">
        <v>95</v>
      </c>
      <c r="J439" t="s">
        <v>494</v>
      </c>
      <c r="K439" t="s">
        <v>134</v>
      </c>
      <c r="M439" t="s">
        <v>3526</v>
      </c>
      <c r="O439" t="s">
        <v>3099</v>
      </c>
      <c r="P439" t="s">
        <v>3100</v>
      </c>
      <c r="Q439" t="s">
        <v>3697</v>
      </c>
      <c r="R439" t="s">
        <v>162</v>
      </c>
      <c r="S439" t="s">
        <v>163</v>
      </c>
      <c r="T439" t="s">
        <v>164</v>
      </c>
      <c r="U439" s="1">
        <v>46077.517604166664</v>
      </c>
      <c r="V439" t="s">
        <v>31</v>
      </c>
      <c r="W439" t="s">
        <v>33</v>
      </c>
      <c r="X439" t="s">
        <v>3536</v>
      </c>
      <c r="Y439" t="e">
        <f>- the laptop has been configured and handed to the user. - CMDB updated.</f>
        <v>#NAME?</v>
      </c>
      <c r="Z439" t="s">
        <v>38</v>
      </c>
      <c r="AA439" t="s">
        <v>31</v>
      </c>
      <c r="AB439" t="s">
        <v>104</v>
      </c>
      <c r="AC439" t="s">
        <v>30</v>
      </c>
      <c r="AD439" t="s">
        <v>46</v>
      </c>
      <c r="AE439" t="s">
        <v>94</v>
      </c>
      <c r="AF439" t="s">
        <v>95</v>
      </c>
      <c r="AG439" t="s">
        <v>38</v>
      </c>
      <c r="AH439">
        <v>6570</v>
      </c>
      <c r="AJ439">
        <v>191626</v>
      </c>
      <c r="AK439">
        <v>12</v>
      </c>
      <c r="AL439" t="s">
        <v>181</v>
      </c>
      <c r="AM439" t="s">
        <v>670</v>
      </c>
      <c r="AN439" t="s">
        <v>671</v>
      </c>
    </row>
    <row r="440" spans="1:40">
      <c r="A440" t="s">
        <v>2763</v>
      </c>
      <c r="B440" t="s">
        <v>34</v>
      </c>
      <c r="C440" t="s">
        <v>311</v>
      </c>
      <c r="D440" t="s">
        <v>2099</v>
      </c>
      <c r="E440" s="1">
        <v>46065.567175925928</v>
      </c>
      <c r="F440" t="s">
        <v>74</v>
      </c>
      <c r="G440" t="s">
        <v>776</v>
      </c>
      <c r="H440" t="s">
        <v>3665</v>
      </c>
      <c r="I440" t="s">
        <v>230</v>
      </c>
      <c r="J440" t="s">
        <v>494</v>
      </c>
      <c r="K440" t="s">
        <v>134</v>
      </c>
      <c r="M440" t="s">
        <v>3526</v>
      </c>
      <c r="O440" t="s">
        <v>3099</v>
      </c>
      <c r="P440" t="s">
        <v>3100</v>
      </c>
      <c r="Q440" t="s">
        <v>3678</v>
      </c>
      <c r="R440" t="s">
        <v>46</v>
      </c>
      <c r="S440" t="s">
        <v>136</v>
      </c>
      <c r="T440" t="s">
        <v>136</v>
      </c>
      <c r="U440" s="1">
        <v>46077.518275462964</v>
      </c>
      <c r="V440" t="s">
        <v>31</v>
      </c>
      <c r="W440" t="s">
        <v>33</v>
      </c>
      <c r="X440" t="s">
        <v>3525</v>
      </c>
      <c r="Y440" t="e">
        <f>- Asset has been returned to the store, CMDB updated.</f>
        <v>#NAME?</v>
      </c>
      <c r="Z440" t="s">
        <v>38</v>
      </c>
      <c r="AA440" t="s">
        <v>31</v>
      </c>
      <c r="AB440" t="s">
        <v>243</v>
      </c>
      <c r="AC440" t="s">
        <v>30</v>
      </c>
      <c r="AD440" t="s">
        <v>46</v>
      </c>
      <c r="AE440" t="s">
        <v>2952</v>
      </c>
      <c r="AF440" t="s">
        <v>3418</v>
      </c>
      <c r="AG440" t="s">
        <v>38</v>
      </c>
      <c r="AH440">
        <v>15842</v>
      </c>
      <c r="AJ440">
        <v>12499</v>
      </c>
      <c r="AK440">
        <v>7</v>
      </c>
      <c r="AL440" t="s">
        <v>32</v>
      </c>
      <c r="AM440" t="s">
        <v>2764</v>
      </c>
      <c r="AN440" t="s">
        <v>2765</v>
      </c>
    </row>
    <row r="441" spans="1:40">
      <c r="A441" t="s">
        <v>2766</v>
      </c>
      <c r="B441" t="s">
        <v>34</v>
      </c>
      <c r="C441" t="s">
        <v>2758</v>
      </c>
      <c r="D441" t="s">
        <v>2759</v>
      </c>
      <c r="E441" s="1">
        <v>46065.555613425924</v>
      </c>
      <c r="F441" t="s">
        <v>62</v>
      </c>
      <c r="G441" t="s">
        <v>776</v>
      </c>
      <c r="H441" t="s">
        <v>3668</v>
      </c>
      <c r="I441" t="s">
        <v>2767</v>
      </c>
      <c r="J441" t="s">
        <v>675</v>
      </c>
      <c r="K441" t="s">
        <v>134</v>
      </c>
      <c r="M441" t="s">
        <v>3526</v>
      </c>
      <c r="O441" t="s">
        <v>3099</v>
      </c>
      <c r="P441" t="s">
        <v>3100</v>
      </c>
      <c r="Q441" t="s">
        <v>3678</v>
      </c>
      <c r="R441" t="s">
        <v>46</v>
      </c>
      <c r="S441" t="s">
        <v>188</v>
      </c>
      <c r="T441" t="s">
        <v>2768</v>
      </c>
      <c r="U441" s="1">
        <v>46076.430277777778</v>
      </c>
      <c r="V441" t="s">
        <v>31</v>
      </c>
      <c r="W441" t="s">
        <v>33</v>
      </c>
      <c r="X441" t="s">
        <v>3527</v>
      </c>
      <c r="Y441" t="s">
        <v>3444</v>
      </c>
      <c r="Z441" t="s">
        <v>38</v>
      </c>
      <c r="AA441" t="s">
        <v>31</v>
      </c>
      <c r="AB441" t="s">
        <v>2760</v>
      </c>
      <c r="AC441" t="s">
        <v>30</v>
      </c>
      <c r="AD441" t="s">
        <v>46</v>
      </c>
      <c r="AE441" t="s">
        <v>188</v>
      </c>
      <c r="AF441" t="s">
        <v>3445</v>
      </c>
      <c r="AG441" t="s">
        <v>38</v>
      </c>
      <c r="AH441" t="s">
        <v>3755</v>
      </c>
      <c r="AK441">
        <v>0</v>
      </c>
      <c r="AL441" t="s">
        <v>32</v>
      </c>
      <c r="AM441" t="s">
        <v>2760</v>
      </c>
      <c r="AN441" t="s">
        <v>2761</v>
      </c>
    </row>
    <row r="442" spans="1:40">
      <c r="A442" t="s">
        <v>2769</v>
      </c>
      <c r="B442" t="s">
        <v>34</v>
      </c>
      <c r="C442" t="s">
        <v>175</v>
      </c>
      <c r="D442" t="s">
        <v>170</v>
      </c>
      <c r="E442" s="1">
        <v>46065.535462962966</v>
      </c>
      <c r="F442" t="s">
        <v>283</v>
      </c>
      <c r="G442" t="s">
        <v>776</v>
      </c>
      <c r="H442" t="s">
        <v>3670</v>
      </c>
      <c r="I442" t="s">
        <v>351</v>
      </c>
      <c r="J442" t="s">
        <v>438</v>
      </c>
      <c r="K442" t="s">
        <v>44</v>
      </c>
      <c r="M442" t="s">
        <v>3528</v>
      </c>
      <c r="O442" t="s">
        <v>3099</v>
      </c>
      <c r="P442" t="s">
        <v>3100</v>
      </c>
      <c r="Q442" t="s">
        <v>3678</v>
      </c>
      <c r="R442" t="s">
        <v>162</v>
      </c>
      <c r="S442" t="s">
        <v>163</v>
      </c>
      <c r="T442" t="s">
        <v>164</v>
      </c>
      <c r="U442" s="1">
        <v>46073.384328703702</v>
      </c>
      <c r="V442" t="s">
        <v>31</v>
      </c>
      <c r="W442" t="s">
        <v>33</v>
      </c>
      <c r="X442" t="s">
        <v>3536</v>
      </c>
      <c r="Y442" t="s">
        <v>3433</v>
      </c>
      <c r="Z442" t="s">
        <v>1775</v>
      </c>
      <c r="AA442" t="s">
        <v>31</v>
      </c>
      <c r="AB442" t="s">
        <v>104</v>
      </c>
      <c r="AC442" t="s">
        <v>30</v>
      </c>
      <c r="AD442" t="s">
        <v>46</v>
      </c>
      <c r="AE442" t="s">
        <v>110</v>
      </c>
      <c r="AF442" t="s">
        <v>3287</v>
      </c>
      <c r="AG442" t="s">
        <v>1775</v>
      </c>
      <c r="AH442">
        <v>14569</v>
      </c>
      <c r="AK442">
        <v>2</v>
      </c>
      <c r="AL442" t="s">
        <v>32</v>
      </c>
      <c r="AM442" t="s">
        <v>342</v>
      </c>
      <c r="AN442" t="s">
        <v>343</v>
      </c>
    </row>
    <row r="443" spans="1:40">
      <c r="A443" t="s">
        <v>2770</v>
      </c>
      <c r="B443" t="s">
        <v>34</v>
      </c>
      <c r="C443" t="s">
        <v>311</v>
      </c>
      <c r="D443" t="s">
        <v>529</v>
      </c>
      <c r="E443" s="1">
        <v>46065.489571759259</v>
      </c>
      <c r="F443" t="s">
        <v>470</v>
      </c>
      <c r="G443" t="s">
        <v>776</v>
      </c>
      <c r="H443" t="s">
        <v>3671</v>
      </c>
      <c r="I443" t="s">
        <v>252</v>
      </c>
      <c r="J443" t="s">
        <v>477</v>
      </c>
      <c r="K443" t="s">
        <v>134</v>
      </c>
      <c r="M443" t="s">
        <v>3529</v>
      </c>
      <c r="O443" t="s">
        <v>3099</v>
      </c>
      <c r="P443" t="s">
        <v>3100</v>
      </c>
      <c r="Q443" t="s">
        <v>3678</v>
      </c>
      <c r="R443" t="s">
        <v>27</v>
      </c>
      <c r="S443" t="s">
        <v>28</v>
      </c>
      <c r="T443" t="s">
        <v>839</v>
      </c>
      <c r="U443" s="1">
        <v>46076.394652777781</v>
      </c>
      <c r="V443" t="s">
        <v>31</v>
      </c>
      <c r="W443" t="s">
        <v>33</v>
      </c>
      <c r="X443" t="s">
        <v>3536</v>
      </c>
      <c r="Y443" t="s">
        <v>3446</v>
      </c>
      <c r="Z443" t="s">
        <v>38</v>
      </c>
      <c r="AA443" t="s">
        <v>31</v>
      </c>
      <c r="AB443" t="s">
        <v>104</v>
      </c>
      <c r="AC443" t="s">
        <v>30</v>
      </c>
      <c r="AD443" t="s">
        <v>46</v>
      </c>
      <c r="AE443" t="s">
        <v>515</v>
      </c>
      <c r="AF443" t="s">
        <v>618</v>
      </c>
      <c r="AG443" t="s">
        <v>38</v>
      </c>
      <c r="AH443">
        <v>14750</v>
      </c>
      <c r="AK443">
        <v>12</v>
      </c>
      <c r="AL443" t="s">
        <v>32</v>
      </c>
      <c r="AM443" t="s">
        <v>530</v>
      </c>
      <c r="AN443" t="s">
        <v>531</v>
      </c>
    </row>
    <row r="444" spans="1:40">
      <c r="A444" t="s">
        <v>2771</v>
      </c>
      <c r="B444" t="s">
        <v>34</v>
      </c>
      <c r="C444" t="s">
        <v>1770</v>
      </c>
      <c r="D444" t="s">
        <v>1771</v>
      </c>
      <c r="E444" s="1">
        <v>46065.449907407405</v>
      </c>
      <c r="F444" t="s">
        <v>153</v>
      </c>
      <c r="G444" t="s">
        <v>776</v>
      </c>
      <c r="H444" t="s">
        <v>3669</v>
      </c>
      <c r="I444" t="s">
        <v>351</v>
      </c>
      <c r="J444" t="s">
        <v>438</v>
      </c>
      <c r="K444" t="s">
        <v>44</v>
      </c>
      <c r="M444" t="s">
        <v>3526</v>
      </c>
      <c r="O444" t="s">
        <v>3099</v>
      </c>
      <c r="P444" t="s">
        <v>3100</v>
      </c>
      <c r="R444" t="s">
        <v>162</v>
      </c>
      <c r="S444" t="s">
        <v>163</v>
      </c>
      <c r="T444" t="s">
        <v>164</v>
      </c>
      <c r="U444" s="1">
        <v>46077.363518518519</v>
      </c>
      <c r="V444" t="s">
        <v>31</v>
      </c>
      <c r="W444" t="s">
        <v>33</v>
      </c>
      <c r="X444" t="s">
        <v>3536</v>
      </c>
      <c r="Y444" t="s">
        <v>3433</v>
      </c>
      <c r="Z444" t="s">
        <v>38</v>
      </c>
      <c r="AA444" t="s">
        <v>31</v>
      </c>
      <c r="AB444" t="s">
        <v>104</v>
      </c>
      <c r="AC444" t="s">
        <v>30</v>
      </c>
      <c r="AD444" t="s">
        <v>46</v>
      </c>
      <c r="AE444" t="s">
        <v>110</v>
      </c>
      <c r="AF444" t="s">
        <v>3287</v>
      </c>
      <c r="AG444" t="s">
        <v>38</v>
      </c>
      <c r="AH444">
        <v>14868</v>
      </c>
      <c r="AK444">
        <v>4</v>
      </c>
      <c r="AL444" t="s">
        <v>32</v>
      </c>
      <c r="AM444" t="s">
        <v>1772</v>
      </c>
      <c r="AN444" t="s">
        <v>1773</v>
      </c>
    </row>
    <row r="445" spans="1:40">
      <c r="A445" t="s">
        <v>2772</v>
      </c>
      <c r="B445" t="s">
        <v>34</v>
      </c>
      <c r="C445" t="s">
        <v>2773</v>
      </c>
      <c r="D445" t="s">
        <v>2774</v>
      </c>
      <c r="E445" s="1">
        <v>46065.403645833336</v>
      </c>
      <c r="F445" t="s">
        <v>67</v>
      </c>
      <c r="G445" t="s">
        <v>776</v>
      </c>
      <c r="H445" t="s">
        <v>3671</v>
      </c>
      <c r="I445" t="s">
        <v>252</v>
      </c>
      <c r="J445" t="s">
        <v>477</v>
      </c>
      <c r="K445" t="s">
        <v>134</v>
      </c>
      <c r="M445" t="s">
        <v>3529</v>
      </c>
      <c r="O445" t="s">
        <v>3099</v>
      </c>
      <c r="P445" t="s">
        <v>3100</v>
      </c>
      <c r="Q445" t="s">
        <v>3756</v>
      </c>
      <c r="R445" t="s">
        <v>27</v>
      </c>
      <c r="S445" t="s">
        <v>28</v>
      </c>
      <c r="T445" t="s">
        <v>839</v>
      </c>
      <c r="U445" s="1">
        <v>46077.434444444443</v>
      </c>
      <c r="V445" t="s">
        <v>31</v>
      </c>
      <c r="W445" t="s">
        <v>33</v>
      </c>
      <c r="X445" t="s">
        <v>3536</v>
      </c>
      <c r="Y445" t="s">
        <v>3447</v>
      </c>
      <c r="Z445" t="s">
        <v>38</v>
      </c>
      <c r="AA445" t="s">
        <v>31</v>
      </c>
      <c r="AB445" t="s">
        <v>104</v>
      </c>
      <c r="AC445" t="s">
        <v>30</v>
      </c>
      <c r="AD445" t="s">
        <v>46</v>
      </c>
      <c r="AE445" t="s">
        <v>515</v>
      </c>
      <c r="AF445" t="s">
        <v>2177</v>
      </c>
      <c r="AG445" t="s">
        <v>38</v>
      </c>
      <c r="AH445">
        <v>4224</v>
      </c>
      <c r="AK445">
        <v>10</v>
      </c>
      <c r="AL445" t="s">
        <v>32</v>
      </c>
      <c r="AM445" t="s">
        <v>2775</v>
      </c>
      <c r="AN445" t="s">
        <v>2776</v>
      </c>
    </row>
    <row r="446" spans="1:40">
      <c r="A446" t="s">
        <v>2777</v>
      </c>
      <c r="B446" t="s">
        <v>34</v>
      </c>
      <c r="C446" t="s">
        <v>2778</v>
      </c>
      <c r="D446" t="s">
        <v>2779</v>
      </c>
      <c r="E446" s="1">
        <v>46065.369074074071</v>
      </c>
      <c r="F446" t="s">
        <v>238</v>
      </c>
      <c r="G446" t="s">
        <v>776</v>
      </c>
      <c r="H446" t="s">
        <v>3665</v>
      </c>
      <c r="I446" t="s">
        <v>252</v>
      </c>
      <c r="J446" t="s">
        <v>817</v>
      </c>
      <c r="K446" t="s">
        <v>134</v>
      </c>
      <c r="M446" t="s">
        <v>3526</v>
      </c>
      <c r="O446" t="s">
        <v>3099</v>
      </c>
      <c r="P446" t="s">
        <v>3100</v>
      </c>
      <c r="Q446" t="s">
        <v>3678</v>
      </c>
      <c r="R446" t="s">
        <v>27</v>
      </c>
      <c r="S446" t="s">
        <v>28</v>
      </c>
      <c r="T446" t="s">
        <v>36</v>
      </c>
      <c r="U446" s="1">
        <v>46076.374305555553</v>
      </c>
      <c r="V446" t="s">
        <v>31</v>
      </c>
      <c r="W446" t="s">
        <v>33</v>
      </c>
      <c r="X446" t="s">
        <v>3536</v>
      </c>
      <c r="Y446" t="s">
        <v>3448</v>
      </c>
      <c r="Z446" t="s">
        <v>38</v>
      </c>
      <c r="AA446" t="s">
        <v>31</v>
      </c>
      <c r="AB446" t="s">
        <v>104</v>
      </c>
      <c r="AC446" t="s">
        <v>30</v>
      </c>
      <c r="AD446" t="s">
        <v>46</v>
      </c>
      <c r="AE446" t="s">
        <v>515</v>
      </c>
      <c r="AF446" t="s">
        <v>618</v>
      </c>
      <c r="AG446" t="s">
        <v>38</v>
      </c>
      <c r="AH446" t="s">
        <v>3757</v>
      </c>
      <c r="AK446">
        <v>16</v>
      </c>
      <c r="AL446" t="s">
        <v>32</v>
      </c>
      <c r="AM446" t="s">
        <v>2780</v>
      </c>
      <c r="AN446" t="s">
        <v>2781</v>
      </c>
    </row>
    <row r="447" spans="1:40">
      <c r="A447" t="s">
        <v>2782</v>
      </c>
      <c r="B447" t="s">
        <v>34</v>
      </c>
      <c r="C447" t="s">
        <v>825</v>
      </c>
      <c r="D447" t="s">
        <v>172</v>
      </c>
      <c r="E447" s="1">
        <v>46065.351736111108</v>
      </c>
      <c r="F447" t="s">
        <v>62</v>
      </c>
      <c r="G447" t="s">
        <v>776</v>
      </c>
      <c r="H447" t="s">
        <v>3668</v>
      </c>
      <c r="I447" t="s">
        <v>2783</v>
      </c>
      <c r="J447" t="s">
        <v>642</v>
      </c>
      <c r="K447" t="s">
        <v>134</v>
      </c>
      <c r="M447" t="s">
        <v>3526</v>
      </c>
      <c r="O447" t="s">
        <v>3099</v>
      </c>
      <c r="P447" t="s">
        <v>3100</v>
      </c>
      <c r="Q447" t="s">
        <v>3695</v>
      </c>
      <c r="R447" t="s">
        <v>46</v>
      </c>
      <c r="S447" t="s">
        <v>136</v>
      </c>
      <c r="T447" t="s">
        <v>136</v>
      </c>
      <c r="U447" s="1">
        <v>46077.399421296293</v>
      </c>
      <c r="V447" t="s">
        <v>31</v>
      </c>
      <c r="W447" t="s">
        <v>33</v>
      </c>
      <c r="X447" t="s">
        <v>3527</v>
      </c>
      <c r="Y447" t="e">
        <f>- old Asset returned to the store.  - CMDB updated.</f>
        <v>#NAME?</v>
      </c>
      <c r="Z447" t="s">
        <v>38</v>
      </c>
      <c r="AA447" t="s">
        <v>31</v>
      </c>
      <c r="AB447" t="s">
        <v>2784</v>
      </c>
      <c r="AC447" t="s">
        <v>30</v>
      </c>
      <c r="AD447" t="s">
        <v>46</v>
      </c>
      <c r="AE447" t="s">
        <v>3339</v>
      </c>
      <c r="AF447" t="s">
        <v>3339</v>
      </c>
      <c r="AG447" t="s">
        <v>38</v>
      </c>
      <c r="AH447" t="s">
        <v>3758</v>
      </c>
      <c r="AJ447">
        <v>12481</v>
      </c>
      <c r="AK447">
        <v>7</v>
      </c>
      <c r="AL447" t="s">
        <v>32</v>
      </c>
      <c r="AM447" t="s">
        <v>2784</v>
      </c>
      <c r="AN447" t="s">
        <v>2785</v>
      </c>
    </row>
    <row r="448" spans="1:40">
      <c r="A448" t="s">
        <v>2786</v>
      </c>
      <c r="B448" t="s">
        <v>34</v>
      </c>
      <c r="C448" t="s">
        <v>825</v>
      </c>
      <c r="D448" t="s">
        <v>172</v>
      </c>
      <c r="E448" s="1">
        <v>46065.346516203703</v>
      </c>
      <c r="F448" t="s">
        <v>62</v>
      </c>
      <c r="G448" t="s">
        <v>776</v>
      </c>
      <c r="H448" t="s">
        <v>3668</v>
      </c>
      <c r="I448" t="s">
        <v>2787</v>
      </c>
      <c r="J448" t="s">
        <v>320</v>
      </c>
      <c r="K448" t="s">
        <v>134</v>
      </c>
      <c r="M448" t="s">
        <v>3526</v>
      </c>
      <c r="O448" t="s">
        <v>3099</v>
      </c>
      <c r="P448" t="s">
        <v>3100</v>
      </c>
      <c r="Q448" t="s">
        <v>3695</v>
      </c>
      <c r="R448" t="s">
        <v>46</v>
      </c>
      <c r="S448" t="s">
        <v>136</v>
      </c>
      <c r="T448" t="s">
        <v>136</v>
      </c>
      <c r="U448" s="1">
        <v>46077.400520833333</v>
      </c>
      <c r="V448" t="s">
        <v>31</v>
      </c>
      <c r="W448" t="s">
        <v>33</v>
      </c>
      <c r="X448" t="s">
        <v>3527</v>
      </c>
      <c r="Y448" t="s">
        <v>3449</v>
      </c>
      <c r="Z448" t="s">
        <v>38</v>
      </c>
      <c r="AA448" t="s">
        <v>31</v>
      </c>
      <c r="AB448" t="s">
        <v>2784</v>
      </c>
      <c r="AC448" t="s">
        <v>30</v>
      </c>
      <c r="AD448" t="s">
        <v>46</v>
      </c>
      <c r="AE448" t="s">
        <v>3339</v>
      </c>
      <c r="AF448" t="s">
        <v>3339</v>
      </c>
      <c r="AG448" t="s">
        <v>38</v>
      </c>
      <c r="AH448" t="s">
        <v>3758</v>
      </c>
      <c r="AJ448">
        <v>12487</v>
      </c>
      <c r="AK448">
        <v>6</v>
      </c>
      <c r="AL448" t="s">
        <v>32</v>
      </c>
      <c r="AM448" t="s">
        <v>2784</v>
      </c>
      <c r="AN448" t="s">
        <v>2785</v>
      </c>
    </row>
    <row r="449" spans="1:40">
      <c r="A449" t="s">
        <v>2788</v>
      </c>
      <c r="B449" t="s">
        <v>24</v>
      </c>
      <c r="C449" t="s">
        <v>509</v>
      </c>
      <c r="D449" t="s">
        <v>577</v>
      </c>
      <c r="E449" s="1">
        <v>46065.344942129632</v>
      </c>
      <c r="F449" t="s">
        <v>173</v>
      </c>
      <c r="G449" t="s">
        <v>776</v>
      </c>
      <c r="H449" t="s">
        <v>3666</v>
      </c>
      <c r="I449" t="s">
        <v>2789</v>
      </c>
      <c r="J449" t="s">
        <v>1301</v>
      </c>
      <c r="K449" t="s">
        <v>134</v>
      </c>
      <c r="M449" t="s">
        <v>3526</v>
      </c>
      <c r="O449" t="s">
        <v>3103</v>
      </c>
      <c r="P449" t="s">
        <v>3104</v>
      </c>
      <c r="Q449" t="s">
        <v>3678</v>
      </c>
      <c r="R449" t="s">
        <v>46</v>
      </c>
      <c r="S449" t="s">
        <v>197</v>
      </c>
      <c r="T449" t="s">
        <v>875</v>
      </c>
      <c r="U449" s="1">
        <v>46078.498240740744</v>
      </c>
      <c r="V449" t="s">
        <v>31</v>
      </c>
      <c r="W449" t="s">
        <v>33</v>
      </c>
      <c r="X449" t="s">
        <v>3530</v>
      </c>
      <c r="Y449" t="s">
        <v>3450</v>
      </c>
      <c r="Z449" t="s">
        <v>38</v>
      </c>
      <c r="AA449" t="s">
        <v>31</v>
      </c>
      <c r="AB449" t="s">
        <v>190</v>
      </c>
      <c r="AC449" t="s">
        <v>86</v>
      </c>
      <c r="AD449" t="s">
        <v>46</v>
      </c>
      <c r="AE449" t="s">
        <v>1062</v>
      </c>
      <c r="AF449" t="s">
        <v>2737</v>
      </c>
      <c r="AG449" t="s">
        <v>38</v>
      </c>
      <c r="AH449">
        <v>14038</v>
      </c>
      <c r="AJ449">
        <v>191757</v>
      </c>
      <c r="AK449">
        <v>13</v>
      </c>
      <c r="AL449" t="s">
        <v>32</v>
      </c>
      <c r="AM449" t="s">
        <v>2790</v>
      </c>
      <c r="AN449" t="s">
        <v>2791</v>
      </c>
    </row>
    <row r="450" spans="1:40">
      <c r="A450" t="s">
        <v>2792</v>
      </c>
      <c r="B450" t="s">
        <v>34</v>
      </c>
      <c r="C450" t="s">
        <v>1124</v>
      </c>
      <c r="D450" t="s">
        <v>1125</v>
      </c>
      <c r="E450" s="1">
        <v>46065.332951388889</v>
      </c>
      <c r="F450" t="s">
        <v>62</v>
      </c>
      <c r="G450" t="s">
        <v>776</v>
      </c>
      <c r="H450" t="s">
        <v>3668</v>
      </c>
      <c r="I450" t="s">
        <v>2793</v>
      </c>
      <c r="J450" t="s">
        <v>1501</v>
      </c>
      <c r="K450" t="s">
        <v>134</v>
      </c>
      <c r="M450" t="s">
        <v>3526</v>
      </c>
      <c r="O450" t="s">
        <v>3099</v>
      </c>
      <c r="P450" t="s">
        <v>3100</v>
      </c>
      <c r="Q450" t="s">
        <v>3697</v>
      </c>
      <c r="R450" t="s">
        <v>491</v>
      </c>
      <c r="S450" t="s">
        <v>1126</v>
      </c>
      <c r="T450" t="s">
        <v>1127</v>
      </c>
      <c r="U450" s="1">
        <v>46076.542129629626</v>
      </c>
      <c r="V450" t="s">
        <v>31</v>
      </c>
      <c r="W450" t="s">
        <v>33</v>
      </c>
      <c r="X450" t="s">
        <v>3525</v>
      </c>
      <c r="Y450" t="s">
        <v>3451</v>
      </c>
      <c r="Z450" t="s">
        <v>38</v>
      </c>
      <c r="AA450" t="s">
        <v>31</v>
      </c>
      <c r="AB450" t="s">
        <v>1128</v>
      </c>
      <c r="AC450" t="s">
        <v>30</v>
      </c>
      <c r="AD450" t="s">
        <v>491</v>
      </c>
      <c r="AE450" t="s">
        <v>1126</v>
      </c>
      <c r="AF450" t="s">
        <v>1127</v>
      </c>
      <c r="AG450" t="s">
        <v>38</v>
      </c>
      <c r="AJ450">
        <v>191600</v>
      </c>
      <c r="AK450">
        <v>6</v>
      </c>
      <c r="AL450" t="s">
        <v>32</v>
      </c>
      <c r="AM450" t="s">
        <v>1128</v>
      </c>
      <c r="AN450" t="s">
        <v>1129</v>
      </c>
    </row>
    <row r="451" spans="1:40">
      <c r="A451" t="s">
        <v>2794</v>
      </c>
      <c r="B451" t="s">
        <v>24</v>
      </c>
      <c r="C451" t="s">
        <v>115</v>
      </c>
      <c r="D451" t="s">
        <v>115</v>
      </c>
      <c r="E451" s="1">
        <v>46064.863645833335</v>
      </c>
      <c r="F451" t="s">
        <v>96</v>
      </c>
      <c r="G451" t="s">
        <v>776</v>
      </c>
      <c r="H451" t="s">
        <v>96</v>
      </c>
      <c r="I451" t="s">
        <v>2795</v>
      </c>
      <c r="J451" t="s">
        <v>411</v>
      </c>
      <c r="K451" t="s">
        <v>44</v>
      </c>
      <c r="M451" t="s">
        <v>3528</v>
      </c>
      <c r="O451" t="s">
        <v>3103</v>
      </c>
      <c r="P451" t="s">
        <v>3104</v>
      </c>
      <c r="Q451" t="s">
        <v>3688</v>
      </c>
      <c r="R451" t="s">
        <v>27</v>
      </c>
      <c r="S451" t="s">
        <v>28</v>
      </c>
      <c r="T451" t="s">
        <v>986</v>
      </c>
      <c r="U451" s="1">
        <v>46072.384016203701</v>
      </c>
      <c r="V451" t="s">
        <v>31</v>
      </c>
      <c r="W451" t="s">
        <v>33</v>
      </c>
      <c r="X451" t="s">
        <v>3530</v>
      </c>
      <c r="Y451" t="s">
        <v>3452</v>
      </c>
      <c r="Z451" t="s">
        <v>1775</v>
      </c>
      <c r="AA451" t="s">
        <v>31</v>
      </c>
      <c r="AB451" t="s">
        <v>899</v>
      </c>
      <c r="AC451" t="s">
        <v>86</v>
      </c>
      <c r="AD451" t="s">
        <v>46</v>
      </c>
      <c r="AE451" t="s">
        <v>110</v>
      </c>
      <c r="AF451" t="s">
        <v>416</v>
      </c>
      <c r="AG451" t="s">
        <v>1775</v>
      </c>
      <c r="AH451">
        <v>871</v>
      </c>
      <c r="AK451">
        <v>2</v>
      </c>
      <c r="AL451" t="s">
        <v>32</v>
      </c>
      <c r="AM451" t="s">
        <v>1180</v>
      </c>
      <c r="AN451" t="s">
        <v>1181</v>
      </c>
    </row>
    <row r="452" spans="1:40">
      <c r="A452" t="s">
        <v>2796</v>
      </c>
      <c r="B452" t="s">
        <v>34</v>
      </c>
      <c r="C452" t="s">
        <v>1124</v>
      </c>
      <c r="D452" t="s">
        <v>1125</v>
      </c>
      <c r="E452" s="1">
        <v>46064.667905092596</v>
      </c>
      <c r="F452" t="s">
        <v>62</v>
      </c>
      <c r="G452" t="s">
        <v>776</v>
      </c>
      <c r="H452" t="s">
        <v>3668</v>
      </c>
      <c r="I452" t="s">
        <v>2797</v>
      </c>
      <c r="J452" t="s">
        <v>477</v>
      </c>
      <c r="K452" t="s">
        <v>134</v>
      </c>
      <c r="M452" t="s">
        <v>3528</v>
      </c>
      <c r="O452" t="s">
        <v>3099</v>
      </c>
      <c r="P452" t="s">
        <v>3100</v>
      </c>
      <c r="Q452" t="s">
        <v>3697</v>
      </c>
      <c r="R452" t="s">
        <v>491</v>
      </c>
      <c r="S452" t="s">
        <v>1126</v>
      </c>
      <c r="T452" t="s">
        <v>1127</v>
      </c>
      <c r="U452" s="1">
        <v>46072.410046296296</v>
      </c>
      <c r="V452" t="s">
        <v>31</v>
      </c>
      <c r="W452" t="s">
        <v>33</v>
      </c>
      <c r="X452" t="s">
        <v>3525</v>
      </c>
      <c r="Y452" t="s">
        <v>3453</v>
      </c>
      <c r="Z452" t="s">
        <v>1775</v>
      </c>
      <c r="AA452" t="s">
        <v>31</v>
      </c>
      <c r="AB452" t="s">
        <v>1128</v>
      </c>
      <c r="AC452" t="s">
        <v>30</v>
      </c>
      <c r="AD452" t="s">
        <v>491</v>
      </c>
      <c r="AE452" t="s">
        <v>1126</v>
      </c>
      <c r="AF452" t="s">
        <v>3454</v>
      </c>
      <c r="AG452" t="s">
        <v>1775</v>
      </c>
      <c r="AJ452">
        <v>191596</v>
      </c>
      <c r="AK452">
        <v>5</v>
      </c>
      <c r="AL452" t="s">
        <v>32</v>
      </c>
      <c r="AM452" t="s">
        <v>1128</v>
      </c>
      <c r="AN452" t="s">
        <v>1129</v>
      </c>
    </row>
    <row r="453" spans="1:40">
      <c r="A453" t="s">
        <v>2798</v>
      </c>
      <c r="B453" t="s">
        <v>34</v>
      </c>
      <c r="C453" t="s">
        <v>1124</v>
      </c>
      <c r="D453" t="s">
        <v>1125</v>
      </c>
      <c r="E453" s="1">
        <v>46064.666898148149</v>
      </c>
      <c r="F453" t="s">
        <v>62</v>
      </c>
      <c r="G453" t="s">
        <v>776</v>
      </c>
      <c r="H453" t="s">
        <v>3668</v>
      </c>
      <c r="I453" t="s">
        <v>2799</v>
      </c>
      <c r="J453" t="s">
        <v>1501</v>
      </c>
      <c r="K453" t="s">
        <v>134</v>
      </c>
      <c r="M453" t="s">
        <v>3526</v>
      </c>
      <c r="O453" t="s">
        <v>3099</v>
      </c>
      <c r="P453" t="s">
        <v>3100</v>
      </c>
      <c r="Q453" t="s">
        <v>3697</v>
      </c>
      <c r="R453" t="s">
        <v>491</v>
      </c>
      <c r="S453" t="s">
        <v>1126</v>
      </c>
      <c r="T453" t="s">
        <v>1127</v>
      </c>
      <c r="U453" s="1">
        <v>46076.526643518519</v>
      </c>
      <c r="V453" t="s">
        <v>31</v>
      </c>
      <c r="W453" t="s">
        <v>33</v>
      </c>
      <c r="X453" t="s">
        <v>3525</v>
      </c>
      <c r="Y453" t="s">
        <v>3455</v>
      </c>
      <c r="Z453" t="s">
        <v>38</v>
      </c>
      <c r="AA453" t="s">
        <v>31</v>
      </c>
      <c r="AB453" t="s">
        <v>1128</v>
      </c>
      <c r="AC453" t="s">
        <v>30</v>
      </c>
      <c r="AD453" t="s">
        <v>491</v>
      </c>
      <c r="AE453" t="s">
        <v>1126</v>
      </c>
      <c r="AF453" t="s">
        <v>1127</v>
      </c>
      <c r="AG453" t="s">
        <v>38</v>
      </c>
      <c r="AJ453">
        <v>191604</v>
      </c>
      <c r="AK453">
        <v>5</v>
      </c>
      <c r="AL453" t="s">
        <v>32</v>
      </c>
      <c r="AM453" t="s">
        <v>1128</v>
      </c>
      <c r="AN453" t="s">
        <v>1129</v>
      </c>
    </row>
    <row r="454" spans="1:40">
      <c r="A454" t="s">
        <v>2800</v>
      </c>
      <c r="B454" t="s">
        <v>34</v>
      </c>
      <c r="C454" t="s">
        <v>1124</v>
      </c>
      <c r="D454" t="s">
        <v>1125</v>
      </c>
      <c r="E454" s="1">
        <v>46064.666145833333</v>
      </c>
      <c r="F454" t="s">
        <v>62</v>
      </c>
      <c r="G454" t="s">
        <v>776</v>
      </c>
      <c r="H454" t="s">
        <v>3668</v>
      </c>
      <c r="I454" t="s">
        <v>2801</v>
      </c>
      <c r="J454" t="s">
        <v>1501</v>
      </c>
      <c r="K454" t="s">
        <v>134</v>
      </c>
      <c r="M454" t="s">
        <v>3526</v>
      </c>
      <c r="O454" t="s">
        <v>3099</v>
      </c>
      <c r="P454" t="s">
        <v>3100</v>
      </c>
      <c r="Q454" t="s">
        <v>3697</v>
      </c>
      <c r="R454" t="s">
        <v>491</v>
      </c>
      <c r="S454" t="s">
        <v>1126</v>
      </c>
      <c r="T454" t="s">
        <v>1127</v>
      </c>
      <c r="U454" s="1">
        <v>46076.54351851852</v>
      </c>
      <c r="V454" t="s">
        <v>31</v>
      </c>
      <c r="W454" t="s">
        <v>33</v>
      </c>
      <c r="X454" t="s">
        <v>3525</v>
      </c>
      <c r="Y454" t="s">
        <v>3456</v>
      </c>
      <c r="Z454" t="s">
        <v>38</v>
      </c>
      <c r="AA454" t="s">
        <v>31</v>
      </c>
      <c r="AB454" t="s">
        <v>1128</v>
      </c>
      <c r="AC454" t="s">
        <v>30</v>
      </c>
      <c r="AD454" t="s">
        <v>491</v>
      </c>
      <c r="AE454" t="s">
        <v>1126</v>
      </c>
      <c r="AF454" t="s">
        <v>1127</v>
      </c>
      <c r="AG454" t="s">
        <v>38</v>
      </c>
      <c r="AJ454">
        <v>191603</v>
      </c>
      <c r="AK454">
        <v>5</v>
      </c>
      <c r="AL454" t="s">
        <v>32</v>
      </c>
      <c r="AM454" t="s">
        <v>1128</v>
      </c>
      <c r="AN454" t="s">
        <v>1129</v>
      </c>
    </row>
    <row r="455" spans="1:40">
      <c r="A455" t="s">
        <v>2802</v>
      </c>
      <c r="B455" t="s">
        <v>34</v>
      </c>
      <c r="C455" t="s">
        <v>79</v>
      </c>
      <c r="D455" t="s">
        <v>2803</v>
      </c>
      <c r="E455" s="1">
        <v>46064.637569444443</v>
      </c>
      <c r="F455" t="s">
        <v>804</v>
      </c>
      <c r="G455" t="s">
        <v>776</v>
      </c>
      <c r="H455" t="s">
        <v>3669</v>
      </c>
      <c r="I455" t="s">
        <v>252</v>
      </c>
      <c r="J455" t="s">
        <v>642</v>
      </c>
      <c r="K455" t="s">
        <v>134</v>
      </c>
      <c r="M455" t="s">
        <v>3526</v>
      </c>
      <c r="O455" t="s">
        <v>3099</v>
      </c>
      <c r="P455" t="s">
        <v>3100</v>
      </c>
      <c r="Q455" t="s">
        <v>3700</v>
      </c>
      <c r="R455" t="s">
        <v>46</v>
      </c>
      <c r="S455" t="s">
        <v>515</v>
      </c>
      <c r="T455" t="s">
        <v>2804</v>
      </c>
      <c r="U455" s="1">
        <v>46076.586377314816</v>
      </c>
      <c r="V455" t="s">
        <v>31</v>
      </c>
      <c r="W455" t="s">
        <v>33</v>
      </c>
      <c r="X455" t="s">
        <v>3536</v>
      </c>
      <c r="Y455" t="e">
        <f>-  Microsoft Office Visio has been installed and activated  - CMDB Updated</f>
        <v>#NAME?</v>
      </c>
      <c r="Z455" t="s">
        <v>38</v>
      </c>
      <c r="AA455" t="s">
        <v>31</v>
      </c>
      <c r="AB455" t="s">
        <v>104</v>
      </c>
      <c r="AC455" t="s">
        <v>30</v>
      </c>
      <c r="AD455" t="s">
        <v>46</v>
      </c>
      <c r="AE455" t="s">
        <v>515</v>
      </c>
      <c r="AF455" t="s">
        <v>3457</v>
      </c>
      <c r="AG455" t="s">
        <v>38</v>
      </c>
      <c r="AH455">
        <v>5398</v>
      </c>
      <c r="AK455">
        <v>14</v>
      </c>
      <c r="AL455" t="s">
        <v>32</v>
      </c>
      <c r="AM455" t="s">
        <v>2805</v>
      </c>
      <c r="AN455" t="s">
        <v>2806</v>
      </c>
    </row>
    <row r="456" spans="1:40">
      <c r="A456" t="s">
        <v>2807</v>
      </c>
      <c r="B456" t="s">
        <v>34</v>
      </c>
      <c r="C456" t="s">
        <v>311</v>
      </c>
      <c r="D456" t="s">
        <v>1028</v>
      </c>
      <c r="E456" s="1">
        <v>46064.584537037037</v>
      </c>
      <c r="F456" t="s">
        <v>108</v>
      </c>
      <c r="G456" t="s">
        <v>776</v>
      </c>
      <c r="H456" t="s">
        <v>3666</v>
      </c>
      <c r="I456" t="s">
        <v>2808</v>
      </c>
      <c r="J456" t="s">
        <v>320</v>
      </c>
      <c r="K456" t="s">
        <v>134</v>
      </c>
      <c r="M456" t="s">
        <v>3526</v>
      </c>
      <c r="O456" t="s">
        <v>3099</v>
      </c>
      <c r="P456" t="s">
        <v>3100</v>
      </c>
      <c r="Q456" t="s">
        <v>3678</v>
      </c>
      <c r="R456" t="s">
        <v>46</v>
      </c>
      <c r="S456" t="s">
        <v>94</v>
      </c>
      <c r="T456" t="s">
        <v>95</v>
      </c>
      <c r="U456" s="1">
        <v>46076.350486111114</v>
      </c>
      <c r="V456" t="s">
        <v>31</v>
      </c>
      <c r="W456" t="s">
        <v>33</v>
      </c>
      <c r="X456" t="s">
        <v>3525</v>
      </c>
      <c r="Y456" t="s">
        <v>3458</v>
      </c>
      <c r="Z456" t="s">
        <v>38</v>
      </c>
      <c r="AA456" t="s">
        <v>31</v>
      </c>
      <c r="AB456" t="s">
        <v>243</v>
      </c>
      <c r="AC456" t="s">
        <v>30</v>
      </c>
      <c r="AD456" t="s">
        <v>46</v>
      </c>
      <c r="AE456" t="s">
        <v>3374</v>
      </c>
      <c r="AF456" t="s">
        <v>3373</v>
      </c>
      <c r="AG456" t="s">
        <v>38</v>
      </c>
      <c r="AH456">
        <v>12433</v>
      </c>
      <c r="AJ456">
        <v>191592</v>
      </c>
      <c r="AK456">
        <v>7</v>
      </c>
      <c r="AL456" t="s">
        <v>32</v>
      </c>
      <c r="AM456" t="s">
        <v>2809</v>
      </c>
      <c r="AN456" t="s">
        <v>2810</v>
      </c>
    </row>
    <row r="457" spans="1:40">
      <c r="A457" t="s">
        <v>2811</v>
      </c>
      <c r="B457" t="s">
        <v>34</v>
      </c>
      <c r="C457" t="s">
        <v>907</v>
      </c>
      <c r="D457" t="s">
        <v>908</v>
      </c>
      <c r="E457" s="1">
        <v>46064.582152777781</v>
      </c>
      <c r="F457" t="s">
        <v>74</v>
      </c>
      <c r="G457" t="s">
        <v>776</v>
      </c>
      <c r="H457" t="s">
        <v>3665</v>
      </c>
      <c r="I457" t="s">
        <v>2812</v>
      </c>
      <c r="J457" t="s">
        <v>320</v>
      </c>
      <c r="K457" t="s">
        <v>134</v>
      </c>
      <c r="M457" t="s">
        <v>3528</v>
      </c>
      <c r="O457" t="s">
        <v>3099</v>
      </c>
      <c r="P457" t="s">
        <v>3100</v>
      </c>
      <c r="Q457" t="s">
        <v>3678</v>
      </c>
      <c r="R457" t="s">
        <v>46</v>
      </c>
      <c r="S457" t="s">
        <v>1353</v>
      </c>
      <c r="T457" t="s">
        <v>1354</v>
      </c>
      <c r="U457" s="1">
        <v>46072.475439814814</v>
      </c>
      <c r="V457" t="s">
        <v>31</v>
      </c>
      <c r="W457" t="s">
        <v>33</v>
      </c>
      <c r="X457" t="s">
        <v>3525</v>
      </c>
      <c r="Y457" t="s">
        <v>3459</v>
      </c>
      <c r="Z457" t="s">
        <v>1775</v>
      </c>
      <c r="AA457" t="s">
        <v>31</v>
      </c>
      <c r="AB457" t="s">
        <v>243</v>
      </c>
      <c r="AC457" t="s">
        <v>30</v>
      </c>
      <c r="AD457" t="s">
        <v>46</v>
      </c>
      <c r="AE457" t="s">
        <v>1353</v>
      </c>
      <c r="AF457" t="s">
        <v>2390</v>
      </c>
      <c r="AG457" t="s">
        <v>1775</v>
      </c>
      <c r="AH457" t="s">
        <v>3587</v>
      </c>
      <c r="AK457">
        <v>12</v>
      </c>
      <c r="AL457" t="s">
        <v>32</v>
      </c>
      <c r="AM457" t="s">
        <v>912</v>
      </c>
      <c r="AN457" t="s">
        <v>913</v>
      </c>
    </row>
    <row r="458" spans="1:40">
      <c r="A458" t="s">
        <v>2813</v>
      </c>
      <c r="B458" t="s">
        <v>34</v>
      </c>
      <c r="C458" t="s">
        <v>311</v>
      </c>
      <c r="D458" t="s">
        <v>2814</v>
      </c>
      <c r="E458" s="1">
        <v>46064.567326388889</v>
      </c>
      <c r="F458" t="s">
        <v>702</v>
      </c>
      <c r="G458" t="s">
        <v>776</v>
      </c>
      <c r="H458" t="s">
        <v>3670</v>
      </c>
      <c r="I458" t="s">
        <v>212</v>
      </c>
      <c r="J458" t="s">
        <v>473</v>
      </c>
      <c r="K458" t="s">
        <v>44</v>
      </c>
      <c r="M458" t="s">
        <v>3528</v>
      </c>
      <c r="O458" t="s">
        <v>3099</v>
      </c>
      <c r="P458" t="s">
        <v>3100</v>
      </c>
      <c r="Q458" t="s">
        <v>3678</v>
      </c>
      <c r="R458" t="s">
        <v>162</v>
      </c>
      <c r="S458" t="s">
        <v>163</v>
      </c>
      <c r="T458" t="s">
        <v>164</v>
      </c>
      <c r="U458" s="1">
        <v>46073.457407407404</v>
      </c>
      <c r="V458" t="s">
        <v>31</v>
      </c>
      <c r="W458" t="s">
        <v>33</v>
      </c>
      <c r="X458" t="s">
        <v>3536</v>
      </c>
      <c r="Y458" t="s">
        <v>3460</v>
      </c>
      <c r="Z458" t="s">
        <v>1775</v>
      </c>
      <c r="AA458" t="s">
        <v>31</v>
      </c>
      <c r="AB458" t="s">
        <v>104</v>
      </c>
      <c r="AC458" t="s">
        <v>30</v>
      </c>
      <c r="AD458" t="s">
        <v>46</v>
      </c>
      <c r="AE458" t="s">
        <v>110</v>
      </c>
      <c r="AF458" t="s">
        <v>3287</v>
      </c>
      <c r="AG458" t="s">
        <v>1775</v>
      </c>
      <c r="AH458">
        <v>15381</v>
      </c>
      <c r="AK458">
        <v>4</v>
      </c>
      <c r="AL458" t="s">
        <v>32</v>
      </c>
      <c r="AM458" t="s">
        <v>2815</v>
      </c>
      <c r="AN458" t="s">
        <v>2816</v>
      </c>
    </row>
    <row r="459" spans="1:40">
      <c r="A459" t="s">
        <v>2817</v>
      </c>
      <c r="B459" t="s">
        <v>34</v>
      </c>
      <c r="C459" t="s">
        <v>97</v>
      </c>
      <c r="D459" t="s">
        <v>990</v>
      </c>
      <c r="E459" s="1">
        <v>46064.560173611113</v>
      </c>
      <c r="F459" t="s">
        <v>26</v>
      </c>
      <c r="G459" t="s">
        <v>776</v>
      </c>
      <c r="H459" t="s">
        <v>3665</v>
      </c>
      <c r="I459" t="s">
        <v>1222</v>
      </c>
      <c r="J459" t="s">
        <v>494</v>
      </c>
      <c r="K459" t="s">
        <v>134</v>
      </c>
      <c r="M459" t="s">
        <v>3526</v>
      </c>
      <c r="O459" t="s">
        <v>3099</v>
      </c>
      <c r="P459" t="s">
        <v>3100</v>
      </c>
      <c r="Q459" t="s">
        <v>3688</v>
      </c>
      <c r="R459" t="s">
        <v>46</v>
      </c>
      <c r="S459" t="s">
        <v>94</v>
      </c>
      <c r="T459" t="s">
        <v>95</v>
      </c>
      <c r="U459" s="1">
        <v>46076.718645833331</v>
      </c>
      <c r="V459" t="s">
        <v>31</v>
      </c>
      <c r="W459" t="s">
        <v>33</v>
      </c>
      <c r="X459" t="s">
        <v>3525</v>
      </c>
      <c r="Y459" t="e">
        <f>- the new laptop has been deployed and configured successfully. - CMDB updated.</f>
        <v>#NAME?</v>
      </c>
      <c r="Z459" t="s">
        <v>38</v>
      </c>
      <c r="AA459" t="s">
        <v>31</v>
      </c>
      <c r="AB459" t="s">
        <v>243</v>
      </c>
      <c r="AC459" t="s">
        <v>30</v>
      </c>
      <c r="AD459" t="s">
        <v>46</v>
      </c>
      <c r="AE459" t="s">
        <v>3374</v>
      </c>
      <c r="AF459" t="s">
        <v>3373</v>
      </c>
      <c r="AG459" t="s">
        <v>38</v>
      </c>
      <c r="AH459">
        <v>11050</v>
      </c>
      <c r="AJ459">
        <v>191584</v>
      </c>
      <c r="AK459">
        <v>10</v>
      </c>
      <c r="AL459" t="s">
        <v>32</v>
      </c>
      <c r="AM459" t="s">
        <v>2818</v>
      </c>
      <c r="AN459" t="s">
        <v>2819</v>
      </c>
    </row>
    <row r="460" spans="1:40">
      <c r="A460" t="s">
        <v>2823</v>
      </c>
      <c r="B460" t="s">
        <v>24</v>
      </c>
      <c r="C460" t="s">
        <v>2824</v>
      </c>
      <c r="D460" t="s">
        <v>2825</v>
      </c>
      <c r="E460" s="1">
        <v>46064.466863425929</v>
      </c>
      <c r="F460" t="s">
        <v>74</v>
      </c>
      <c r="G460" t="s">
        <v>776</v>
      </c>
      <c r="H460" t="s">
        <v>3665</v>
      </c>
      <c r="I460" t="s">
        <v>2826</v>
      </c>
      <c r="J460" t="s">
        <v>179</v>
      </c>
      <c r="K460" t="s">
        <v>44</v>
      </c>
      <c r="M460" t="s">
        <v>3528</v>
      </c>
      <c r="O460" t="s">
        <v>3103</v>
      </c>
      <c r="P460" t="s">
        <v>3104</v>
      </c>
      <c r="Q460" t="s">
        <v>3678</v>
      </c>
      <c r="R460" t="s">
        <v>46</v>
      </c>
      <c r="S460" t="s">
        <v>443</v>
      </c>
      <c r="T460" t="s">
        <v>444</v>
      </c>
      <c r="U460" s="1">
        <v>46072.562418981484</v>
      </c>
      <c r="V460" t="s">
        <v>31</v>
      </c>
      <c r="W460" t="s">
        <v>33</v>
      </c>
      <c r="X460" t="s">
        <v>3530</v>
      </c>
      <c r="Y460" t="s">
        <v>3461</v>
      </c>
      <c r="Z460" t="s">
        <v>1775</v>
      </c>
      <c r="AA460" t="s">
        <v>31</v>
      </c>
      <c r="AB460" t="s">
        <v>350</v>
      </c>
      <c r="AC460" t="s">
        <v>86</v>
      </c>
      <c r="AD460" t="s">
        <v>46</v>
      </c>
      <c r="AE460" t="s">
        <v>3113</v>
      </c>
      <c r="AF460" t="s">
        <v>3112</v>
      </c>
      <c r="AG460" t="s">
        <v>1775</v>
      </c>
      <c r="AH460">
        <v>15817</v>
      </c>
      <c r="AK460">
        <v>4</v>
      </c>
      <c r="AL460" t="s">
        <v>32</v>
      </c>
      <c r="AM460" t="s">
        <v>2827</v>
      </c>
      <c r="AN460" t="s">
        <v>2828</v>
      </c>
    </row>
    <row r="461" spans="1:40">
      <c r="A461" t="s">
        <v>2829</v>
      </c>
      <c r="B461" t="s">
        <v>24</v>
      </c>
      <c r="C461" t="s">
        <v>1283</v>
      </c>
      <c r="D461" t="s">
        <v>1284</v>
      </c>
      <c r="E461" s="1">
        <v>46064.424004629633</v>
      </c>
      <c r="F461" t="s">
        <v>101</v>
      </c>
      <c r="G461" t="s">
        <v>776</v>
      </c>
      <c r="H461" t="s">
        <v>3667</v>
      </c>
      <c r="I461" t="s">
        <v>2830</v>
      </c>
      <c r="J461" t="s">
        <v>494</v>
      </c>
      <c r="K461" t="s">
        <v>134</v>
      </c>
      <c r="M461" t="s">
        <v>3526</v>
      </c>
      <c r="O461" t="s">
        <v>3103</v>
      </c>
      <c r="P461" t="s">
        <v>3104</v>
      </c>
      <c r="Q461" t="s">
        <v>3715</v>
      </c>
      <c r="R461" t="s">
        <v>46</v>
      </c>
      <c r="S461" t="s">
        <v>197</v>
      </c>
      <c r="T461" t="s">
        <v>2831</v>
      </c>
      <c r="U461" s="1">
        <v>46077.588078703702</v>
      </c>
      <c r="V461" t="s">
        <v>31</v>
      </c>
      <c r="W461" t="s">
        <v>33</v>
      </c>
      <c r="X461" t="s">
        <v>3525</v>
      </c>
      <c r="Y461" t="e">
        <f>- after applying the GPO update and restarting the shared workstations, screen recording is now functioning correctly.</f>
        <v>#NAME?</v>
      </c>
      <c r="Z461" t="s">
        <v>38</v>
      </c>
      <c r="AA461" t="s">
        <v>31</v>
      </c>
      <c r="AB461" t="s">
        <v>243</v>
      </c>
      <c r="AC461" t="s">
        <v>86</v>
      </c>
      <c r="AD461" t="s">
        <v>46</v>
      </c>
      <c r="AE461" t="s">
        <v>197</v>
      </c>
      <c r="AF461" t="s">
        <v>2187</v>
      </c>
      <c r="AG461" t="s">
        <v>38</v>
      </c>
      <c r="AH461">
        <v>3979</v>
      </c>
      <c r="AK461">
        <v>12</v>
      </c>
      <c r="AL461" t="s">
        <v>32</v>
      </c>
      <c r="AM461" t="s">
        <v>1285</v>
      </c>
      <c r="AN461" t="s">
        <v>1286</v>
      </c>
    </row>
    <row r="462" spans="1:40">
      <c r="A462" t="s">
        <v>2832</v>
      </c>
      <c r="B462" t="s">
        <v>34</v>
      </c>
      <c r="C462" t="s">
        <v>2833</v>
      </c>
      <c r="D462" t="s">
        <v>2834</v>
      </c>
      <c r="E462" s="1">
        <v>46064.41846064815</v>
      </c>
      <c r="F462" t="s">
        <v>62</v>
      </c>
      <c r="G462" t="s">
        <v>776</v>
      </c>
      <c r="H462" t="s">
        <v>3668</v>
      </c>
      <c r="I462" t="s">
        <v>252</v>
      </c>
      <c r="J462" t="s">
        <v>642</v>
      </c>
      <c r="K462" t="s">
        <v>134</v>
      </c>
      <c r="M462" t="s">
        <v>3526</v>
      </c>
      <c r="O462" t="s">
        <v>3099</v>
      </c>
      <c r="P462" t="s">
        <v>3100</v>
      </c>
      <c r="Q462" t="s">
        <v>3678</v>
      </c>
      <c r="R462" t="s">
        <v>46</v>
      </c>
      <c r="S462" t="s">
        <v>515</v>
      </c>
      <c r="T462" t="s">
        <v>2177</v>
      </c>
      <c r="U462" s="1">
        <v>46078.483958333331</v>
      </c>
      <c r="V462" t="s">
        <v>31</v>
      </c>
      <c r="W462" t="s">
        <v>33</v>
      </c>
      <c r="X462" t="s">
        <v>3536</v>
      </c>
      <c r="Y462" t="s">
        <v>3462</v>
      </c>
      <c r="Z462" t="s">
        <v>38</v>
      </c>
      <c r="AA462" t="s">
        <v>31</v>
      </c>
      <c r="AB462" t="s">
        <v>104</v>
      </c>
      <c r="AC462" t="s">
        <v>30</v>
      </c>
      <c r="AD462" t="s">
        <v>46</v>
      </c>
      <c r="AE462" t="s">
        <v>515</v>
      </c>
      <c r="AF462" t="s">
        <v>2177</v>
      </c>
      <c r="AG462" t="s">
        <v>38</v>
      </c>
      <c r="AH462" t="s">
        <v>3759</v>
      </c>
      <c r="AK462">
        <v>14</v>
      </c>
      <c r="AL462" t="s">
        <v>32</v>
      </c>
      <c r="AM462" t="s">
        <v>2835</v>
      </c>
      <c r="AN462" t="s">
        <v>2836</v>
      </c>
    </row>
    <row r="463" spans="1:40">
      <c r="A463" t="s">
        <v>2837</v>
      </c>
      <c r="B463" t="s">
        <v>34</v>
      </c>
      <c r="C463" t="s">
        <v>2838</v>
      </c>
      <c r="D463" t="s">
        <v>2839</v>
      </c>
      <c r="E463" s="1">
        <v>46064.123865740738</v>
      </c>
      <c r="F463" t="s">
        <v>333</v>
      </c>
      <c r="G463" t="s">
        <v>776</v>
      </c>
      <c r="H463" t="s">
        <v>3671</v>
      </c>
      <c r="I463" t="s">
        <v>2840</v>
      </c>
      <c r="J463" t="s">
        <v>320</v>
      </c>
      <c r="K463" t="s">
        <v>134</v>
      </c>
      <c r="M463" t="s">
        <v>3528</v>
      </c>
      <c r="O463" t="s">
        <v>3099</v>
      </c>
      <c r="P463" t="s">
        <v>3100</v>
      </c>
      <c r="Q463" t="s">
        <v>3678</v>
      </c>
      <c r="R463" t="s">
        <v>46</v>
      </c>
      <c r="S463" t="s">
        <v>495</v>
      </c>
      <c r="T463" t="s">
        <v>496</v>
      </c>
      <c r="U463" s="1">
        <v>46072.552766203706</v>
      </c>
      <c r="V463" t="s">
        <v>31</v>
      </c>
      <c r="W463" t="s">
        <v>33</v>
      </c>
      <c r="X463" t="s">
        <v>3525</v>
      </c>
      <c r="Y463" t="s">
        <v>3463</v>
      </c>
      <c r="Z463" t="s">
        <v>1775</v>
      </c>
      <c r="AA463" t="s">
        <v>31</v>
      </c>
      <c r="AB463" t="s">
        <v>49</v>
      </c>
      <c r="AC463" t="s">
        <v>30</v>
      </c>
      <c r="AD463" t="s">
        <v>46</v>
      </c>
      <c r="AE463" t="s">
        <v>365</v>
      </c>
      <c r="AF463" t="s">
        <v>2588</v>
      </c>
      <c r="AG463" t="s">
        <v>1775</v>
      </c>
      <c r="AH463">
        <v>15856</v>
      </c>
      <c r="AK463">
        <v>7</v>
      </c>
      <c r="AL463" t="s">
        <v>32</v>
      </c>
      <c r="AM463" t="s">
        <v>2841</v>
      </c>
      <c r="AN463" t="s">
        <v>2842</v>
      </c>
    </row>
    <row r="464" spans="1:40">
      <c r="A464" t="s">
        <v>2843</v>
      </c>
      <c r="B464" t="s">
        <v>34</v>
      </c>
      <c r="C464" t="s">
        <v>1147</v>
      </c>
      <c r="D464" t="s">
        <v>1148</v>
      </c>
      <c r="E464" s="1">
        <v>46064.081655092596</v>
      </c>
      <c r="F464" t="s">
        <v>153</v>
      </c>
      <c r="G464" t="s">
        <v>776</v>
      </c>
      <c r="H464" t="s">
        <v>3669</v>
      </c>
      <c r="I464" t="s">
        <v>2844</v>
      </c>
      <c r="J464" t="s">
        <v>765</v>
      </c>
      <c r="K464" t="s">
        <v>134</v>
      </c>
      <c r="M464" t="s">
        <v>3526</v>
      </c>
      <c r="O464" t="s">
        <v>3099</v>
      </c>
      <c r="P464" t="s">
        <v>3100</v>
      </c>
      <c r="Q464" t="s">
        <v>3678</v>
      </c>
      <c r="R464" t="s">
        <v>46</v>
      </c>
      <c r="S464" t="s">
        <v>136</v>
      </c>
      <c r="T464" t="s">
        <v>136</v>
      </c>
      <c r="U464" s="1">
        <v>46077.402314814812</v>
      </c>
      <c r="V464" t="s">
        <v>31</v>
      </c>
      <c r="W464" t="s">
        <v>33</v>
      </c>
      <c r="X464" t="s">
        <v>3525</v>
      </c>
      <c r="Y464" t="s">
        <v>3464</v>
      </c>
      <c r="Z464" t="s">
        <v>38</v>
      </c>
      <c r="AA464" t="s">
        <v>31</v>
      </c>
      <c r="AB464" t="s">
        <v>49</v>
      </c>
      <c r="AC464" t="s">
        <v>30</v>
      </c>
      <c r="AD464" t="s">
        <v>46</v>
      </c>
      <c r="AE464" t="s">
        <v>3339</v>
      </c>
      <c r="AF464" t="s">
        <v>3339</v>
      </c>
      <c r="AG464" t="s">
        <v>38</v>
      </c>
      <c r="AJ464">
        <v>12475</v>
      </c>
      <c r="AK464">
        <v>4</v>
      </c>
      <c r="AL464" t="s">
        <v>32</v>
      </c>
      <c r="AM464" t="s">
        <v>739</v>
      </c>
      <c r="AN464" t="s">
        <v>1151</v>
      </c>
    </row>
    <row r="465" spans="1:40">
      <c r="A465" t="s">
        <v>2846</v>
      </c>
      <c r="B465" t="s">
        <v>34</v>
      </c>
      <c r="C465" t="s">
        <v>1407</v>
      </c>
      <c r="D465" t="s">
        <v>1408</v>
      </c>
      <c r="E465" s="1">
        <v>46063.652881944443</v>
      </c>
      <c r="F465" t="s">
        <v>222</v>
      </c>
      <c r="G465" t="s">
        <v>776</v>
      </c>
      <c r="H465" t="s">
        <v>3666</v>
      </c>
      <c r="I465" t="s">
        <v>1320</v>
      </c>
      <c r="J465" t="s">
        <v>1219</v>
      </c>
      <c r="K465" t="s">
        <v>134</v>
      </c>
      <c r="M465" t="s">
        <v>3529</v>
      </c>
      <c r="O465" t="s">
        <v>3099</v>
      </c>
      <c r="P465" t="s">
        <v>3100</v>
      </c>
      <c r="Q465" t="s">
        <v>3678</v>
      </c>
      <c r="R465" t="s">
        <v>162</v>
      </c>
      <c r="S465" t="s">
        <v>163</v>
      </c>
      <c r="T465" t="s">
        <v>164</v>
      </c>
      <c r="U465" s="1">
        <v>46076.636446759258</v>
      </c>
      <c r="V465" t="s">
        <v>31</v>
      </c>
      <c r="W465" t="s">
        <v>33</v>
      </c>
      <c r="X465" t="s">
        <v>3536</v>
      </c>
      <c r="Y465" t="s">
        <v>3465</v>
      </c>
      <c r="Z465" t="s">
        <v>38</v>
      </c>
      <c r="AA465" t="s">
        <v>31</v>
      </c>
      <c r="AB465" t="s">
        <v>104</v>
      </c>
      <c r="AC465" t="s">
        <v>30</v>
      </c>
      <c r="AD465" t="s">
        <v>46</v>
      </c>
      <c r="AE465" t="s">
        <v>365</v>
      </c>
      <c r="AF465" t="s">
        <v>1320</v>
      </c>
      <c r="AG465" t="s">
        <v>38</v>
      </c>
      <c r="AH465">
        <v>15908</v>
      </c>
      <c r="AI465" t="s">
        <v>3749</v>
      </c>
      <c r="AJ465">
        <v>191679</v>
      </c>
      <c r="AK465">
        <v>11</v>
      </c>
      <c r="AL465" t="s">
        <v>32</v>
      </c>
      <c r="AM465" t="s">
        <v>1409</v>
      </c>
      <c r="AN465" t="s">
        <v>1410</v>
      </c>
    </row>
    <row r="466" spans="1:40">
      <c r="A466" t="s">
        <v>2847</v>
      </c>
      <c r="B466" t="s">
        <v>34</v>
      </c>
      <c r="C466" t="s">
        <v>1338</v>
      </c>
      <c r="D466" t="s">
        <v>1339</v>
      </c>
      <c r="E466" s="1">
        <v>46063.628310185188</v>
      </c>
      <c r="F466" t="s">
        <v>35</v>
      </c>
      <c r="G466" t="s">
        <v>776</v>
      </c>
      <c r="H466" t="s">
        <v>3672</v>
      </c>
      <c r="I466" t="s">
        <v>252</v>
      </c>
      <c r="J466" t="s">
        <v>411</v>
      </c>
      <c r="K466" t="s">
        <v>44</v>
      </c>
      <c r="M466" t="s">
        <v>3529</v>
      </c>
      <c r="O466" t="s">
        <v>3099</v>
      </c>
      <c r="P466" t="s">
        <v>3100</v>
      </c>
      <c r="Q466" t="s">
        <v>3678</v>
      </c>
      <c r="R466" t="s">
        <v>162</v>
      </c>
      <c r="S466" t="s">
        <v>163</v>
      </c>
      <c r="T466" t="s">
        <v>164</v>
      </c>
      <c r="U466" s="1">
        <v>46076.323298611111</v>
      </c>
      <c r="V466" t="s">
        <v>31</v>
      </c>
      <c r="W466" t="s">
        <v>33</v>
      </c>
      <c r="X466" t="s">
        <v>3536</v>
      </c>
      <c r="Y466" t="s">
        <v>3438</v>
      </c>
      <c r="Z466" t="s">
        <v>38</v>
      </c>
      <c r="AA466" t="s">
        <v>31</v>
      </c>
      <c r="AB466" t="s">
        <v>104</v>
      </c>
      <c r="AC466" t="s">
        <v>30</v>
      </c>
      <c r="AD466" t="s">
        <v>1423</v>
      </c>
      <c r="AE466" t="s">
        <v>3440</v>
      </c>
      <c r="AF466" t="s">
        <v>3439</v>
      </c>
      <c r="AG466" t="s">
        <v>38</v>
      </c>
      <c r="AH466" t="s">
        <v>3608</v>
      </c>
      <c r="AK466">
        <v>1</v>
      </c>
      <c r="AL466" t="s">
        <v>32</v>
      </c>
      <c r="AM466" t="s">
        <v>1340</v>
      </c>
      <c r="AN466" t="s">
        <v>1341</v>
      </c>
    </row>
    <row r="467" spans="1:40">
      <c r="A467" t="s">
        <v>2848</v>
      </c>
      <c r="B467" t="s">
        <v>34</v>
      </c>
      <c r="C467" t="s">
        <v>1365</v>
      </c>
      <c r="D467" t="s">
        <v>1366</v>
      </c>
      <c r="E467" s="1">
        <v>46063.577141203707</v>
      </c>
      <c r="F467" t="s">
        <v>593</v>
      </c>
      <c r="G467" t="s">
        <v>776</v>
      </c>
      <c r="H467" t="s">
        <v>3669</v>
      </c>
      <c r="I467" t="s">
        <v>1320</v>
      </c>
      <c r="J467" t="s">
        <v>494</v>
      </c>
      <c r="K467" t="s">
        <v>134</v>
      </c>
      <c r="M467" t="s">
        <v>3528</v>
      </c>
      <c r="O467" t="s">
        <v>3099</v>
      </c>
      <c r="P467" t="s">
        <v>3100</v>
      </c>
      <c r="Q467" t="s">
        <v>3678</v>
      </c>
      <c r="R467" t="s">
        <v>162</v>
      </c>
      <c r="S467" t="s">
        <v>163</v>
      </c>
      <c r="T467" t="s">
        <v>164</v>
      </c>
      <c r="U467" s="1">
        <v>46072.427719907406</v>
      </c>
      <c r="V467" t="s">
        <v>31</v>
      </c>
      <c r="W467" t="s">
        <v>33</v>
      </c>
      <c r="X467" t="s">
        <v>3536</v>
      </c>
      <c r="Y467" t="e">
        <f>- the Keyboard has been delivered to the user.</f>
        <v>#NAME?</v>
      </c>
      <c r="Z467" t="s">
        <v>1775</v>
      </c>
      <c r="AA467" t="s">
        <v>31</v>
      </c>
      <c r="AB467" t="s">
        <v>104</v>
      </c>
      <c r="AC467" t="s">
        <v>30</v>
      </c>
      <c r="AD467" t="s">
        <v>46</v>
      </c>
      <c r="AE467" t="s">
        <v>365</v>
      </c>
      <c r="AF467" t="s">
        <v>1320</v>
      </c>
      <c r="AG467" t="s">
        <v>1775</v>
      </c>
      <c r="AH467">
        <v>15972</v>
      </c>
      <c r="AI467" t="s">
        <v>3749</v>
      </c>
      <c r="AJ467">
        <v>191581</v>
      </c>
      <c r="AK467">
        <v>12</v>
      </c>
      <c r="AL467" t="s">
        <v>32</v>
      </c>
      <c r="AM467" t="s">
        <v>1367</v>
      </c>
      <c r="AN467" t="s">
        <v>1368</v>
      </c>
    </row>
    <row r="468" spans="1:40">
      <c r="A468" t="s">
        <v>2849</v>
      </c>
      <c r="B468" t="s">
        <v>34</v>
      </c>
      <c r="C468" t="s">
        <v>691</v>
      </c>
      <c r="D468" t="s">
        <v>99</v>
      </c>
      <c r="E468" s="1">
        <v>46063.568356481483</v>
      </c>
      <c r="F468" t="s">
        <v>150</v>
      </c>
      <c r="G468" t="s">
        <v>776</v>
      </c>
      <c r="H468" t="s">
        <v>3671</v>
      </c>
      <c r="I468" t="s">
        <v>252</v>
      </c>
      <c r="J468" t="s">
        <v>273</v>
      </c>
      <c r="K468" t="s">
        <v>134</v>
      </c>
      <c r="M468" t="s">
        <v>3526</v>
      </c>
      <c r="O468" t="s">
        <v>3099</v>
      </c>
      <c r="P468" t="s">
        <v>3100</v>
      </c>
      <c r="Q468" t="s">
        <v>3694</v>
      </c>
      <c r="R468" t="s">
        <v>46</v>
      </c>
      <c r="S468" t="s">
        <v>515</v>
      </c>
      <c r="T468" t="s">
        <v>980</v>
      </c>
      <c r="U468" s="1">
        <v>46076.401932870373</v>
      </c>
      <c r="V468" t="s">
        <v>31</v>
      </c>
      <c r="W468" t="s">
        <v>33</v>
      </c>
      <c r="X468" t="s">
        <v>3536</v>
      </c>
      <c r="Y468" t="s">
        <v>3466</v>
      </c>
      <c r="Z468" t="s">
        <v>38</v>
      </c>
      <c r="AA468" t="s">
        <v>31</v>
      </c>
      <c r="AB468" t="s">
        <v>104</v>
      </c>
      <c r="AC468" t="s">
        <v>30</v>
      </c>
      <c r="AD468" t="s">
        <v>46</v>
      </c>
      <c r="AE468" t="s">
        <v>515</v>
      </c>
      <c r="AF468" t="s">
        <v>618</v>
      </c>
      <c r="AG468" t="s">
        <v>38</v>
      </c>
      <c r="AH468">
        <v>7592</v>
      </c>
      <c r="AK468">
        <v>14</v>
      </c>
      <c r="AL468" t="s">
        <v>32</v>
      </c>
      <c r="AM468" t="s">
        <v>2850</v>
      </c>
      <c r="AN468" t="s">
        <v>2851</v>
      </c>
    </row>
    <row r="469" spans="1:40">
      <c r="A469" t="s">
        <v>2852</v>
      </c>
      <c r="B469" t="s">
        <v>24</v>
      </c>
      <c r="C469" t="s">
        <v>418</v>
      </c>
      <c r="D469" t="s">
        <v>760</v>
      </c>
      <c r="E469" s="1">
        <v>46063.563333333332</v>
      </c>
      <c r="F469" t="s">
        <v>128</v>
      </c>
      <c r="G469" t="s">
        <v>776</v>
      </c>
      <c r="H469" t="s">
        <v>3668</v>
      </c>
      <c r="I469" t="s">
        <v>2853</v>
      </c>
      <c r="J469" t="s">
        <v>642</v>
      </c>
      <c r="K469" t="s">
        <v>134</v>
      </c>
      <c r="M469" t="s">
        <v>3528</v>
      </c>
      <c r="O469" t="s">
        <v>3103</v>
      </c>
      <c r="P469" t="s">
        <v>3104</v>
      </c>
      <c r="Q469" t="s">
        <v>3678</v>
      </c>
      <c r="R469" t="s">
        <v>46</v>
      </c>
      <c r="S469" t="s">
        <v>197</v>
      </c>
      <c r="T469" t="s">
        <v>725</v>
      </c>
      <c r="U469" s="1">
        <v>46072.536712962959</v>
      </c>
      <c r="V469" t="s">
        <v>31</v>
      </c>
      <c r="W469" t="s">
        <v>33</v>
      </c>
      <c r="X469" t="s">
        <v>3530</v>
      </c>
      <c r="Y469" t="s">
        <v>3467</v>
      </c>
      <c r="Z469" t="s">
        <v>1775</v>
      </c>
      <c r="AA469" t="s">
        <v>31</v>
      </c>
      <c r="AB469" t="s">
        <v>413</v>
      </c>
      <c r="AC469" t="s">
        <v>86</v>
      </c>
      <c r="AD469" t="s">
        <v>46</v>
      </c>
      <c r="AE469" t="s">
        <v>197</v>
      </c>
      <c r="AF469" t="s">
        <v>875</v>
      </c>
      <c r="AG469" t="s">
        <v>1775</v>
      </c>
      <c r="AH469">
        <v>14511</v>
      </c>
      <c r="AK469">
        <v>13</v>
      </c>
      <c r="AL469" t="s">
        <v>32</v>
      </c>
      <c r="AM469" t="s">
        <v>2384</v>
      </c>
      <c r="AN469" t="s">
        <v>2385</v>
      </c>
    </row>
    <row r="470" spans="1:40">
      <c r="A470" t="s">
        <v>2858</v>
      </c>
      <c r="B470" t="s">
        <v>34</v>
      </c>
      <c r="C470" t="s">
        <v>116</v>
      </c>
      <c r="D470" t="s">
        <v>2859</v>
      </c>
      <c r="E470" s="1">
        <v>46063.479120370372</v>
      </c>
      <c r="F470" t="s">
        <v>62</v>
      </c>
      <c r="G470" t="s">
        <v>776</v>
      </c>
      <c r="H470" t="s">
        <v>3668</v>
      </c>
      <c r="I470" t="s">
        <v>2860</v>
      </c>
      <c r="J470" t="s">
        <v>642</v>
      </c>
      <c r="K470" t="s">
        <v>134</v>
      </c>
      <c r="M470" t="s">
        <v>3528</v>
      </c>
      <c r="O470" t="s">
        <v>3099</v>
      </c>
      <c r="P470" t="s">
        <v>3100</v>
      </c>
      <c r="Q470" t="s">
        <v>3711</v>
      </c>
      <c r="R470" t="s">
        <v>46</v>
      </c>
      <c r="S470" t="s">
        <v>1353</v>
      </c>
      <c r="T470" t="s">
        <v>95</v>
      </c>
      <c r="U470" s="1">
        <v>46073.400358796294</v>
      </c>
      <c r="V470" t="s">
        <v>31</v>
      </c>
      <c r="W470" t="s">
        <v>33</v>
      </c>
      <c r="X470" t="s">
        <v>3525</v>
      </c>
      <c r="Y470" t="s">
        <v>3468</v>
      </c>
      <c r="Z470" t="s">
        <v>1775</v>
      </c>
      <c r="AA470" t="s">
        <v>31</v>
      </c>
      <c r="AB470" t="s">
        <v>227</v>
      </c>
      <c r="AC470" t="s">
        <v>30</v>
      </c>
      <c r="AD470" t="s">
        <v>46</v>
      </c>
      <c r="AE470" t="s">
        <v>1353</v>
      </c>
      <c r="AF470" t="s">
        <v>95</v>
      </c>
      <c r="AG470" t="s">
        <v>1775</v>
      </c>
      <c r="AH470">
        <v>6259</v>
      </c>
      <c r="AJ470" t="s">
        <v>2861</v>
      </c>
      <c r="AK470">
        <v>6</v>
      </c>
      <c r="AL470" t="s">
        <v>32</v>
      </c>
      <c r="AM470" t="s">
        <v>2862</v>
      </c>
      <c r="AN470" t="s">
        <v>2863</v>
      </c>
    </row>
    <row r="471" spans="1:40">
      <c r="A471" t="s">
        <v>2864</v>
      </c>
      <c r="B471" t="s">
        <v>34</v>
      </c>
      <c r="C471" t="s">
        <v>2865</v>
      </c>
      <c r="D471" t="s">
        <v>2866</v>
      </c>
      <c r="E471" s="1">
        <v>46063.368159722224</v>
      </c>
      <c r="F471" t="s">
        <v>93</v>
      </c>
      <c r="G471" t="s">
        <v>776</v>
      </c>
      <c r="H471" t="s">
        <v>3666</v>
      </c>
      <c r="I471" t="s">
        <v>2867</v>
      </c>
      <c r="J471" t="s">
        <v>1301</v>
      </c>
      <c r="K471" t="s">
        <v>134</v>
      </c>
      <c r="M471" t="s">
        <v>3528</v>
      </c>
      <c r="O471" t="s">
        <v>3099</v>
      </c>
      <c r="P471" t="s">
        <v>3100</v>
      </c>
      <c r="Q471" t="s">
        <v>3705</v>
      </c>
      <c r="R471" t="s">
        <v>162</v>
      </c>
      <c r="S471" t="s">
        <v>163</v>
      </c>
      <c r="T471" t="s">
        <v>164</v>
      </c>
      <c r="U471" s="1">
        <v>46073.474189814813</v>
      </c>
      <c r="V471" t="s">
        <v>31</v>
      </c>
      <c r="W471" t="s">
        <v>33</v>
      </c>
      <c r="X471" t="s">
        <v>3536</v>
      </c>
      <c r="Y471" t="e">
        <f>- the new Wireless Mouse has been provided.</f>
        <v>#NAME?</v>
      </c>
      <c r="Z471" t="s">
        <v>1775</v>
      </c>
      <c r="AA471" t="s">
        <v>31</v>
      </c>
      <c r="AB471" t="s">
        <v>104</v>
      </c>
      <c r="AC471" t="s">
        <v>30</v>
      </c>
      <c r="AD471" t="s">
        <v>46</v>
      </c>
      <c r="AE471" t="s">
        <v>365</v>
      </c>
      <c r="AF471" t="s">
        <v>1557</v>
      </c>
      <c r="AG471" t="s">
        <v>1775</v>
      </c>
      <c r="AH471">
        <v>1328</v>
      </c>
      <c r="AI471" t="s">
        <v>3760</v>
      </c>
      <c r="AJ471">
        <v>191683</v>
      </c>
      <c r="AK471">
        <v>11</v>
      </c>
      <c r="AL471" t="s">
        <v>181</v>
      </c>
      <c r="AM471" t="s">
        <v>2868</v>
      </c>
      <c r="AN471" t="s">
        <v>2869</v>
      </c>
    </row>
    <row r="472" spans="1:40">
      <c r="A472" t="s">
        <v>2870</v>
      </c>
      <c r="B472" t="s">
        <v>34</v>
      </c>
      <c r="C472" t="s">
        <v>2871</v>
      </c>
      <c r="D472" t="s">
        <v>2872</v>
      </c>
      <c r="E472" s="1">
        <v>46063.114502314813</v>
      </c>
      <c r="F472" t="s">
        <v>168</v>
      </c>
      <c r="G472" t="s">
        <v>776</v>
      </c>
      <c r="H472" t="s">
        <v>3669</v>
      </c>
      <c r="I472" t="s">
        <v>2873</v>
      </c>
      <c r="J472" t="s">
        <v>765</v>
      </c>
      <c r="K472" t="s">
        <v>134</v>
      </c>
      <c r="M472" t="s">
        <v>3528</v>
      </c>
      <c r="O472" t="s">
        <v>3099</v>
      </c>
      <c r="P472" t="s">
        <v>3100</v>
      </c>
      <c r="Q472" t="s">
        <v>3678</v>
      </c>
      <c r="R472" t="s">
        <v>46</v>
      </c>
      <c r="S472" t="s">
        <v>751</v>
      </c>
      <c r="T472" t="s">
        <v>752</v>
      </c>
      <c r="U472" s="1">
        <v>46073.403946759259</v>
      </c>
      <c r="V472" t="s">
        <v>31</v>
      </c>
      <c r="W472" t="s">
        <v>33</v>
      </c>
      <c r="X472" t="s">
        <v>3525</v>
      </c>
      <c r="Y472" t="s">
        <v>3469</v>
      </c>
      <c r="Z472" t="s">
        <v>1775</v>
      </c>
      <c r="AA472" t="s">
        <v>31</v>
      </c>
      <c r="AB472" t="s">
        <v>49</v>
      </c>
      <c r="AC472" t="s">
        <v>30</v>
      </c>
      <c r="AD472" t="s">
        <v>46</v>
      </c>
      <c r="AE472" t="s">
        <v>751</v>
      </c>
      <c r="AF472" t="s">
        <v>752</v>
      </c>
      <c r="AG472" t="s">
        <v>1775</v>
      </c>
      <c r="AH472">
        <v>11730</v>
      </c>
      <c r="AK472">
        <v>1</v>
      </c>
      <c r="AL472" t="s">
        <v>32</v>
      </c>
      <c r="AM472" t="s">
        <v>2874</v>
      </c>
      <c r="AN472" t="s">
        <v>2875</v>
      </c>
    </row>
    <row r="473" spans="1:40">
      <c r="A473" t="s">
        <v>2876</v>
      </c>
      <c r="B473" t="s">
        <v>34</v>
      </c>
      <c r="C473" t="s">
        <v>2877</v>
      </c>
      <c r="D473" t="s">
        <v>2878</v>
      </c>
      <c r="E473" s="1">
        <v>46063.106921296298</v>
      </c>
      <c r="F473" t="s">
        <v>283</v>
      </c>
      <c r="G473" t="s">
        <v>776</v>
      </c>
      <c r="H473" t="s">
        <v>3670</v>
      </c>
      <c r="I473" t="s">
        <v>1222</v>
      </c>
      <c r="J473" t="s">
        <v>273</v>
      </c>
      <c r="K473" t="s">
        <v>134</v>
      </c>
      <c r="M473" t="s">
        <v>3526</v>
      </c>
      <c r="O473" t="s">
        <v>3099</v>
      </c>
      <c r="P473" t="s">
        <v>3100</v>
      </c>
      <c r="Q473" t="s">
        <v>3692</v>
      </c>
      <c r="R473" t="s">
        <v>46</v>
      </c>
      <c r="S473" t="s">
        <v>94</v>
      </c>
      <c r="T473" t="s">
        <v>95</v>
      </c>
      <c r="U473" s="1">
        <v>46076.399837962963</v>
      </c>
      <c r="V473" t="s">
        <v>31</v>
      </c>
      <c r="W473" t="s">
        <v>33</v>
      </c>
      <c r="X473" t="s">
        <v>3525</v>
      </c>
      <c r="Y473" t="s">
        <v>3470</v>
      </c>
      <c r="Z473" t="s">
        <v>38</v>
      </c>
      <c r="AA473" t="s">
        <v>31</v>
      </c>
      <c r="AB473" t="s">
        <v>49</v>
      </c>
      <c r="AC473" t="s">
        <v>30</v>
      </c>
      <c r="AD473" t="s">
        <v>46</v>
      </c>
      <c r="AE473" t="s">
        <v>3374</v>
      </c>
      <c r="AF473" t="s">
        <v>3373</v>
      </c>
      <c r="AG473" t="s">
        <v>38</v>
      </c>
      <c r="AH473">
        <v>2608</v>
      </c>
      <c r="AJ473" t="s">
        <v>2879</v>
      </c>
      <c r="AK473">
        <v>7</v>
      </c>
      <c r="AL473" t="s">
        <v>32</v>
      </c>
      <c r="AM473" t="s">
        <v>2880</v>
      </c>
      <c r="AN473" t="s">
        <v>2881</v>
      </c>
    </row>
    <row r="474" spans="1:40">
      <c r="A474" t="s">
        <v>2882</v>
      </c>
      <c r="B474" t="s">
        <v>34</v>
      </c>
      <c r="C474" t="s">
        <v>984</v>
      </c>
      <c r="D474" t="s">
        <v>2883</v>
      </c>
      <c r="E474" s="1">
        <v>46062.61922453704</v>
      </c>
      <c r="F474" t="s">
        <v>153</v>
      </c>
      <c r="G474" t="s">
        <v>776</v>
      </c>
      <c r="H474" t="s">
        <v>3669</v>
      </c>
      <c r="I474" t="s">
        <v>2884</v>
      </c>
      <c r="J474" t="s">
        <v>765</v>
      </c>
      <c r="K474" t="s">
        <v>134</v>
      </c>
      <c r="M474" t="s">
        <v>3526</v>
      </c>
      <c r="O474" t="s">
        <v>3099</v>
      </c>
      <c r="P474" t="s">
        <v>3100</v>
      </c>
      <c r="Q474" t="s">
        <v>3741</v>
      </c>
      <c r="R474" t="s">
        <v>162</v>
      </c>
      <c r="S474" t="s">
        <v>163</v>
      </c>
      <c r="T474" t="s">
        <v>164</v>
      </c>
      <c r="U474" s="1">
        <v>46078.411192129628</v>
      </c>
      <c r="V474" t="s">
        <v>31</v>
      </c>
      <c r="W474" t="s">
        <v>33</v>
      </c>
      <c r="X474" t="s">
        <v>3536</v>
      </c>
      <c r="Y474" t="s">
        <v>3471</v>
      </c>
      <c r="Z474" t="s">
        <v>38</v>
      </c>
      <c r="AA474" t="s">
        <v>31</v>
      </c>
      <c r="AB474" t="s">
        <v>104</v>
      </c>
      <c r="AC474" t="s">
        <v>30</v>
      </c>
      <c r="AD474" t="s">
        <v>46</v>
      </c>
      <c r="AE474" t="s">
        <v>94</v>
      </c>
      <c r="AF474" t="s">
        <v>95</v>
      </c>
      <c r="AG474" t="s">
        <v>38</v>
      </c>
      <c r="AH474">
        <v>1055</v>
      </c>
      <c r="AJ474">
        <v>191582</v>
      </c>
      <c r="AK474">
        <v>10</v>
      </c>
      <c r="AL474" t="s">
        <v>32</v>
      </c>
      <c r="AM474" t="s">
        <v>2885</v>
      </c>
      <c r="AN474" t="s">
        <v>2886</v>
      </c>
    </row>
    <row r="475" spans="1:40">
      <c r="A475" t="s">
        <v>2887</v>
      </c>
      <c r="B475" t="s">
        <v>34</v>
      </c>
      <c r="C475" t="s">
        <v>152</v>
      </c>
      <c r="D475" t="s">
        <v>1028</v>
      </c>
      <c r="E475" s="1">
        <v>46062.611597222225</v>
      </c>
      <c r="F475" t="s">
        <v>245</v>
      </c>
      <c r="G475" t="s">
        <v>776</v>
      </c>
      <c r="H475" t="s">
        <v>3665</v>
      </c>
      <c r="I475" t="s">
        <v>1320</v>
      </c>
      <c r="J475" t="s">
        <v>494</v>
      </c>
      <c r="K475" t="s">
        <v>134</v>
      </c>
      <c r="M475" t="s">
        <v>3528</v>
      </c>
      <c r="O475" t="s">
        <v>3099</v>
      </c>
      <c r="P475" t="s">
        <v>3100</v>
      </c>
      <c r="Q475" t="s">
        <v>3678</v>
      </c>
      <c r="R475" t="s">
        <v>162</v>
      </c>
      <c r="S475" t="s">
        <v>163</v>
      </c>
      <c r="T475" t="s">
        <v>164</v>
      </c>
      <c r="U475" s="1">
        <v>46072.427303240744</v>
      </c>
      <c r="V475" t="s">
        <v>31</v>
      </c>
      <c r="W475" t="s">
        <v>33</v>
      </c>
      <c r="X475" t="s">
        <v>3536</v>
      </c>
      <c r="Y475" t="e">
        <f>- the Keyboard has been delivered to the user.</f>
        <v>#NAME?</v>
      </c>
      <c r="Z475" t="s">
        <v>1775</v>
      </c>
      <c r="AA475" t="s">
        <v>31</v>
      </c>
      <c r="AB475" t="s">
        <v>104</v>
      </c>
      <c r="AC475" t="s">
        <v>30</v>
      </c>
      <c r="AD475" t="s">
        <v>46</v>
      </c>
      <c r="AE475" t="s">
        <v>365</v>
      </c>
      <c r="AF475" t="s">
        <v>1320</v>
      </c>
      <c r="AG475" t="s">
        <v>1775</v>
      </c>
      <c r="AH475">
        <v>15966</v>
      </c>
      <c r="AI475" t="s">
        <v>3749</v>
      </c>
      <c r="AJ475">
        <v>191580</v>
      </c>
      <c r="AK475">
        <v>11</v>
      </c>
      <c r="AL475" t="s">
        <v>32</v>
      </c>
      <c r="AM475" t="s">
        <v>2230</v>
      </c>
      <c r="AN475" t="s">
        <v>2231</v>
      </c>
    </row>
    <row r="476" spans="1:40">
      <c r="A476" t="s">
        <v>2888</v>
      </c>
      <c r="B476" t="s">
        <v>24</v>
      </c>
      <c r="C476" t="s">
        <v>2889</v>
      </c>
      <c r="D476" t="s">
        <v>2845</v>
      </c>
      <c r="E476" s="1">
        <v>46062.562685185185</v>
      </c>
      <c r="F476" t="s">
        <v>26</v>
      </c>
      <c r="G476" t="s">
        <v>776</v>
      </c>
      <c r="H476" t="s">
        <v>3665</v>
      </c>
      <c r="I476" t="s">
        <v>2890</v>
      </c>
      <c r="J476" t="s">
        <v>179</v>
      </c>
      <c r="K476" t="s">
        <v>44</v>
      </c>
      <c r="M476" t="s">
        <v>3528</v>
      </c>
      <c r="O476" t="s">
        <v>3103</v>
      </c>
      <c r="P476" t="s">
        <v>3104</v>
      </c>
      <c r="Q476" t="s">
        <v>3761</v>
      </c>
      <c r="R476" t="s">
        <v>162</v>
      </c>
      <c r="S476" t="s">
        <v>163</v>
      </c>
      <c r="T476" t="s">
        <v>164</v>
      </c>
      <c r="U476" s="1">
        <v>46073.354571759257</v>
      </c>
      <c r="V476" t="s">
        <v>31</v>
      </c>
      <c r="W476" t="s">
        <v>33</v>
      </c>
      <c r="X476" t="s">
        <v>3536</v>
      </c>
      <c r="Y476" t="s">
        <v>3472</v>
      </c>
      <c r="Z476" t="s">
        <v>1775</v>
      </c>
      <c r="AA476" t="s">
        <v>31</v>
      </c>
      <c r="AB476" t="s">
        <v>104</v>
      </c>
      <c r="AC476" t="s">
        <v>86</v>
      </c>
      <c r="AD476" t="s">
        <v>46</v>
      </c>
      <c r="AE476" t="s">
        <v>454</v>
      </c>
      <c r="AF476" t="s">
        <v>3350</v>
      </c>
      <c r="AG476" t="s">
        <v>1775</v>
      </c>
      <c r="AH476">
        <v>3135</v>
      </c>
      <c r="AK476">
        <v>10</v>
      </c>
      <c r="AL476" t="s">
        <v>32</v>
      </c>
      <c r="AM476" t="s">
        <v>2891</v>
      </c>
      <c r="AN476" t="s">
        <v>2892</v>
      </c>
    </row>
    <row r="477" spans="1:40">
      <c r="A477" t="s">
        <v>2893</v>
      </c>
      <c r="B477" t="s">
        <v>34</v>
      </c>
      <c r="C477" t="s">
        <v>2854</v>
      </c>
      <c r="D477" t="s">
        <v>2855</v>
      </c>
      <c r="E477" s="1">
        <v>46062.543310185189</v>
      </c>
      <c r="F477" t="s">
        <v>171</v>
      </c>
      <c r="G477" t="s">
        <v>776</v>
      </c>
      <c r="H477" t="s">
        <v>3665</v>
      </c>
      <c r="I477" t="s">
        <v>2894</v>
      </c>
      <c r="J477" t="s">
        <v>1219</v>
      </c>
      <c r="K477" t="s">
        <v>134</v>
      </c>
      <c r="M477" t="s">
        <v>3529</v>
      </c>
      <c r="O477" t="s">
        <v>3099</v>
      </c>
      <c r="P477" t="s">
        <v>3100</v>
      </c>
      <c r="R477" t="s">
        <v>46</v>
      </c>
      <c r="S477" t="s">
        <v>2523</v>
      </c>
      <c r="T477" t="s">
        <v>2524</v>
      </c>
      <c r="U477" s="1">
        <v>46077.497453703705</v>
      </c>
      <c r="V477" t="s">
        <v>31</v>
      </c>
      <c r="W477" t="s">
        <v>33</v>
      </c>
      <c r="X477" t="s">
        <v>3525</v>
      </c>
      <c r="Y477" t="s">
        <v>3473</v>
      </c>
      <c r="Z477" t="s">
        <v>38</v>
      </c>
      <c r="AA477" t="s">
        <v>31</v>
      </c>
      <c r="AB477" t="s">
        <v>227</v>
      </c>
      <c r="AC477" t="s">
        <v>30</v>
      </c>
      <c r="AD477" t="s">
        <v>46</v>
      </c>
      <c r="AE477" t="s">
        <v>2523</v>
      </c>
      <c r="AF477" t="s">
        <v>2524</v>
      </c>
      <c r="AG477" t="s">
        <v>38</v>
      </c>
      <c r="AH477">
        <v>15025</v>
      </c>
      <c r="AK477">
        <v>5</v>
      </c>
      <c r="AL477" t="s">
        <v>32</v>
      </c>
      <c r="AM477" t="s">
        <v>2856</v>
      </c>
      <c r="AN477" t="s">
        <v>2857</v>
      </c>
    </row>
    <row r="478" spans="1:40">
      <c r="A478" t="s">
        <v>2895</v>
      </c>
      <c r="B478" t="s">
        <v>34</v>
      </c>
      <c r="C478" t="s">
        <v>115</v>
      </c>
      <c r="D478" t="s">
        <v>2072</v>
      </c>
      <c r="E478" s="1">
        <v>46062.525752314818</v>
      </c>
      <c r="F478" t="s">
        <v>173</v>
      </c>
      <c r="G478" t="s">
        <v>776</v>
      </c>
      <c r="H478" t="s">
        <v>3666</v>
      </c>
      <c r="I478" t="s">
        <v>2896</v>
      </c>
      <c r="J478" t="s">
        <v>1301</v>
      </c>
      <c r="K478" t="s">
        <v>134</v>
      </c>
      <c r="M478" t="s">
        <v>3526</v>
      </c>
      <c r="O478" t="s">
        <v>3096</v>
      </c>
      <c r="P478" t="s">
        <v>3097</v>
      </c>
      <c r="Q478" t="s">
        <v>3730</v>
      </c>
      <c r="R478" t="s">
        <v>46</v>
      </c>
      <c r="S478" t="s">
        <v>2523</v>
      </c>
      <c r="T478" t="s">
        <v>2524</v>
      </c>
      <c r="U478" s="1">
        <v>46076.386180555557</v>
      </c>
      <c r="V478" t="s">
        <v>180</v>
      </c>
      <c r="W478" t="s">
        <v>33</v>
      </c>
      <c r="X478" t="s">
        <v>3525</v>
      </c>
      <c r="Y478" t="s">
        <v>3474</v>
      </c>
      <c r="Z478" t="s">
        <v>38</v>
      </c>
      <c r="AA478" t="s">
        <v>180</v>
      </c>
      <c r="AB478" t="s">
        <v>243</v>
      </c>
      <c r="AC478" t="s">
        <v>37</v>
      </c>
      <c r="AD478" t="s">
        <v>46</v>
      </c>
      <c r="AE478" t="s">
        <v>2952</v>
      </c>
      <c r="AF478" t="s">
        <v>3475</v>
      </c>
      <c r="AG478" t="s">
        <v>38</v>
      </c>
      <c r="AH478">
        <v>10030</v>
      </c>
      <c r="AK478">
        <v>3</v>
      </c>
      <c r="AL478" t="s">
        <v>181</v>
      </c>
      <c r="AM478" t="s">
        <v>2073</v>
      </c>
      <c r="AN478" t="s">
        <v>2074</v>
      </c>
    </row>
    <row r="479" spans="1:40">
      <c r="A479" t="s">
        <v>2897</v>
      </c>
      <c r="B479" t="s">
        <v>24</v>
      </c>
      <c r="C479" t="s">
        <v>825</v>
      </c>
      <c r="D479" t="s">
        <v>1580</v>
      </c>
      <c r="E479" s="1">
        <v>46062.512835648151</v>
      </c>
      <c r="F479" t="s">
        <v>117</v>
      </c>
      <c r="G479" t="s">
        <v>776</v>
      </c>
      <c r="H479" t="s">
        <v>3668</v>
      </c>
      <c r="I479" t="s">
        <v>2898</v>
      </c>
      <c r="J479" t="s">
        <v>642</v>
      </c>
      <c r="K479" t="s">
        <v>134</v>
      </c>
      <c r="M479" t="s">
        <v>3528</v>
      </c>
      <c r="O479" t="s">
        <v>3103</v>
      </c>
      <c r="P479" t="s">
        <v>3104</v>
      </c>
      <c r="Q479" t="s">
        <v>3678</v>
      </c>
      <c r="R479" t="s">
        <v>162</v>
      </c>
      <c r="S479" t="s">
        <v>163</v>
      </c>
      <c r="T479" t="s">
        <v>164</v>
      </c>
      <c r="U479" s="1">
        <v>46072.382152777776</v>
      </c>
      <c r="V479" t="s">
        <v>31</v>
      </c>
      <c r="W479" t="s">
        <v>33</v>
      </c>
      <c r="X479" t="s">
        <v>3536</v>
      </c>
      <c r="Y479" t="s">
        <v>3476</v>
      </c>
      <c r="Z479" t="s">
        <v>1775</v>
      </c>
      <c r="AA479" t="s">
        <v>31</v>
      </c>
      <c r="AB479" t="s">
        <v>104</v>
      </c>
      <c r="AC479" t="s">
        <v>86</v>
      </c>
      <c r="AD479" t="s">
        <v>46</v>
      </c>
      <c r="AE479" t="s">
        <v>188</v>
      </c>
      <c r="AF479" t="s">
        <v>521</v>
      </c>
      <c r="AG479" t="s">
        <v>1775</v>
      </c>
      <c r="AH479">
        <v>15920</v>
      </c>
      <c r="AK479">
        <v>2</v>
      </c>
      <c r="AL479" t="s">
        <v>32</v>
      </c>
      <c r="AM479" t="s">
        <v>1581</v>
      </c>
      <c r="AN479" t="s">
        <v>1582</v>
      </c>
    </row>
    <row r="480" spans="1:40">
      <c r="A480" t="s">
        <v>2899</v>
      </c>
      <c r="B480" t="s">
        <v>34</v>
      </c>
      <c r="C480" t="s">
        <v>65</v>
      </c>
      <c r="D480" t="s">
        <v>2900</v>
      </c>
      <c r="E480" s="1">
        <v>46062.487557870372</v>
      </c>
      <c r="F480" t="s">
        <v>298</v>
      </c>
      <c r="G480" t="s">
        <v>776</v>
      </c>
      <c r="H480" t="s">
        <v>3669</v>
      </c>
      <c r="I480" t="s">
        <v>345</v>
      </c>
      <c r="J480" t="s">
        <v>494</v>
      </c>
      <c r="K480" t="s">
        <v>134</v>
      </c>
      <c r="M480" t="s">
        <v>3526</v>
      </c>
      <c r="O480" t="s">
        <v>3099</v>
      </c>
      <c r="P480" t="s">
        <v>3100</v>
      </c>
      <c r="Q480" t="s">
        <v>3678</v>
      </c>
      <c r="R480" t="s">
        <v>162</v>
      </c>
      <c r="S480" t="s">
        <v>163</v>
      </c>
      <c r="T480" t="s">
        <v>164</v>
      </c>
      <c r="U480" s="1">
        <v>46076.717604166668</v>
      </c>
      <c r="V480" t="s">
        <v>31</v>
      </c>
      <c r="W480" t="s">
        <v>33</v>
      </c>
      <c r="X480" t="s">
        <v>3536</v>
      </c>
      <c r="Y480" t="e">
        <f>- the new Monitor has been deployed and installed successfully. - CMDB updated.</f>
        <v>#NAME?</v>
      </c>
      <c r="Z480" t="s">
        <v>38</v>
      </c>
      <c r="AA480" t="s">
        <v>31</v>
      </c>
      <c r="AB480" t="s">
        <v>104</v>
      </c>
      <c r="AC480" t="s">
        <v>30</v>
      </c>
      <c r="AD480" t="s">
        <v>46</v>
      </c>
      <c r="AE480" t="s">
        <v>365</v>
      </c>
      <c r="AF480" t="s">
        <v>366</v>
      </c>
      <c r="AG480" t="s">
        <v>38</v>
      </c>
      <c r="AH480">
        <v>13827</v>
      </c>
      <c r="AI480" t="s">
        <v>3762</v>
      </c>
      <c r="AJ480">
        <v>191676</v>
      </c>
      <c r="AK480">
        <v>13</v>
      </c>
      <c r="AL480" t="s">
        <v>32</v>
      </c>
      <c r="AM480" t="s">
        <v>2901</v>
      </c>
      <c r="AN480" t="s">
        <v>2902</v>
      </c>
    </row>
    <row r="481" spans="1:40">
      <c r="A481" t="s">
        <v>2903</v>
      </c>
      <c r="B481" t="s">
        <v>34</v>
      </c>
      <c r="C481" t="s">
        <v>2904</v>
      </c>
      <c r="D481" t="s">
        <v>2905</v>
      </c>
      <c r="E481" s="1">
        <v>46062.48228009259</v>
      </c>
      <c r="F481" t="s">
        <v>702</v>
      </c>
      <c r="G481" t="s">
        <v>776</v>
      </c>
      <c r="H481" t="s">
        <v>3670</v>
      </c>
      <c r="I481" t="s">
        <v>2906</v>
      </c>
      <c r="J481" t="s">
        <v>273</v>
      </c>
      <c r="K481" t="s">
        <v>134</v>
      </c>
      <c r="M481" t="s">
        <v>3526</v>
      </c>
      <c r="O481" t="s">
        <v>3099</v>
      </c>
      <c r="P481" t="s">
        <v>3100</v>
      </c>
      <c r="Q481" t="s">
        <v>3723</v>
      </c>
      <c r="R481" t="s">
        <v>46</v>
      </c>
      <c r="S481" t="s">
        <v>1353</v>
      </c>
      <c r="T481" t="s">
        <v>95</v>
      </c>
      <c r="U481" s="1">
        <v>46076.519884259258</v>
      </c>
      <c r="V481" t="s">
        <v>31</v>
      </c>
      <c r="W481" t="s">
        <v>33</v>
      </c>
      <c r="X481" t="s">
        <v>3536</v>
      </c>
      <c r="Y481" t="s">
        <v>3477</v>
      </c>
      <c r="Z481" t="s">
        <v>38</v>
      </c>
      <c r="AA481" t="s">
        <v>31</v>
      </c>
      <c r="AB481" t="s">
        <v>104</v>
      </c>
      <c r="AC481" t="s">
        <v>30</v>
      </c>
      <c r="AD481" t="s">
        <v>46</v>
      </c>
      <c r="AE481" t="s">
        <v>1353</v>
      </c>
      <c r="AF481" t="s">
        <v>95</v>
      </c>
      <c r="AG481" t="s">
        <v>38</v>
      </c>
      <c r="AH481">
        <v>2839</v>
      </c>
      <c r="AJ481">
        <v>191579</v>
      </c>
      <c r="AK481">
        <v>12</v>
      </c>
      <c r="AL481" t="s">
        <v>32</v>
      </c>
      <c r="AM481" t="s">
        <v>2907</v>
      </c>
      <c r="AN481" t="s">
        <v>2908</v>
      </c>
    </row>
    <row r="482" spans="1:40">
      <c r="A482" t="s">
        <v>2909</v>
      </c>
      <c r="B482" t="s">
        <v>34</v>
      </c>
      <c r="C482" t="s">
        <v>115</v>
      </c>
      <c r="D482" t="s">
        <v>1292</v>
      </c>
      <c r="E482" s="1">
        <v>46062.434479166666</v>
      </c>
      <c r="F482" t="s">
        <v>265</v>
      </c>
      <c r="G482" t="s">
        <v>776</v>
      </c>
      <c r="H482" t="s">
        <v>3671</v>
      </c>
      <c r="I482" t="s">
        <v>252</v>
      </c>
      <c r="J482" t="s">
        <v>273</v>
      </c>
      <c r="K482" t="s">
        <v>134</v>
      </c>
      <c r="M482" t="s">
        <v>3526</v>
      </c>
      <c r="O482" t="s">
        <v>3099</v>
      </c>
      <c r="P482" t="s">
        <v>3100</v>
      </c>
      <c r="Q482" t="s">
        <v>3678</v>
      </c>
      <c r="R482" t="s">
        <v>46</v>
      </c>
      <c r="S482" t="s">
        <v>515</v>
      </c>
      <c r="T482" t="s">
        <v>2177</v>
      </c>
      <c r="U482" s="1">
        <v>46077.317731481482</v>
      </c>
      <c r="V482" t="s">
        <v>31</v>
      </c>
      <c r="W482" t="s">
        <v>33</v>
      </c>
      <c r="X482" t="s">
        <v>3536</v>
      </c>
      <c r="Y482" t="s">
        <v>3478</v>
      </c>
      <c r="Z482" t="s">
        <v>38</v>
      </c>
      <c r="AA482" t="s">
        <v>31</v>
      </c>
      <c r="AB482" t="s">
        <v>104</v>
      </c>
      <c r="AC482" t="s">
        <v>30</v>
      </c>
      <c r="AD482" t="s">
        <v>46</v>
      </c>
      <c r="AE482" t="s">
        <v>515</v>
      </c>
      <c r="AF482" t="s">
        <v>618</v>
      </c>
      <c r="AG482" t="s">
        <v>38</v>
      </c>
      <c r="AH482">
        <v>15792</v>
      </c>
      <c r="AK482">
        <v>14</v>
      </c>
      <c r="AL482" t="s">
        <v>32</v>
      </c>
      <c r="AM482" t="s">
        <v>1293</v>
      </c>
      <c r="AN482" t="s">
        <v>1294</v>
      </c>
    </row>
    <row r="483" spans="1:40">
      <c r="A483" t="s">
        <v>2910</v>
      </c>
      <c r="B483" t="s">
        <v>24</v>
      </c>
      <c r="C483" t="s">
        <v>194</v>
      </c>
      <c r="D483" t="s">
        <v>195</v>
      </c>
      <c r="E483" s="1">
        <v>46062.409837962965</v>
      </c>
      <c r="F483" t="s">
        <v>101</v>
      </c>
      <c r="G483" t="s">
        <v>776</v>
      </c>
      <c r="H483" t="s">
        <v>3667</v>
      </c>
      <c r="I483" t="s">
        <v>196</v>
      </c>
      <c r="J483" t="s">
        <v>205</v>
      </c>
      <c r="K483" t="s">
        <v>44</v>
      </c>
      <c r="M483" t="s">
        <v>3526</v>
      </c>
      <c r="O483" t="s">
        <v>3103</v>
      </c>
      <c r="P483" t="s">
        <v>3104</v>
      </c>
      <c r="Q483" t="s">
        <v>3678</v>
      </c>
      <c r="R483" t="s">
        <v>46</v>
      </c>
      <c r="S483" t="s">
        <v>197</v>
      </c>
      <c r="T483" t="s">
        <v>198</v>
      </c>
      <c r="U483" s="1">
        <v>46077.345011574071</v>
      </c>
      <c r="V483" t="s">
        <v>31</v>
      </c>
      <c r="W483" t="s">
        <v>33</v>
      </c>
      <c r="X483" t="s">
        <v>3530</v>
      </c>
      <c r="Y483" t="s">
        <v>3479</v>
      </c>
      <c r="Z483" t="s">
        <v>38</v>
      </c>
      <c r="AA483" t="s">
        <v>31</v>
      </c>
      <c r="AB483" t="s">
        <v>206</v>
      </c>
      <c r="AC483" t="s">
        <v>86</v>
      </c>
      <c r="AD483" t="s">
        <v>46</v>
      </c>
      <c r="AE483" t="s">
        <v>197</v>
      </c>
      <c r="AF483" t="s">
        <v>198</v>
      </c>
      <c r="AG483" t="s">
        <v>38</v>
      </c>
      <c r="AH483">
        <v>14725</v>
      </c>
      <c r="AK483">
        <v>4</v>
      </c>
      <c r="AL483" t="s">
        <v>32</v>
      </c>
      <c r="AM483" t="s">
        <v>199</v>
      </c>
      <c r="AN483" t="s">
        <v>200</v>
      </c>
    </row>
    <row r="484" spans="1:40">
      <c r="A484" t="s">
        <v>2911</v>
      </c>
      <c r="B484" t="s">
        <v>34</v>
      </c>
      <c r="C484" t="s">
        <v>577</v>
      </c>
      <c r="D484" t="s">
        <v>465</v>
      </c>
      <c r="E484" s="1">
        <v>46062.374895833331</v>
      </c>
      <c r="F484" t="s">
        <v>132</v>
      </c>
      <c r="G484" t="s">
        <v>776</v>
      </c>
      <c r="H484" t="s">
        <v>3665</v>
      </c>
      <c r="I484" t="s">
        <v>2912</v>
      </c>
      <c r="J484" t="s">
        <v>817</v>
      </c>
      <c r="K484" t="s">
        <v>134</v>
      </c>
      <c r="M484" t="s">
        <v>3526</v>
      </c>
      <c r="O484" t="s">
        <v>3099</v>
      </c>
      <c r="P484" t="s">
        <v>3100</v>
      </c>
      <c r="Q484" t="s">
        <v>3705</v>
      </c>
      <c r="R484" t="s">
        <v>162</v>
      </c>
      <c r="S484" t="s">
        <v>163</v>
      </c>
      <c r="T484" t="s">
        <v>164</v>
      </c>
      <c r="U484" s="1">
        <v>46077.434467592589</v>
      </c>
      <c r="V484" t="s">
        <v>31</v>
      </c>
      <c r="W484" t="s">
        <v>33</v>
      </c>
      <c r="X484" t="s">
        <v>3536</v>
      </c>
      <c r="Y484" t="s">
        <v>3480</v>
      </c>
      <c r="Z484" t="s">
        <v>38</v>
      </c>
      <c r="AA484" t="s">
        <v>31</v>
      </c>
      <c r="AB484" t="s">
        <v>104</v>
      </c>
      <c r="AC484" t="s">
        <v>30</v>
      </c>
      <c r="AD484" t="s">
        <v>46</v>
      </c>
      <c r="AE484" t="s">
        <v>659</v>
      </c>
      <c r="AF484" t="s">
        <v>3481</v>
      </c>
      <c r="AG484" t="s">
        <v>38</v>
      </c>
      <c r="AH484">
        <v>10239</v>
      </c>
      <c r="AJ484" t="s">
        <v>2913</v>
      </c>
      <c r="AK484">
        <v>21</v>
      </c>
      <c r="AL484" t="s">
        <v>32</v>
      </c>
      <c r="AM484" t="s">
        <v>2914</v>
      </c>
      <c r="AN484" t="s">
        <v>2915</v>
      </c>
    </row>
    <row r="485" spans="1:40">
      <c r="A485" t="s">
        <v>2916</v>
      </c>
      <c r="B485" t="s">
        <v>34</v>
      </c>
      <c r="C485" t="s">
        <v>285</v>
      </c>
      <c r="D485" t="s">
        <v>2917</v>
      </c>
      <c r="E485" s="1">
        <v>46062.375</v>
      </c>
      <c r="F485" t="s">
        <v>161</v>
      </c>
      <c r="G485" t="s">
        <v>776</v>
      </c>
      <c r="H485" t="s">
        <v>3667</v>
      </c>
      <c r="I485" t="s">
        <v>2918</v>
      </c>
      <c r="J485" t="s">
        <v>1219</v>
      </c>
      <c r="K485" t="s">
        <v>134</v>
      </c>
      <c r="M485" t="s">
        <v>3529</v>
      </c>
      <c r="O485" t="s">
        <v>3099</v>
      </c>
      <c r="P485" t="s">
        <v>3100</v>
      </c>
      <c r="Q485" t="s">
        <v>3678</v>
      </c>
      <c r="R485" t="s">
        <v>46</v>
      </c>
      <c r="S485" t="s">
        <v>2523</v>
      </c>
      <c r="T485" t="s">
        <v>2524</v>
      </c>
      <c r="U485" s="1">
        <v>46078.405914351853</v>
      </c>
      <c r="V485" t="s">
        <v>31</v>
      </c>
      <c r="W485" t="s">
        <v>33</v>
      </c>
      <c r="X485" t="s">
        <v>3525</v>
      </c>
      <c r="Y485" t="s">
        <v>3482</v>
      </c>
      <c r="Z485" t="s">
        <v>38</v>
      </c>
      <c r="AA485" t="s">
        <v>31</v>
      </c>
      <c r="AB485" t="s">
        <v>1137</v>
      </c>
      <c r="AC485" t="s">
        <v>30</v>
      </c>
      <c r="AD485" t="s">
        <v>46</v>
      </c>
      <c r="AE485" t="s">
        <v>2523</v>
      </c>
      <c r="AF485" t="s">
        <v>2524</v>
      </c>
      <c r="AG485" t="s">
        <v>38</v>
      </c>
      <c r="AH485">
        <v>12306</v>
      </c>
      <c r="AK485">
        <v>6</v>
      </c>
      <c r="AL485" t="s">
        <v>32</v>
      </c>
      <c r="AM485" t="s">
        <v>2919</v>
      </c>
      <c r="AN485" t="s">
        <v>2920</v>
      </c>
    </row>
    <row r="486" spans="1:40">
      <c r="A486" t="s">
        <v>2921</v>
      </c>
      <c r="B486" t="s">
        <v>34</v>
      </c>
      <c r="C486" t="s">
        <v>123</v>
      </c>
      <c r="D486" t="s">
        <v>1695</v>
      </c>
      <c r="E486" s="1">
        <v>46062.337731481479</v>
      </c>
      <c r="F486" t="s">
        <v>62</v>
      </c>
      <c r="G486" t="s">
        <v>776</v>
      </c>
      <c r="H486" t="s">
        <v>3668</v>
      </c>
      <c r="I486" t="s">
        <v>2922</v>
      </c>
      <c r="J486" t="s">
        <v>320</v>
      </c>
      <c r="K486" t="s">
        <v>134</v>
      </c>
      <c r="M486" t="s">
        <v>3526</v>
      </c>
      <c r="O486" t="s">
        <v>3099</v>
      </c>
      <c r="P486" t="s">
        <v>3100</v>
      </c>
      <c r="Q486" t="s">
        <v>3678</v>
      </c>
      <c r="R486" t="s">
        <v>162</v>
      </c>
      <c r="S486" t="s">
        <v>163</v>
      </c>
      <c r="T486" t="s">
        <v>164</v>
      </c>
      <c r="U486" s="1">
        <v>46076.353090277778</v>
      </c>
      <c r="V486" t="s">
        <v>31</v>
      </c>
      <c r="W486" t="s">
        <v>33</v>
      </c>
      <c r="X486" t="s">
        <v>3536</v>
      </c>
      <c r="Y486" t="s">
        <v>3483</v>
      </c>
      <c r="Z486" t="s">
        <v>38</v>
      </c>
      <c r="AA486" t="s">
        <v>31</v>
      </c>
      <c r="AB486" t="s">
        <v>104</v>
      </c>
      <c r="AC486" t="s">
        <v>30</v>
      </c>
      <c r="AD486" t="s">
        <v>46</v>
      </c>
      <c r="AE486" t="s">
        <v>3374</v>
      </c>
      <c r="AF486" t="s">
        <v>3373</v>
      </c>
      <c r="AG486" t="s">
        <v>38</v>
      </c>
      <c r="AH486" t="s">
        <v>3617</v>
      </c>
      <c r="AJ486">
        <v>191526</v>
      </c>
      <c r="AK486">
        <v>8</v>
      </c>
      <c r="AL486" t="s">
        <v>32</v>
      </c>
      <c r="AM486" t="s">
        <v>1696</v>
      </c>
      <c r="AN486" t="s">
        <v>1697</v>
      </c>
    </row>
    <row r="487" spans="1:40">
      <c r="A487" t="s">
        <v>2923</v>
      </c>
      <c r="B487" t="s">
        <v>34</v>
      </c>
      <c r="C487" t="s">
        <v>391</v>
      </c>
      <c r="D487" t="s">
        <v>2924</v>
      </c>
      <c r="E487" s="1">
        <v>46062.334606481483</v>
      </c>
      <c r="F487" t="s">
        <v>153</v>
      </c>
      <c r="G487" t="s">
        <v>776</v>
      </c>
      <c r="H487" t="s">
        <v>3669</v>
      </c>
      <c r="I487" t="s">
        <v>252</v>
      </c>
      <c r="J487" t="s">
        <v>2157</v>
      </c>
      <c r="K487" t="s">
        <v>134</v>
      </c>
      <c r="M487" t="s">
        <v>3526</v>
      </c>
      <c r="O487" t="s">
        <v>3099</v>
      </c>
      <c r="P487" t="s">
        <v>3100</v>
      </c>
      <c r="Q487" t="s">
        <v>3734</v>
      </c>
      <c r="R487" t="s">
        <v>46</v>
      </c>
      <c r="S487" t="s">
        <v>515</v>
      </c>
      <c r="T487" t="s">
        <v>2177</v>
      </c>
      <c r="U487" s="1">
        <v>46078.404733796298</v>
      </c>
      <c r="V487" t="s">
        <v>31</v>
      </c>
      <c r="W487" t="s">
        <v>33</v>
      </c>
      <c r="X487" t="s">
        <v>3536</v>
      </c>
      <c r="Y487" t="s">
        <v>3484</v>
      </c>
      <c r="Z487" t="s">
        <v>38</v>
      </c>
      <c r="AA487" t="s">
        <v>31</v>
      </c>
      <c r="AB487" t="s">
        <v>104</v>
      </c>
      <c r="AC487" t="s">
        <v>30</v>
      </c>
      <c r="AD487" t="s">
        <v>46</v>
      </c>
      <c r="AE487" t="s">
        <v>515</v>
      </c>
      <c r="AF487" t="s">
        <v>2177</v>
      </c>
      <c r="AG487" t="s">
        <v>38</v>
      </c>
      <c r="AH487">
        <v>2489</v>
      </c>
      <c r="AK487">
        <v>15</v>
      </c>
      <c r="AL487" t="s">
        <v>32</v>
      </c>
      <c r="AM487" t="s">
        <v>2925</v>
      </c>
      <c r="AN487" t="s">
        <v>2926</v>
      </c>
    </row>
    <row r="488" spans="1:40">
      <c r="A488" t="s">
        <v>2927</v>
      </c>
      <c r="B488" t="s">
        <v>34</v>
      </c>
      <c r="C488" t="s">
        <v>2088</v>
      </c>
      <c r="D488" t="s">
        <v>2928</v>
      </c>
      <c r="E488" s="1">
        <v>46059.966921296298</v>
      </c>
      <c r="F488" t="s">
        <v>242</v>
      </c>
      <c r="G488" t="s">
        <v>776</v>
      </c>
      <c r="H488" t="s">
        <v>3671</v>
      </c>
      <c r="I488" t="s">
        <v>2929</v>
      </c>
      <c r="J488" t="s">
        <v>514</v>
      </c>
      <c r="K488" t="s">
        <v>44</v>
      </c>
      <c r="M488" t="s">
        <v>3526</v>
      </c>
      <c r="O488" t="s">
        <v>3099</v>
      </c>
      <c r="P488" t="s">
        <v>3100</v>
      </c>
      <c r="Q488" t="s">
        <v>3678</v>
      </c>
      <c r="R488" t="s">
        <v>46</v>
      </c>
      <c r="S488" t="s">
        <v>348</v>
      </c>
      <c r="T488" t="s">
        <v>506</v>
      </c>
      <c r="U488" s="1">
        <v>46077.420752314814</v>
      </c>
      <c r="V488" t="s">
        <v>31</v>
      </c>
      <c r="W488" t="s">
        <v>33</v>
      </c>
      <c r="X488" t="s">
        <v>3530</v>
      </c>
      <c r="Y488" t="s">
        <v>3485</v>
      </c>
      <c r="Z488" t="s">
        <v>38</v>
      </c>
      <c r="AA488" t="s">
        <v>31</v>
      </c>
      <c r="AB488" t="s">
        <v>399</v>
      </c>
      <c r="AC488" t="s">
        <v>30</v>
      </c>
      <c r="AD488" t="s">
        <v>46</v>
      </c>
      <c r="AE488" t="s">
        <v>348</v>
      </c>
      <c r="AF488" t="s">
        <v>506</v>
      </c>
      <c r="AG488" t="s">
        <v>38</v>
      </c>
      <c r="AH488">
        <v>12681</v>
      </c>
      <c r="AK488">
        <v>9</v>
      </c>
      <c r="AL488" t="s">
        <v>32</v>
      </c>
      <c r="AM488" t="s">
        <v>2930</v>
      </c>
      <c r="AN488" t="s">
        <v>2931</v>
      </c>
    </row>
    <row r="489" spans="1:40">
      <c r="A489" t="s">
        <v>2932</v>
      </c>
      <c r="B489" t="s">
        <v>34</v>
      </c>
      <c r="C489" t="s">
        <v>334</v>
      </c>
      <c r="D489" t="s">
        <v>335</v>
      </c>
      <c r="E489" s="1">
        <v>46059.58221064815</v>
      </c>
      <c r="F489" t="s">
        <v>336</v>
      </c>
      <c r="G489" t="s">
        <v>776</v>
      </c>
      <c r="H489" t="s">
        <v>3668</v>
      </c>
      <c r="I489" t="s">
        <v>2933</v>
      </c>
      <c r="J489" t="s">
        <v>179</v>
      </c>
      <c r="K489" t="s">
        <v>44</v>
      </c>
      <c r="M489" t="s">
        <v>3528</v>
      </c>
      <c r="O489" t="s">
        <v>3099</v>
      </c>
      <c r="P489" t="s">
        <v>3100</v>
      </c>
      <c r="Q489" t="s">
        <v>3678</v>
      </c>
      <c r="R489" t="s">
        <v>46</v>
      </c>
      <c r="S489" t="s">
        <v>751</v>
      </c>
      <c r="T489" t="s">
        <v>752</v>
      </c>
      <c r="U489" s="1">
        <v>46072.491863425923</v>
      </c>
      <c r="V489" t="s">
        <v>31</v>
      </c>
      <c r="W489" t="s">
        <v>33</v>
      </c>
      <c r="X489" t="s">
        <v>3525</v>
      </c>
      <c r="Y489" t="s">
        <v>3486</v>
      </c>
      <c r="Z489" t="s">
        <v>1775</v>
      </c>
      <c r="AA489" t="s">
        <v>31</v>
      </c>
      <c r="AB489" t="s">
        <v>243</v>
      </c>
      <c r="AC489" t="s">
        <v>30</v>
      </c>
      <c r="AD489" t="s">
        <v>46</v>
      </c>
      <c r="AE489" t="s">
        <v>751</v>
      </c>
      <c r="AF489" t="s">
        <v>752</v>
      </c>
      <c r="AG489" t="s">
        <v>1775</v>
      </c>
      <c r="AK489">
        <v>1</v>
      </c>
      <c r="AL489" t="s">
        <v>32</v>
      </c>
      <c r="AM489" t="s">
        <v>339</v>
      </c>
      <c r="AN489" t="s">
        <v>340</v>
      </c>
    </row>
    <row r="490" spans="1:40">
      <c r="A490" t="s">
        <v>2934</v>
      </c>
      <c r="B490" t="s">
        <v>34</v>
      </c>
      <c r="C490" t="s">
        <v>509</v>
      </c>
      <c r="D490" t="s">
        <v>357</v>
      </c>
      <c r="E490" s="1">
        <v>46059.577627314815</v>
      </c>
      <c r="F490" t="s">
        <v>702</v>
      </c>
      <c r="G490" t="s">
        <v>776</v>
      </c>
      <c r="H490" t="s">
        <v>3670</v>
      </c>
      <c r="I490" t="s">
        <v>1222</v>
      </c>
      <c r="J490" t="s">
        <v>273</v>
      </c>
      <c r="K490" t="s">
        <v>134</v>
      </c>
      <c r="M490" t="s">
        <v>3526</v>
      </c>
      <c r="O490" t="s">
        <v>3099</v>
      </c>
      <c r="P490" t="s">
        <v>3100</v>
      </c>
      <c r="Q490" t="s">
        <v>3678</v>
      </c>
      <c r="R490" t="s">
        <v>46</v>
      </c>
      <c r="S490" t="s">
        <v>94</v>
      </c>
      <c r="T490" t="s">
        <v>95</v>
      </c>
      <c r="U490" s="1">
        <v>46076.400925925926</v>
      </c>
      <c r="V490" t="s">
        <v>31</v>
      </c>
      <c r="W490" t="s">
        <v>33</v>
      </c>
      <c r="X490" t="s">
        <v>3525</v>
      </c>
      <c r="Y490" t="s">
        <v>3470</v>
      </c>
      <c r="Z490" t="s">
        <v>38</v>
      </c>
      <c r="AA490" t="s">
        <v>31</v>
      </c>
      <c r="AB490" t="s">
        <v>243</v>
      </c>
      <c r="AC490" t="s">
        <v>30</v>
      </c>
      <c r="AD490" t="s">
        <v>46</v>
      </c>
      <c r="AE490" t="s">
        <v>3374</v>
      </c>
      <c r="AF490" t="s">
        <v>3373</v>
      </c>
      <c r="AG490" t="s">
        <v>38</v>
      </c>
      <c r="AH490">
        <v>11464</v>
      </c>
      <c r="AJ490">
        <v>191523</v>
      </c>
      <c r="AK490">
        <v>7</v>
      </c>
      <c r="AL490" t="s">
        <v>32</v>
      </c>
      <c r="AM490" t="s">
        <v>2935</v>
      </c>
      <c r="AN490" t="s">
        <v>2936</v>
      </c>
    </row>
    <row r="491" spans="1:40">
      <c r="A491" t="s">
        <v>2937</v>
      </c>
      <c r="B491" t="s">
        <v>34</v>
      </c>
      <c r="C491" t="s">
        <v>2938</v>
      </c>
      <c r="D491" t="s">
        <v>2939</v>
      </c>
      <c r="E491" s="1">
        <v>46059.573807870373</v>
      </c>
      <c r="F491" t="s">
        <v>265</v>
      </c>
      <c r="G491" t="s">
        <v>776</v>
      </c>
      <c r="H491" t="s">
        <v>3671</v>
      </c>
      <c r="I491" t="s">
        <v>1222</v>
      </c>
      <c r="J491" t="s">
        <v>273</v>
      </c>
      <c r="K491" t="s">
        <v>134</v>
      </c>
      <c r="M491" t="s">
        <v>3526</v>
      </c>
      <c r="O491" t="s">
        <v>3099</v>
      </c>
      <c r="P491" t="s">
        <v>3100</v>
      </c>
      <c r="Q491" t="s">
        <v>3708</v>
      </c>
      <c r="R491" t="s">
        <v>46</v>
      </c>
      <c r="S491" t="s">
        <v>94</v>
      </c>
      <c r="T491" t="s">
        <v>95</v>
      </c>
      <c r="U491" s="1">
        <v>46076.400439814817</v>
      </c>
      <c r="V491" t="s">
        <v>31</v>
      </c>
      <c r="W491" t="s">
        <v>33</v>
      </c>
      <c r="X491" t="s">
        <v>3525</v>
      </c>
      <c r="Y491" t="s">
        <v>3470</v>
      </c>
      <c r="Z491" t="s">
        <v>38</v>
      </c>
      <c r="AA491" t="s">
        <v>31</v>
      </c>
      <c r="AB491" t="s">
        <v>243</v>
      </c>
      <c r="AC491" t="s">
        <v>30</v>
      </c>
      <c r="AD491" t="s">
        <v>46</v>
      </c>
      <c r="AE491" t="s">
        <v>3374</v>
      </c>
      <c r="AF491" t="s">
        <v>3373</v>
      </c>
      <c r="AG491" t="s">
        <v>38</v>
      </c>
      <c r="AH491">
        <v>10395</v>
      </c>
      <c r="AJ491">
        <v>191525</v>
      </c>
      <c r="AK491">
        <v>10</v>
      </c>
      <c r="AL491" t="s">
        <v>181</v>
      </c>
      <c r="AM491" t="s">
        <v>2940</v>
      </c>
      <c r="AN491" t="s">
        <v>2941</v>
      </c>
    </row>
    <row r="492" spans="1:40">
      <c r="A492" t="s">
        <v>2942</v>
      </c>
      <c r="B492" t="s">
        <v>34</v>
      </c>
      <c r="C492" t="s">
        <v>1091</v>
      </c>
      <c r="D492" t="s">
        <v>1083</v>
      </c>
      <c r="E492" s="1">
        <v>46059.52270833333</v>
      </c>
      <c r="F492" t="s">
        <v>161</v>
      </c>
      <c r="G492" t="s">
        <v>776</v>
      </c>
      <c r="H492" t="s">
        <v>3667</v>
      </c>
      <c r="I492" t="s">
        <v>95</v>
      </c>
      <c r="J492" t="s">
        <v>1219</v>
      </c>
      <c r="K492" t="s">
        <v>134</v>
      </c>
      <c r="M492" t="s">
        <v>3529</v>
      </c>
      <c r="O492" t="s">
        <v>3099</v>
      </c>
      <c r="P492" t="s">
        <v>3100</v>
      </c>
      <c r="Q492" t="s">
        <v>3678</v>
      </c>
      <c r="R492" t="s">
        <v>162</v>
      </c>
      <c r="S492" t="s">
        <v>163</v>
      </c>
      <c r="T492" t="s">
        <v>164</v>
      </c>
      <c r="U492" s="1">
        <v>46076.351215277777</v>
      </c>
      <c r="V492" t="s">
        <v>31</v>
      </c>
      <c r="W492" t="s">
        <v>33</v>
      </c>
      <c r="X492" t="s">
        <v>3536</v>
      </c>
      <c r="Y492" t="s">
        <v>3372</v>
      </c>
      <c r="Z492" t="s">
        <v>38</v>
      </c>
      <c r="AA492" t="s">
        <v>31</v>
      </c>
      <c r="AB492" t="s">
        <v>104</v>
      </c>
      <c r="AC492" t="s">
        <v>30</v>
      </c>
      <c r="AD492" t="s">
        <v>46</v>
      </c>
      <c r="AE492" t="s">
        <v>94</v>
      </c>
      <c r="AF492" t="s">
        <v>95</v>
      </c>
      <c r="AG492" t="s">
        <v>38</v>
      </c>
      <c r="AH492">
        <v>15903</v>
      </c>
      <c r="AJ492">
        <v>191602</v>
      </c>
      <c r="AK492">
        <v>10</v>
      </c>
      <c r="AL492" t="s">
        <v>32</v>
      </c>
      <c r="AM492" t="s">
        <v>1093</v>
      </c>
      <c r="AN492" t="s">
        <v>1094</v>
      </c>
    </row>
    <row r="493" spans="1:40">
      <c r="A493" t="s">
        <v>2943</v>
      </c>
      <c r="B493" t="s">
        <v>34</v>
      </c>
      <c r="C493" t="s">
        <v>759</v>
      </c>
      <c r="D493" t="s">
        <v>848</v>
      </c>
      <c r="E493" s="1">
        <v>46059.377106481479</v>
      </c>
      <c r="F493" t="s">
        <v>150</v>
      </c>
      <c r="G493" t="s">
        <v>776</v>
      </c>
      <c r="H493" t="s">
        <v>3671</v>
      </c>
      <c r="I493" t="s">
        <v>252</v>
      </c>
      <c r="J493" t="s">
        <v>273</v>
      </c>
      <c r="K493" t="s">
        <v>134</v>
      </c>
      <c r="M493" t="s">
        <v>3528</v>
      </c>
      <c r="O493" t="s">
        <v>3099</v>
      </c>
      <c r="P493" t="s">
        <v>3100</v>
      </c>
      <c r="Q493" t="s">
        <v>3678</v>
      </c>
      <c r="R493" t="s">
        <v>46</v>
      </c>
      <c r="S493" t="s">
        <v>515</v>
      </c>
      <c r="T493" t="s">
        <v>2724</v>
      </c>
      <c r="U493" s="1">
        <v>46072.55027777778</v>
      </c>
      <c r="V493" t="s">
        <v>31</v>
      </c>
      <c r="W493" t="s">
        <v>33</v>
      </c>
      <c r="X493" t="s">
        <v>3536</v>
      </c>
      <c r="Y493" t="s">
        <v>3487</v>
      </c>
      <c r="Z493" t="s">
        <v>1775</v>
      </c>
      <c r="AA493" t="s">
        <v>31</v>
      </c>
      <c r="AB493" t="s">
        <v>104</v>
      </c>
      <c r="AC493" t="s">
        <v>30</v>
      </c>
      <c r="AD493" t="s">
        <v>46</v>
      </c>
      <c r="AE493" t="s">
        <v>515</v>
      </c>
      <c r="AF493" t="s">
        <v>3424</v>
      </c>
      <c r="AG493" t="s">
        <v>1775</v>
      </c>
      <c r="AH493">
        <v>15651</v>
      </c>
      <c r="AK493">
        <v>12</v>
      </c>
      <c r="AL493" t="s">
        <v>32</v>
      </c>
      <c r="AM493" t="s">
        <v>2944</v>
      </c>
      <c r="AN493" t="s">
        <v>2945</v>
      </c>
    </row>
    <row r="494" spans="1:40">
      <c r="A494" t="s">
        <v>2946</v>
      </c>
      <c r="B494" t="s">
        <v>34</v>
      </c>
      <c r="C494" t="s">
        <v>116</v>
      </c>
      <c r="D494" t="s">
        <v>2947</v>
      </c>
      <c r="E494" s="1">
        <v>46059.374641203707</v>
      </c>
      <c r="F494" t="s">
        <v>150</v>
      </c>
      <c r="G494" t="s">
        <v>776</v>
      </c>
      <c r="H494" t="s">
        <v>3671</v>
      </c>
      <c r="I494" t="s">
        <v>252</v>
      </c>
      <c r="J494" t="s">
        <v>273</v>
      </c>
      <c r="K494" t="s">
        <v>134</v>
      </c>
      <c r="M494" t="s">
        <v>3528</v>
      </c>
      <c r="O494" t="s">
        <v>3099</v>
      </c>
      <c r="P494" t="s">
        <v>3100</v>
      </c>
      <c r="Q494" t="s">
        <v>3694</v>
      </c>
      <c r="R494" t="s">
        <v>46</v>
      </c>
      <c r="S494" t="s">
        <v>515</v>
      </c>
      <c r="T494" t="s">
        <v>2177</v>
      </c>
      <c r="U494" s="1">
        <v>46072.378553240742</v>
      </c>
      <c r="V494" t="s">
        <v>31</v>
      </c>
      <c r="W494" t="s">
        <v>33</v>
      </c>
      <c r="X494" t="s">
        <v>3536</v>
      </c>
      <c r="Y494" t="s">
        <v>3488</v>
      </c>
      <c r="Z494" t="s">
        <v>1775</v>
      </c>
      <c r="AA494" t="s">
        <v>31</v>
      </c>
      <c r="AB494" t="s">
        <v>104</v>
      </c>
      <c r="AC494" t="s">
        <v>30</v>
      </c>
      <c r="AD494" t="s">
        <v>46</v>
      </c>
      <c r="AE494" t="s">
        <v>515</v>
      </c>
      <c r="AF494" t="s">
        <v>3424</v>
      </c>
      <c r="AG494" t="s">
        <v>1775</v>
      </c>
      <c r="AH494">
        <v>636</v>
      </c>
      <c r="AK494">
        <v>12</v>
      </c>
      <c r="AL494" t="s">
        <v>32</v>
      </c>
      <c r="AM494" t="s">
        <v>2948</v>
      </c>
      <c r="AN494" t="s">
        <v>2949</v>
      </c>
    </row>
    <row r="495" spans="1:40">
      <c r="A495" t="s">
        <v>2950</v>
      </c>
      <c r="B495" t="s">
        <v>34</v>
      </c>
      <c r="C495" t="s">
        <v>485</v>
      </c>
      <c r="D495" t="s">
        <v>1083</v>
      </c>
      <c r="E495" s="1">
        <v>46059.108495370368</v>
      </c>
      <c r="F495" t="s">
        <v>93</v>
      </c>
      <c r="G495" t="s">
        <v>776</v>
      </c>
      <c r="H495" t="s">
        <v>3666</v>
      </c>
      <c r="I495" t="s">
        <v>2951</v>
      </c>
      <c r="J495" t="s">
        <v>1301</v>
      </c>
      <c r="K495" t="s">
        <v>134</v>
      </c>
      <c r="M495" t="s">
        <v>3529</v>
      </c>
      <c r="O495" t="s">
        <v>3099</v>
      </c>
      <c r="P495" t="s">
        <v>3100</v>
      </c>
      <c r="Q495" t="s">
        <v>3726</v>
      </c>
      <c r="R495" t="s">
        <v>46</v>
      </c>
      <c r="S495" t="s">
        <v>2952</v>
      </c>
      <c r="T495" t="s">
        <v>2953</v>
      </c>
      <c r="U495" s="1">
        <v>46076.367129629631</v>
      </c>
      <c r="V495" t="s">
        <v>31</v>
      </c>
      <c r="W495" t="s">
        <v>33</v>
      </c>
      <c r="X495" t="s">
        <v>3525</v>
      </c>
      <c r="Y495" t="e">
        <f>- Asset has been returned. - CMDB updated.</f>
        <v>#NAME?</v>
      </c>
      <c r="Z495" t="s">
        <v>38</v>
      </c>
      <c r="AA495" t="s">
        <v>31</v>
      </c>
      <c r="AB495" t="s">
        <v>899</v>
      </c>
      <c r="AC495" t="s">
        <v>30</v>
      </c>
      <c r="AD495" t="s">
        <v>46</v>
      </c>
      <c r="AE495" t="s">
        <v>2952</v>
      </c>
      <c r="AF495" t="s">
        <v>3418</v>
      </c>
      <c r="AG495" t="s">
        <v>38</v>
      </c>
      <c r="AH495">
        <v>12318</v>
      </c>
      <c r="AJ495">
        <v>12471</v>
      </c>
      <c r="AK495">
        <v>10</v>
      </c>
      <c r="AL495" t="s">
        <v>32</v>
      </c>
      <c r="AM495" t="s">
        <v>2954</v>
      </c>
      <c r="AN495" t="s">
        <v>2955</v>
      </c>
    </row>
    <row r="496" spans="1:40">
      <c r="A496" t="s">
        <v>2956</v>
      </c>
      <c r="B496" t="s">
        <v>24</v>
      </c>
      <c r="C496" t="s">
        <v>53</v>
      </c>
      <c r="D496" t="s">
        <v>465</v>
      </c>
      <c r="E496" s="1">
        <v>46058.839143518519</v>
      </c>
      <c r="F496" t="s">
        <v>74</v>
      </c>
      <c r="G496" t="s">
        <v>776</v>
      </c>
      <c r="H496" t="s">
        <v>3665</v>
      </c>
      <c r="I496" t="s">
        <v>2957</v>
      </c>
      <c r="J496" t="s">
        <v>494</v>
      </c>
      <c r="K496" t="s">
        <v>134</v>
      </c>
      <c r="M496" t="s">
        <v>3528</v>
      </c>
      <c r="O496" t="s">
        <v>3103</v>
      </c>
      <c r="P496" t="s">
        <v>3104</v>
      </c>
      <c r="Q496" t="s">
        <v>3678</v>
      </c>
      <c r="R496" t="s">
        <v>162</v>
      </c>
      <c r="S496" t="s">
        <v>163</v>
      </c>
      <c r="T496" t="s">
        <v>164</v>
      </c>
      <c r="U496" s="1">
        <v>46072.425092592595</v>
      </c>
      <c r="V496" t="s">
        <v>31</v>
      </c>
      <c r="W496" t="s">
        <v>33</v>
      </c>
      <c r="X496" t="s">
        <v>3536</v>
      </c>
      <c r="Y496" t="e">
        <f>- A new windows image has been installed and configured on the user laptop. - issue has been resolved.</f>
        <v>#NAME?</v>
      </c>
      <c r="Z496" t="s">
        <v>1775</v>
      </c>
      <c r="AA496" t="s">
        <v>31</v>
      </c>
      <c r="AB496" t="s">
        <v>104</v>
      </c>
      <c r="AC496" t="s">
        <v>86</v>
      </c>
      <c r="AD496" t="s">
        <v>46</v>
      </c>
      <c r="AE496" t="s">
        <v>197</v>
      </c>
      <c r="AF496" t="s">
        <v>3117</v>
      </c>
      <c r="AG496" t="s">
        <v>1775</v>
      </c>
      <c r="AH496">
        <v>13396</v>
      </c>
      <c r="AK496">
        <v>8</v>
      </c>
      <c r="AL496" t="s">
        <v>32</v>
      </c>
      <c r="AM496" t="s">
        <v>2958</v>
      </c>
      <c r="AN496" t="s">
        <v>2959</v>
      </c>
    </row>
    <row r="497" spans="1:40">
      <c r="A497" t="s">
        <v>2960</v>
      </c>
      <c r="B497" t="s">
        <v>34</v>
      </c>
      <c r="C497" t="s">
        <v>2961</v>
      </c>
      <c r="D497" t="s">
        <v>2962</v>
      </c>
      <c r="E497" s="1">
        <v>46058.598958333336</v>
      </c>
      <c r="F497" t="s">
        <v>62</v>
      </c>
      <c r="G497" t="s">
        <v>776</v>
      </c>
      <c r="H497" t="s">
        <v>3668</v>
      </c>
      <c r="I497" t="s">
        <v>2963</v>
      </c>
      <c r="J497" t="s">
        <v>642</v>
      </c>
      <c r="K497" t="s">
        <v>134</v>
      </c>
      <c r="M497" t="s">
        <v>3526</v>
      </c>
      <c r="O497" t="s">
        <v>3099</v>
      </c>
      <c r="P497" t="s">
        <v>3100</v>
      </c>
      <c r="Q497" t="s">
        <v>3678</v>
      </c>
      <c r="R497" t="s">
        <v>27</v>
      </c>
      <c r="S497" t="s">
        <v>28</v>
      </c>
      <c r="T497" t="s">
        <v>406</v>
      </c>
      <c r="U497" s="1">
        <v>46078.593576388892</v>
      </c>
      <c r="V497" t="s">
        <v>31</v>
      </c>
      <c r="W497" t="s">
        <v>33</v>
      </c>
      <c r="X497" t="s">
        <v>3525</v>
      </c>
      <c r="Y497" t="s">
        <v>3489</v>
      </c>
      <c r="Z497" t="s">
        <v>38</v>
      </c>
      <c r="AA497" t="s">
        <v>31</v>
      </c>
      <c r="AB497" t="s">
        <v>227</v>
      </c>
      <c r="AC497" t="s">
        <v>30</v>
      </c>
      <c r="AD497" t="s">
        <v>46</v>
      </c>
      <c r="AE497" t="s">
        <v>3339</v>
      </c>
      <c r="AF497" t="s">
        <v>3339</v>
      </c>
      <c r="AG497" t="s">
        <v>38</v>
      </c>
      <c r="AH497">
        <v>15962</v>
      </c>
      <c r="AJ497">
        <v>12470</v>
      </c>
      <c r="AK497">
        <v>10</v>
      </c>
      <c r="AL497" t="s">
        <v>32</v>
      </c>
      <c r="AM497" t="s">
        <v>2964</v>
      </c>
      <c r="AN497" t="s">
        <v>2965</v>
      </c>
    </row>
    <row r="498" spans="1:40">
      <c r="A498" t="s">
        <v>2966</v>
      </c>
      <c r="B498" t="s">
        <v>34</v>
      </c>
      <c r="C498" t="s">
        <v>2967</v>
      </c>
      <c r="D498" t="s">
        <v>2968</v>
      </c>
      <c r="E498" s="1">
        <v>46058.375138888892</v>
      </c>
      <c r="F498" t="s">
        <v>161</v>
      </c>
      <c r="G498" t="s">
        <v>776</v>
      </c>
      <c r="H498" t="s">
        <v>3667</v>
      </c>
      <c r="I498" t="s">
        <v>2969</v>
      </c>
      <c r="J498" t="s">
        <v>1219</v>
      </c>
      <c r="K498" t="s">
        <v>134</v>
      </c>
      <c r="M498" t="s">
        <v>3529</v>
      </c>
      <c r="O498" t="s">
        <v>3099</v>
      </c>
      <c r="P498" t="s">
        <v>3100</v>
      </c>
      <c r="Q498" t="s">
        <v>3678</v>
      </c>
      <c r="R498" t="s">
        <v>46</v>
      </c>
      <c r="S498" t="s">
        <v>2952</v>
      </c>
      <c r="T498" t="s">
        <v>2953</v>
      </c>
      <c r="U498" s="1">
        <v>46077.485231481478</v>
      </c>
      <c r="V498" t="s">
        <v>31</v>
      </c>
      <c r="W498" t="s">
        <v>33</v>
      </c>
      <c r="X498" t="s">
        <v>3530</v>
      </c>
      <c r="Y498" t="s">
        <v>3490</v>
      </c>
      <c r="Z498" t="s">
        <v>38</v>
      </c>
      <c r="AA498" t="s">
        <v>31</v>
      </c>
      <c r="AB498" t="s">
        <v>1150</v>
      </c>
      <c r="AC498" t="s">
        <v>30</v>
      </c>
      <c r="AD498" t="s">
        <v>46</v>
      </c>
      <c r="AE498" t="s">
        <v>2952</v>
      </c>
      <c r="AF498" t="s">
        <v>3418</v>
      </c>
      <c r="AG498" t="s">
        <v>38</v>
      </c>
      <c r="AH498">
        <v>11892</v>
      </c>
      <c r="AJ498">
        <v>12456</v>
      </c>
      <c r="AK498">
        <v>8</v>
      </c>
      <c r="AL498" t="s">
        <v>32</v>
      </c>
      <c r="AM498" t="s">
        <v>2970</v>
      </c>
      <c r="AN498" t="s">
        <v>2971</v>
      </c>
    </row>
    <row r="499" spans="1:40">
      <c r="A499" t="s">
        <v>2972</v>
      </c>
      <c r="B499" t="s">
        <v>34</v>
      </c>
      <c r="C499" t="s">
        <v>2135</v>
      </c>
      <c r="D499" t="s">
        <v>2973</v>
      </c>
      <c r="E499" s="1">
        <v>46057.648645833331</v>
      </c>
      <c r="F499" t="s">
        <v>62</v>
      </c>
      <c r="G499" t="s">
        <v>776</v>
      </c>
      <c r="H499" t="s">
        <v>3668</v>
      </c>
      <c r="I499" t="s">
        <v>345</v>
      </c>
      <c r="J499" t="s">
        <v>642</v>
      </c>
      <c r="K499" t="s">
        <v>134</v>
      </c>
      <c r="M499" t="s">
        <v>3526</v>
      </c>
      <c r="O499" t="s">
        <v>3099</v>
      </c>
      <c r="P499" t="s">
        <v>3100</v>
      </c>
      <c r="Q499" t="s">
        <v>3678</v>
      </c>
      <c r="R499" t="s">
        <v>162</v>
      </c>
      <c r="S499" t="s">
        <v>163</v>
      </c>
      <c r="T499" t="s">
        <v>164</v>
      </c>
      <c r="U499" s="1">
        <v>46076.584733796299</v>
      </c>
      <c r="V499" t="s">
        <v>31</v>
      </c>
      <c r="W499" t="s">
        <v>33</v>
      </c>
      <c r="X499" t="s">
        <v>3536</v>
      </c>
      <c r="Y499" t="e">
        <f>- Monitor provided to the user.  - CMDB updated.</f>
        <v>#NAME?</v>
      </c>
      <c r="Z499" t="s">
        <v>38</v>
      </c>
      <c r="AA499" t="s">
        <v>31</v>
      </c>
      <c r="AB499" t="s">
        <v>104</v>
      </c>
      <c r="AC499" t="s">
        <v>30</v>
      </c>
      <c r="AD499" t="s">
        <v>46</v>
      </c>
      <c r="AE499" t="s">
        <v>365</v>
      </c>
      <c r="AF499" t="s">
        <v>366</v>
      </c>
      <c r="AG499" t="s">
        <v>38</v>
      </c>
      <c r="AH499" t="s">
        <v>3763</v>
      </c>
      <c r="AI499" t="s">
        <v>3764</v>
      </c>
      <c r="AJ499">
        <v>191546</v>
      </c>
      <c r="AK499">
        <v>17</v>
      </c>
      <c r="AL499" t="s">
        <v>32</v>
      </c>
      <c r="AM499" t="s">
        <v>2974</v>
      </c>
      <c r="AN499" t="s">
        <v>2975</v>
      </c>
    </row>
    <row r="500" spans="1:40">
      <c r="A500" t="s">
        <v>2976</v>
      </c>
      <c r="B500" t="s">
        <v>34</v>
      </c>
      <c r="C500" t="s">
        <v>2633</v>
      </c>
      <c r="D500" t="s">
        <v>2634</v>
      </c>
      <c r="E500" s="1">
        <v>46057.608263888891</v>
      </c>
      <c r="F500" t="s">
        <v>168</v>
      </c>
      <c r="G500" t="s">
        <v>776</v>
      </c>
      <c r="H500" t="s">
        <v>3669</v>
      </c>
      <c r="I500" t="s">
        <v>2977</v>
      </c>
      <c r="J500" t="s">
        <v>231</v>
      </c>
      <c r="K500" t="s">
        <v>134</v>
      </c>
      <c r="M500" t="s">
        <v>3526</v>
      </c>
      <c r="O500" t="s">
        <v>3099</v>
      </c>
      <c r="P500" t="s">
        <v>3100</v>
      </c>
      <c r="Q500" t="s">
        <v>3712</v>
      </c>
      <c r="R500" t="s">
        <v>46</v>
      </c>
      <c r="S500" t="s">
        <v>136</v>
      </c>
      <c r="T500" t="s">
        <v>136</v>
      </c>
      <c r="U500" s="1">
        <v>46078.442916666667</v>
      </c>
      <c r="V500" t="s">
        <v>31</v>
      </c>
      <c r="W500" t="s">
        <v>33</v>
      </c>
      <c r="X500" t="s">
        <v>3525</v>
      </c>
      <c r="Y500" t="s">
        <v>3491</v>
      </c>
      <c r="Z500" t="s">
        <v>38</v>
      </c>
      <c r="AA500" t="s">
        <v>31</v>
      </c>
      <c r="AB500" t="s">
        <v>227</v>
      </c>
      <c r="AC500" t="s">
        <v>30</v>
      </c>
      <c r="AD500" t="s">
        <v>46</v>
      </c>
      <c r="AE500" t="s">
        <v>3339</v>
      </c>
      <c r="AF500" t="s">
        <v>3339</v>
      </c>
      <c r="AG500" t="s">
        <v>38</v>
      </c>
      <c r="AH500">
        <v>11342</v>
      </c>
      <c r="AJ500">
        <v>12501</v>
      </c>
      <c r="AK500">
        <v>11</v>
      </c>
      <c r="AL500" t="s">
        <v>32</v>
      </c>
      <c r="AM500" t="s">
        <v>2635</v>
      </c>
      <c r="AN500" t="s">
        <v>2636</v>
      </c>
    </row>
    <row r="501" spans="1:40">
      <c r="A501" t="s">
        <v>2978</v>
      </c>
      <c r="B501" t="s">
        <v>24</v>
      </c>
      <c r="C501" t="s">
        <v>758</v>
      </c>
      <c r="D501" t="s">
        <v>1725</v>
      </c>
      <c r="E501" s="1">
        <v>46056.916504629633</v>
      </c>
      <c r="F501" t="s">
        <v>168</v>
      </c>
      <c r="G501" t="s">
        <v>776</v>
      </c>
      <c r="H501" t="s">
        <v>3669</v>
      </c>
      <c r="I501" t="s">
        <v>2979</v>
      </c>
      <c r="J501" t="s">
        <v>680</v>
      </c>
      <c r="K501" t="s">
        <v>44</v>
      </c>
      <c r="M501" t="s">
        <v>3526</v>
      </c>
      <c r="O501" t="s">
        <v>3103</v>
      </c>
      <c r="P501" t="s">
        <v>3104</v>
      </c>
      <c r="Q501" t="s">
        <v>3678</v>
      </c>
      <c r="R501" t="s">
        <v>46</v>
      </c>
      <c r="S501" t="s">
        <v>314</v>
      </c>
      <c r="T501" t="s">
        <v>2270</v>
      </c>
      <c r="U501" s="1">
        <v>46077.502129629633</v>
      </c>
      <c r="V501" t="s">
        <v>31</v>
      </c>
      <c r="W501" t="s">
        <v>33</v>
      </c>
      <c r="X501" t="s">
        <v>3530</v>
      </c>
      <c r="Y501" t="s">
        <v>3492</v>
      </c>
      <c r="Z501" t="s">
        <v>38</v>
      </c>
      <c r="AA501" t="s">
        <v>31</v>
      </c>
      <c r="AB501" t="s">
        <v>899</v>
      </c>
      <c r="AC501" t="s">
        <v>86</v>
      </c>
      <c r="AD501" t="s">
        <v>46</v>
      </c>
      <c r="AE501" t="s">
        <v>314</v>
      </c>
      <c r="AF501" t="s">
        <v>2270</v>
      </c>
      <c r="AG501" t="s">
        <v>38</v>
      </c>
      <c r="AH501">
        <v>12848</v>
      </c>
      <c r="AK501">
        <v>4</v>
      </c>
      <c r="AL501" t="s">
        <v>32</v>
      </c>
      <c r="AM501" t="s">
        <v>2980</v>
      </c>
      <c r="AN501" t="s">
        <v>2981</v>
      </c>
    </row>
    <row r="502" spans="1:40">
      <c r="A502" t="s">
        <v>2982</v>
      </c>
      <c r="B502" t="s">
        <v>34</v>
      </c>
      <c r="C502" t="s">
        <v>2983</v>
      </c>
      <c r="D502" t="s">
        <v>2984</v>
      </c>
      <c r="E502" s="1">
        <v>46056.742581018516</v>
      </c>
      <c r="F502" t="s">
        <v>128</v>
      </c>
      <c r="G502" t="s">
        <v>776</v>
      </c>
      <c r="H502" t="s">
        <v>3668</v>
      </c>
      <c r="I502" t="s">
        <v>1513</v>
      </c>
      <c r="J502" t="s">
        <v>642</v>
      </c>
      <c r="K502" t="s">
        <v>134</v>
      </c>
      <c r="M502" t="s">
        <v>3526</v>
      </c>
      <c r="O502" t="s">
        <v>3099</v>
      </c>
      <c r="P502" t="s">
        <v>3100</v>
      </c>
      <c r="Q502" t="s">
        <v>3678</v>
      </c>
      <c r="R502" t="s">
        <v>46</v>
      </c>
      <c r="S502" t="s">
        <v>659</v>
      </c>
      <c r="T502" t="s">
        <v>1514</v>
      </c>
      <c r="U502" s="1">
        <v>46076.585324074076</v>
      </c>
      <c r="V502" t="s">
        <v>31</v>
      </c>
      <c r="W502" t="s">
        <v>33</v>
      </c>
      <c r="X502" t="s">
        <v>3525</v>
      </c>
      <c r="Y502" t="e">
        <f>- new laptop provided to the user, and profile configured.  - old laptop returned to the store.  - CMDB updated.</f>
        <v>#NAME?</v>
      </c>
      <c r="Z502" t="s">
        <v>38</v>
      </c>
      <c r="AA502" t="s">
        <v>31</v>
      </c>
      <c r="AB502" t="s">
        <v>899</v>
      </c>
      <c r="AC502" t="s">
        <v>30</v>
      </c>
      <c r="AD502" t="s">
        <v>46</v>
      </c>
      <c r="AE502" t="s">
        <v>659</v>
      </c>
      <c r="AF502" t="s">
        <v>3243</v>
      </c>
      <c r="AG502" t="s">
        <v>38</v>
      </c>
      <c r="AH502">
        <v>14802</v>
      </c>
      <c r="AJ502" t="s">
        <v>2985</v>
      </c>
      <c r="AK502">
        <v>16</v>
      </c>
      <c r="AL502" t="s">
        <v>32</v>
      </c>
      <c r="AM502" t="s">
        <v>2986</v>
      </c>
      <c r="AN502" t="s">
        <v>2987</v>
      </c>
    </row>
    <row r="503" spans="1:40">
      <c r="A503" t="s">
        <v>2988</v>
      </c>
      <c r="B503" t="s">
        <v>34</v>
      </c>
      <c r="C503" t="s">
        <v>778</v>
      </c>
      <c r="D503" t="s">
        <v>779</v>
      </c>
      <c r="E503" s="1">
        <v>46056.47415509259</v>
      </c>
      <c r="F503" t="s">
        <v>62</v>
      </c>
      <c r="G503" t="s">
        <v>776</v>
      </c>
      <c r="H503" t="s">
        <v>3668</v>
      </c>
      <c r="I503" t="s">
        <v>345</v>
      </c>
      <c r="J503" t="s">
        <v>642</v>
      </c>
      <c r="K503" t="s">
        <v>134</v>
      </c>
      <c r="M503" t="s">
        <v>3526</v>
      </c>
      <c r="O503" t="s">
        <v>3099</v>
      </c>
      <c r="P503" t="s">
        <v>3100</v>
      </c>
      <c r="Q503" t="s">
        <v>3678</v>
      </c>
      <c r="R503" t="s">
        <v>162</v>
      </c>
      <c r="S503" t="s">
        <v>163</v>
      </c>
      <c r="T503" t="s">
        <v>164</v>
      </c>
      <c r="U503" s="1">
        <v>46076.58421296296</v>
      </c>
      <c r="V503" t="s">
        <v>31</v>
      </c>
      <c r="W503" t="s">
        <v>33</v>
      </c>
      <c r="X503" t="s">
        <v>3536</v>
      </c>
      <c r="Y503" t="e">
        <f>- Monitor provided to the user.  - CMDB updated.</f>
        <v>#NAME?</v>
      </c>
      <c r="Z503" t="s">
        <v>38</v>
      </c>
      <c r="AA503" t="s">
        <v>31</v>
      </c>
      <c r="AB503" t="s">
        <v>104</v>
      </c>
      <c r="AC503" t="s">
        <v>30</v>
      </c>
      <c r="AD503" t="s">
        <v>46</v>
      </c>
      <c r="AE503" t="s">
        <v>365</v>
      </c>
      <c r="AF503" t="s">
        <v>366</v>
      </c>
      <c r="AG503" t="s">
        <v>38</v>
      </c>
      <c r="AH503" t="s">
        <v>3581</v>
      </c>
      <c r="AI503" t="s">
        <v>3764</v>
      </c>
      <c r="AJ503">
        <v>191548</v>
      </c>
      <c r="AK503">
        <v>10</v>
      </c>
      <c r="AL503" t="s">
        <v>32</v>
      </c>
      <c r="AM503" t="s">
        <v>780</v>
      </c>
      <c r="AN503" t="s">
        <v>781</v>
      </c>
    </row>
    <row r="504" spans="1:40">
      <c r="A504" t="s">
        <v>2989</v>
      </c>
      <c r="B504" t="s">
        <v>34</v>
      </c>
      <c r="C504" t="s">
        <v>145</v>
      </c>
      <c r="D504" t="s">
        <v>146</v>
      </c>
      <c r="E504" s="1">
        <v>46056.472245370373</v>
      </c>
      <c r="F504" t="s">
        <v>62</v>
      </c>
      <c r="G504" t="s">
        <v>776</v>
      </c>
      <c r="H504" t="s">
        <v>3668</v>
      </c>
      <c r="I504" t="s">
        <v>345</v>
      </c>
      <c r="J504" t="s">
        <v>642</v>
      </c>
      <c r="K504" t="s">
        <v>134</v>
      </c>
      <c r="M504" t="s">
        <v>3526</v>
      </c>
      <c r="O504" t="s">
        <v>3099</v>
      </c>
      <c r="P504" t="s">
        <v>3100</v>
      </c>
      <c r="Q504" t="s">
        <v>3678</v>
      </c>
      <c r="R504" t="s">
        <v>162</v>
      </c>
      <c r="S504" t="s">
        <v>163</v>
      </c>
      <c r="T504" t="s">
        <v>164</v>
      </c>
      <c r="U504" s="1">
        <v>46076.583692129629</v>
      </c>
      <c r="V504" t="s">
        <v>31</v>
      </c>
      <c r="W504" t="s">
        <v>33</v>
      </c>
      <c r="X504" t="s">
        <v>3536</v>
      </c>
      <c r="Y504" t="e">
        <f>- Monitor provided to the user.  - CMDB updated.</f>
        <v>#NAME?</v>
      </c>
      <c r="Z504" t="s">
        <v>38</v>
      </c>
      <c r="AA504" t="s">
        <v>31</v>
      </c>
      <c r="AB504" t="s">
        <v>104</v>
      </c>
      <c r="AC504" t="s">
        <v>30</v>
      </c>
      <c r="AD504" t="s">
        <v>46</v>
      </c>
      <c r="AE504" t="s">
        <v>365</v>
      </c>
      <c r="AF504" t="s">
        <v>366</v>
      </c>
      <c r="AG504" t="s">
        <v>38</v>
      </c>
      <c r="AH504" t="s">
        <v>3540</v>
      </c>
      <c r="AI504" t="s">
        <v>3764</v>
      </c>
      <c r="AJ504">
        <v>191549</v>
      </c>
      <c r="AK504">
        <v>15</v>
      </c>
      <c r="AL504" t="s">
        <v>32</v>
      </c>
      <c r="AM504" t="s">
        <v>147</v>
      </c>
      <c r="AN504" t="s">
        <v>148</v>
      </c>
    </row>
    <row r="505" spans="1:40">
      <c r="A505" t="s">
        <v>2990</v>
      </c>
      <c r="B505" t="s">
        <v>34</v>
      </c>
      <c r="C505" t="s">
        <v>357</v>
      </c>
      <c r="D505" t="s">
        <v>2991</v>
      </c>
      <c r="E505" s="1">
        <v>46056.432789351849</v>
      </c>
      <c r="F505" t="s">
        <v>118</v>
      </c>
      <c r="G505" t="s">
        <v>776</v>
      </c>
      <c r="H505" t="s">
        <v>3666</v>
      </c>
      <c r="I505" t="s">
        <v>2906</v>
      </c>
      <c r="J505" t="s">
        <v>1501</v>
      </c>
      <c r="K505" t="s">
        <v>134</v>
      </c>
      <c r="M505" t="s">
        <v>3526</v>
      </c>
      <c r="O505" t="s">
        <v>3099</v>
      </c>
      <c r="P505" t="s">
        <v>3100</v>
      </c>
      <c r="Q505" t="s">
        <v>3678</v>
      </c>
      <c r="R505" t="s">
        <v>162</v>
      </c>
      <c r="S505" t="s">
        <v>163</v>
      </c>
      <c r="T505" t="s">
        <v>164</v>
      </c>
      <c r="U505" s="1">
        <v>46076.528020833335</v>
      </c>
      <c r="V505" t="s">
        <v>31</v>
      </c>
      <c r="W505" t="s">
        <v>33</v>
      </c>
      <c r="X505" t="s">
        <v>3536</v>
      </c>
      <c r="Y505" t="s">
        <v>3493</v>
      </c>
      <c r="Z505" t="s">
        <v>38</v>
      </c>
      <c r="AA505" t="s">
        <v>31</v>
      </c>
      <c r="AB505" t="s">
        <v>104</v>
      </c>
      <c r="AC505" t="s">
        <v>30</v>
      </c>
      <c r="AD505" t="s">
        <v>46</v>
      </c>
      <c r="AE505" t="s">
        <v>1353</v>
      </c>
      <c r="AF505" t="s">
        <v>95</v>
      </c>
      <c r="AG505" t="s">
        <v>38</v>
      </c>
      <c r="AH505">
        <v>13428</v>
      </c>
      <c r="AJ505">
        <v>191503</v>
      </c>
      <c r="AK505">
        <v>17</v>
      </c>
      <c r="AL505" t="s">
        <v>32</v>
      </c>
      <c r="AM505" t="s">
        <v>2992</v>
      </c>
      <c r="AN505" t="s">
        <v>2993</v>
      </c>
    </row>
    <row r="506" spans="1:40">
      <c r="A506" t="s">
        <v>2994</v>
      </c>
      <c r="B506" t="s">
        <v>34</v>
      </c>
      <c r="C506" t="s">
        <v>115</v>
      </c>
      <c r="D506" t="s">
        <v>2225</v>
      </c>
      <c r="E506" s="1">
        <v>46056.396736111114</v>
      </c>
      <c r="F506" t="s">
        <v>39</v>
      </c>
      <c r="G506" t="s">
        <v>776</v>
      </c>
      <c r="H506" t="s">
        <v>3667</v>
      </c>
      <c r="I506" t="s">
        <v>252</v>
      </c>
      <c r="J506" t="s">
        <v>680</v>
      </c>
      <c r="K506" t="s">
        <v>44</v>
      </c>
      <c r="M506" t="s">
        <v>3526</v>
      </c>
      <c r="O506" t="s">
        <v>3099</v>
      </c>
      <c r="P506" t="s">
        <v>3100</v>
      </c>
      <c r="Q506" t="s">
        <v>3678</v>
      </c>
      <c r="R506" t="s">
        <v>46</v>
      </c>
      <c r="S506" t="s">
        <v>515</v>
      </c>
      <c r="T506" t="s">
        <v>2177</v>
      </c>
      <c r="U506" s="1">
        <v>46077.585231481484</v>
      </c>
      <c r="V506" t="s">
        <v>31</v>
      </c>
      <c r="W506" t="s">
        <v>33</v>
      </c>
      <c r="X506" t="s">
        <v>3536</v>
      </c>
      <c r="Y506" t="s">
        <v>3494</v>
      </c>
      <c r="Z506" t="s">
        <v>38</v>
      </c>
      <c r="AA506" t="s">
        <v>31</v>
      </c>
      <c r="AB506" t="s">
        <v>104</v>
      </c>
      <c r="AC506" t="s">
        <v>30</v>
      </c>
      <c r="AD506" t="s">
        <v>46</v>
      </c>
      <c r="AE506" t="s">
        <v>515</v>
      </c>
      <c r="AF506" t="s">
        <v>2177</v>
      </c>
      <c r="AG506" t="s">
        <v>38</v>
      </c>
      <c r="AH506" t="s">
        <v>3654</v>
      </c>
      <c r="AK506">
        <v>15</v>
      </c>
      <c r="AL506" t="s">
        <v>32</v>
      </c>
      <c r="AM506" t="s">
        <v>2226</v>
      </c>
      <c r="AN506" t="s">
        <v>2227</v>
      </c>
    </row>
    <row r="507" spans="1:40">
      <c r="A507" t="s">
        <v>2995</v>
      </c>
      <c r="B507" t="s">
        <v>24</v>
      </c>
      <c r="C507" t="s">
        <v>25</v>
      </c>
      <c r="D507" t="s">
        <v>964</v>
      </c>
      <c r="E507" s="1">
        <v>46055.993321759262</v>
      </c>
      <c r="F507" t="s">
        <v>26</v>
      </c>
      <c r="G507" t="s">
        <v>776</v>
      </c>
      <c r="H507" t="s">
        <v>3665</v>
      </c>
      <c r="I507" t="s">
        <v>2996</v>
      </c>
      <c r="J507" t="s">
        <v>514</v>
      </c>
      <c r="K507" t="s">
        <v>44</v>
      </c>
      <c r="M507" t="s">
        <v>3526</v>
      </c>
      <c r="O507" t="s">
        <v>3103</v>
      </c>
      <c r="P507" t="s">
        <v>3104</v>
      </c>
      <c r="R507" t="s">
        <v>46</v>
      </c>
      <c r="S507" t="s">
        <v>197</v>
      </c>
      <c r="T507" t="s">
        <v>875</v>
      </c>
      <c r="U507" s="1">
        <v>46077.530335648145</v>
      </c>
      <c r="V507" t="s">
        <v>31</v>
      </c>
      <c r="W507" t="s">
        <v>33</v>
      </c>
      <c r="X507" t="s">
        <v>3530</v>
      </c>
      <c r="Y507" t="s">
        <v>3172</v>
      </c>
      <c r="Z507" t="s">
        <v>38</v>
      </c>
      <c r="AA507" t="s">
        <v>31</v>
      </c>
      <c r="AB507" t="s">
        <v>49</v>
      </c>
      <c r="AC507" t="s">
        <v>86</v>
      </c>
      <c r="AD507" t="s">
        <v>46</v>
      </c>
      <c r="AE507" t="s">
        <v>197</v>
      </c>
      <c r="AF507" t="s">
        <v>875</v>
      </c>
      <c r="AG507" t="s">
        <v>38</v>
      </c>
      <c r="AH507" t="s">
        <v>3589</v>
      </c>
      <c r="AK507">
        <v>9</v>
      </c>
      <c r="AL507" t="s">
        <v>32</v>
      </c>
      <c r="AM507" t="s">
        <v>965</v>
      </c>
      <c r="AN507" t="s">
        <v>966</v>
      </c>
    </row>
    <row r="508" spans="1:40">
      <c r="A508" t="s">
        <v>2997</v>
      </c>
      <c r="B508" t="s">
        <v>34</v>
      </c>
      <c r="C508" t="s">
        <v>402</v>
      </c>
      <c r="D508" t="s">
        <v>1693</v>
      </c>
      <c r="E508" s="1">
        <v>46055.01829861111</v>
      </c>
      <c r="F508" t="s">
        <v>132</v>
      </c>
      <c r="G508" t="s">
        <v>776</v>
      </c>
      <c r="H508" t="s">
        <v>3665</v>
      </c>
      <c r="I508" t="s">
        <v>2998</v>
      </c>
      <c r="J508" t="s">
        <v>817</v>
      </c>
      <c r="K508" t="s">
        <v>134</v>
      </c>
      <c r="M508" t="s">
        <v>3526</v>
      </c>
      <c r="O508" t="s">
        <v>3099</v>
      </c>
      <c r="P508" t="s">
        <v>3100</v>
      </c>
      <c r="Q508" t="s">
        <v>3678</v>
      </c>
      <c r="R508" t="s">
        <v>46</v>
      </c>
      <c r="S508" t="s">
        <v>751</v>
      </c>
      <c r="T508" t="s">
        <v>752</v>
      </c>
      <c r="U508" s="1">
        <v>46077.460486111115</v>
      </c>
      <c r="V508" t="s">
        <v>31</v>
      </c>
      <c r="W508" t="s">
        <v>33</v>
      </c>
      <c r="X508" t="s">
        <v>3525</v>
      </c>
      <c r="Y508" t="s">
        <v>3495</v>
      </c>
      <c r="Z508" t="s">
        <v>38</v>
      </c>
      <c r="AA508" t="s">
        <v>31</v>
      </c>
      <c r="AB508" t="s">
        <v>49</v>
      </c>
      <c r="AC508" t="s">
        <v>30</v>
      </c>
      <c r="AD508" t="s">
        <v>46</v>
      </c>
      <c r="AE508" t="s">
        <v>751</v>
      </c>
      <c r="AF508" t="s">
        <v>752</v>
      </c>
      <c r="AG508" t="s">
        <v>38</v>
      </c>
      <c r="AH508">
        <v>14581</v>
      </c>
      <c r="AJ508">
        <v>191430</v>
      </c>
      <c r="AK508">
        <v>19</v>
      </c>
      <c r="AL508" t="s">
        <v>32</v>
      </c>
      <c r="AM508" t="s">
        <v>2295</v>
      </c>
      <c r="AN508" t="s">
        <v>2296</v>
      </c>
    </row>
    <row r="509" spans="1:40">
      <c r="A509" t="s">
        <v>2999</v>
      </c>
      <c r="B509" t="s">
        <v>24</v>
      </c>
      <c r="C509" t="s">
        <v>762</v>
      </c>
      <c r="D509" t="s">
        <v>3000</v>
      </c>
      <c r="E509" s="1">
        <v>46051.56040509259</v>
      </c>
      <c r="F509" t="s">
        <v>62</v>
      </c>
      <c r="G509" t="s">
        <v>776</v>
      </c>
      <c r="H509" t="s">
        <v>3668</v>
      </c>
      <c r="I509" t="s">
        <v>187</v>
      </c>
      <c r="J509" t="s">
        <v>290</v>
      </c>
      <c r="K509" t="s">
        <v>44</v>
      </c>
      <c r="M509" t="s">
        <v>3526</v>
      </c>
      <c r="O509" t="s">
        <v>3103</v>
      </c>
      <c r="P509" t="s">
        <v>3104</v>
      </c>
      <c r="Q509" t="s">
        <v>3678</v>
      </c>
      <c r="R509" t="s">
        <v>46</v>
      </c>
      <c r="S509" t="s">
        <v>188</v>
      </c>
      <c r="T509" t="s">
        <v>189</v>
      </c>
      <c r="U509" s="1">
        <v>46077.438819444447</v>
      </c>
      <c r="V509" t="s">
        <v>31</v>
      </c>
      <c r="W509" t="s">
        <v>33</v>
      </c>
      <c r="X509" t="s">
        <v>3530</v>
      </c>
      <c r="Y509" t="s">
        <v>3496</v>
      </c>
      <c r="Z509" t="s">
        <v>38</v>
      </c>
      <c r="AA509" t="s">
        <v>31</v>
      </c>
      <c r="AB509" t="s">
        <v>190</v>
      </c>
      <c r="AC509" t="s">
        <v>86</v>
      </c>
      <c r="AD509" t="s">
        <v>46</v>
      </c>
      <c r="AE509" t="s">
        <v>188</v>
      </c>
      <c r="AF509" t="s">
        <v>189</v>
      </c>
      <c r="AG509" t="s">
        <v>38</v>
      </c>
      <c r="AH509" t="s">
        <v>3765</v>
      </c>
      <c r="AK509">
        <v>11</v>
      </c>
      <c r="AL509" t="s">
        <v>32</v>
      </c>
      <c r="AM509" t="s">
        <v>3001</v>
      </c>
      <c r="AN509" t="s">
        <v>3002</v>
      </c>
    </row>
    <row r="510" spans="1:40">
      <c r="A510" t="s">
        <v>3003</v>
      </c>
      <c r="B510" t="s">
        <v>34</v>
      </c>
      <c r="C510" t="s">
        <v>76</v>
      </c>
      <c r="D510" t="s">
        <v>649</v>
      </c>
      <c r="E510" s="1">
        <v>46050.541122685187</v>
      </c>
      <c r="F510" t="s">
        <v>35</v>
      </c>
      <c r="G510" t="s">
        <v>776</v>
      </c>
      <c r="H510" t="s">
        <v>3672</v>
      </c>
      <c r="I510" t="s">
        <v>3004</v>
      </c>
      <c r="J510" t="s">
        <v>817</v>
      </c>
      <c r="K510" t="s">
        <v>134</v>
      </c>
      <c r="M510" t="s">
        <v>3528</v>
      </c>
      <c r="O510" t="s">
        <v>3099</v>
      </c>
      <c r="P510" t="s">
        <v>3100</v>
      </c>
      <c r="Q510" t="s">
        <v>3678</v>
      </c>
      <c r="R510" t="s">
        <v>46</v>
      </c>
      <c r="S510" t="s">
        <v>94</v>
      </c>
      <c r="T510" t="s">
        <v>95</v>
      </c>
      <c r="U510" s="1">
        <v>46073.351493055554</v>
      </c>
      <c r="V510" t="s">
        <v>31</v>
      </c>
      <c r="W510" t="s">
        <v>33</v>
      </c>
      <c r="X510" t="s">
        <v>3525</v>
      </c>
      <c r="Y510" t="s">
        <v>3497</v>
      </c>
      <c r="Z510" t="s">
        <v>1775</v>
      </c>
      <c r="AA510" t="s">
        <v>31</v>
      </c>
      <c r="AB510" t="s">
        <v>243</v>
      </c>
      <c r="AC510" t="s">
        <v>30</v>
      </c>
      <c r="AD510" t="s">
        <v>46</v>
      </c>
      <c r="AE510" t="s">
        <v>94</v>
      </c>
      <c r="AF510" t="s">
        <v>95</v>
      </c>
      <c r="AG510" t="s">
        <v>1775</v>
      </c>
      <c r="AH510">
        <v>15729</v>
      </c>
      <c r="AI510" t="s">
        <v>3766</v>
      </c>
      <c r="AJ510">
        <v>191358</v>
      </c>
      <c r="AK510">
        <v>6</v>
      </c>
      <c r="AL510" t="s">
        <v>32</v>
      </c>
      <c r="AM510" t="s">
        <v>3005</v>
      </c>
      <c r="AN510" t="s">
        <v>3006</v>
      </c>
    </row>
    <row r="511" spans="1:40">
      <c r="A511" t="s">
        <v>3007</v>
      </c>
      <c r="B511" t="s">
        <v>34</v>
      </c>
      <c r="C511" t="s">
        <v>3008</v>
      </c>
      <c r="D511" t="s">
        <v>66</v>
      </c>
      <c r="E511" s="1">
        <v>46050.511562500003</v>
      </c>
      <c r="F511" t="s">
        <v>74</v>
      </c>
      <c r="G511" t="s">
        <v>776</v>
      </c>
      <c r="H511" t="s">
        <v>3665</v>
      </c>
      <c r="I511" t="s">
        <v>3009</v>
      </c>
      <c r="J511" t="s">
        <v>494</v>
      </c>
      <c r="K511" t="s">
        <v>134</v>
      </c>
      <c r="M511" t="s">
        <v>3526</v>
      </c>
      <c r="O511" t="s">
        <v>3099</v>
      </c>
      <c r="P511" t="s">
        <v>3100</v>
      </c>
      <c r="Q511" t="s">
        <v>3704</v>
      </c>
      <c r="R511" t="s">
        <v>162</v>
      </c>
      <c r="S511" t="s">
        <v>163</v>
      </c>
      <c r="T511" t="s">
        <v>164</v>
      </c>
      <c r="U511" s="1">
        <v>46078.355428240742</v>
      </c>
      <c r="V511" t="s">
        <v>31</v>
      </c>
      <c r="W511" t="s">
        <v>33</v>
      </c>
      <c r="X511" t="s">
        <v>3536</v>
      </c>
      <c r="Y511" t="s">
        <v>3498</v>
      </c>
      <c r="Z511" t="s">
        <v>38</v>
      </c>
      <c r="AA511" t="s">
        <v>31</v>
      </c>
      <c r="AB511" t="s">
        <v>104</v>
      </c>
      <c r="AC511" t="s">
        <v>30</v>
      </c>
      <c r="AD511" t="s">
        <v>46</v>
      </c>
      <c r="AE511" t="s">
        <v>910</v>
      </c>
      <c r="AF511" t="s">
        <v>3499</v>
      </c>
      <c r="AG511" t="s">
        <v>38</v>
      </c>
      <c r="AH511">
        <v>10473</v>
      </c>
      <c r="AJ511" t="s">
        <v>3010</v>
      </c>
      <c r="AK511">
        <v>20</v>
      </c>
      <c r="AL511" t="s">
        <v>32</v>
      </c>
      <c r="AM511" t="s">
        <v>3011</v>
      </c>
      <c r="AN511" t="s">
        <v>3012</v>
      </c>
    </row>
    <row r="512" spans="1:40">
      <c r="A512" t="s">
        <v>3013</v>
      </c>
      <c r="B512" t="s">
        <v>34</v>
      </c>
      <c r="C512" t="s">
        <v>1401</v>
      </c>
      <c r="D512" t="s">
        <v>2530</v>
      </c>
      <c r="E512" s="1">
        <v>46048.51290509259</v>
      </c>
      <c r="F512" t="s">
        <v>646</v>
      </c>
      <c r="G512" t="s">
        <v>776</v>
      </c>
      <c r="H512" t="s">
        <v>3670</v>
      </c>
      <c r="I512" t="s">
        <v>230</v>
      </c>
      <c r="J512" t="s">
        <v>1219</v>
      </c>
      <c r="K512" t="s">
        <v>134</v>
      </c>
      <c r="M512" t="s">
        <v>3529</v>
      </c>
      <c r="O512" t="s">
        <v>3099</v>
      </c>
      <c r="P512" t="s">
        <v>3100</v>
      </c>
      <c r="Q512" t="s">
        <v>3710</v>
      </c>
      <c r="R512" t="s">
        <v>46</v>
      </c>
      <c r="S512" t="s">
        <v>136</v>
      </c>
      <c r="T512" t="s">
        <v>136</v>
      </c>
      <c r="U512" s="1">
        <v>46077.481226851851</v>
      </c>
      <c r="V512" t="s">
        <v>31</v>
      </c>
      <c r="W512" t="s">
        <v>33</v>
      </c>
      <c r="X512" t="s">
        <v>3530</v>
      </c>
      <c r="Y512" t="s">
        <v>3500</v>
      </c>
      <c r="Z512" t="s">
        <v>38</v>
      </c>
      <c r="AA512" t="s">
        <v>31</v>
      </c>
      <c r="AB512" t="s">
        <v>350</v>
      </c>
      <c r="AC512" t="s">
        <v>30</v>
      </c>
      <c r="AD512" t="s">
        <v>46</v>
      </c>
      <c r="AE512" t="s">
        <v>2952</v>
      </c>
      <c r="AF512" t="s">
        <v>3418</v>
      </c>
      <c r="AG512" t="s">
        <v>38</v>
      </c>
      <c r="AH512">
        <v>3480</v>
      </c>
      <c r="AJ512">
        <v>12446</v>
      </c>
      <c r="AK512">
        <v>11</v>
      </c>
      <c r="AL512" t="s">
        <v>32</v>
      </c>
      <c r="AM512" t="s">
        <v>2531</v>
      </c>
      <c r="AN512" t="s">
        <v>2532</v>
      </c>
    </row>
    <row r="513" spans="1:40">
      <c r="A513" t="s">
        <v>3014</v>
      </c>
      <c r="B513" t="s">
        <v>34</v>
      </c>
      <c r="C513" t="s">
        <v>115</v>
      </c>
      <c r="D513" t="s">
        <v>2820</v>
      </c>
      <c r="E513" s="1">
        <v>46048.481388888889</v>
      </c>
      <c r="F513" t="s">
        <v>35</v>
      </c>
      <c r="G513" t="s">
        <v>776</v>
      </c>
      <c r="H513" t="s">
        <v>3672</v>
      </c>
      <c r="I513" t="s">
        <v>3015</v>
      </c>
      <c r="J513" t="s">
        <v>817</v>
      </c>
      <c r="K513" t="s">
        <v>134</v>
      </c>
      <c r="M513" t="s">
        <v>3526</v>
      </c>
      <c r="O513" t="s">
        <v>3099</v>
      </c>
      <c r="P513" t="s">
        <v>3100</v>
      </c>
      <c r="Q513" t="s">
        <v>3689</v>
      </c>
      <c r="R513" t="s">
        <v>162</v>
      </c>
      <c r="S513" t="s">
        <v>163</v>
      </c>
      <c r="T513" t="s">
        <v>164</v>
      </c>
      <c r="U513" s="1">
        <v>46078.322870370372</v>
      </c>
      <c r="V513" t="s">
        <v>31</v>
      </c>
      <c r="W513" t="s">
        <v>33</v>
      </c>
      <c r="X513" t="s">
        <v>3536</v>
      </c>
      <c r="Y513" t="s">
        <v>3501</v>
      </c>
      <c r="Z513" t="s">
        <v>38</v>
      </c>
      <c r="AA513" t="s">
        <v>31</v>
      </c>
      <c r="AB513" t="s">
        <v>104</v>
      </c>
      <c r="AC513" t="s">
        <v>30</v>
      </c>
      <c r="AD513" t="s">
        <v>46</v>
      </c>
      <c r="AE513" t="s">
        <v>659</v>
      </c>
      <c r="AF513" t="s">
        <v>3502</v>
      </c>
      <c r="AG513" t="s">
        <v>38</v>
      </c>
      <c r="AH513">
        <v>8534</v>
      </c>
      <c r="AJ513" t="s">
        <v>3016</v>
      </c>
      <c r="AK513">
        <v>17</v>
      </c>
      <c r="AL513" t="s">
        <v>32</v>
      </c>
      <c r="AM513" t="s">
        <v>2821</v>
      </c>
      <c r="AN513" t="s">
        <v>2822</v>
      </c>
    </row>
    <row r="514" spans="1:40">
      <c r="A514" t="s">
        <v>3017</v>
      </c>
      <c r="B514" t="s">
        <v>24</v>
      </c>
      <c r="C514" t="s">
        <v>357</v>
      </c>
      <c r="D514" t="s">
        <v>1883</v>
      </c>
      <c r="E514" s="1">
        <v>46045.387465277781</v>
      </c>
      <c r="F514" t="s">
        <v>333</v>
      </c>
      <c r="G514" t="s">
        <v>776</v>
      </c>
      <c r="H514" t="s">
        <v>3671</v>
      </c>
      <c r="I514" t="s">
        <v>3018</v>
      </c>
      <c r="J514" t="s">
        <v>320</v>
      </c>
      <c r="K514" t="s">
        <v>134</v>
      </c>
      <c r="M514" t="s">
        <v>3526</v>
      </c>
      <c r="O514" t="s">
        <v>3103</v>
      </c>
      <c r="P514" t="s">
        <v>3104</v>
      </c>
      <c r="Q514" t="s">
        <v>3678</v>
      </c>
      <c r="R514" t="s">
        <v>46</v>
      </c>
      <c r="S514" t="s">
        <v>197</v>
      </c>
      <c r="T514" t="s">
        <v>875</v>
      </c>
      <c r="U514" s="1">
        <v>46076.358576388891</v>
      </c>
      <c r="V514" t="s">
        <v>31</v>
      </c>
      <c r="W514" t="s">
        <v>33</v>
      </c>
      <c r="X514" t="s">
        <v>3530</v>
      </c>
      <c r="Y514" t="e">
        <f>- Disabled unnecessary startup items and services  - Ran disk cleanup utility and cleared All temporary files. - Disabled unnecessary tasks in task scheduler. - Disabled windows Apps from running in the background.  - Ran SFC /scannow utility. - Ran DISM utility. - Ran chkdsk utility.  Perforamce is better but fast battery drain was still observed - Escalated to AMC support team - they replaced the battery</f>
        <v>#NAME?</v>
      </c>
      <c r="Z514" t="s">
        <v>38</v>
      </c>
      <c r="AA514" t="s">
        <v>31</v>
      </c>
      <c r="AB514" t="s">
        <v>206</v>
      </c>
      <c r="AC514" t="s">
        <v>86</v>
      </c>
      <c r="AD514" t="s">
        <v>46</v>
      </c>
      <c r="AE514" t="s">
        <v>197</v>
      </c>
      <c r="AF514" t="s">
        <v>875</v>
      </c>
      <c r="AG514" t="s">
        <v>38</v>
      </c>
      <c r="AH514">
        <v>2042</v>
      </c>
      <c r="AJ514">
        <v>191529</v>
      </c>
      <c r="AK514">
        <v>18</v>
      </c>
      <c r="AL514" t="s">
        <v>32</v>
      </c>
      <c r="AM514" t="s">
        <v>1884</v>
      </c>
      <c r="AN514" t="s">
        <v>1885</v>
      </c>
    </row>
    <row r="515" spans="1:40">
      <c r="A515" t="s">
        <v>3019</v>
      </c>
      <c r="B515" t="s">
        <v>34</v>
      </c>
      <c r="C515" t="s">
        <v>261</v>
      </c>
      <c r="D515" t="s">
        <v>3020</v>
      </c>
      <c r="E515" s="1">
        <v>46044.506377314814</v>
      </c>
      <c r="F515" t="s">
        <v>153</v>
      </c>
      <c r="G515" t="s">
        <v>776</v>
      </c>
      <c r="H515" t="s">
        <v>3669</v>
      </c>
      <c r="I515" t="s">
        <v>3021</v>
      </c>
      <c r="J515" t="s">
        <v>320</v>
      </c>
      <c r="K515" t="s">
        <v>134</v>
      </c>
      <c r="M515" t="s">
        <v>3526</v>
      </c>
      <c r="O515" t="s">
        <v>3099</v>
      </c>
      <c r="P515" t="s">
        <v>3100</v>
      </c>
      <c r="Q515" t="s">
        <v>3678</v>
      </c>
      <c r="R515" t="s">
        <v>162</v>
      </c>
      <c r="S515" t="s">
        <v>163</v>
      </c>
      <c r="T515" t="s">
        <v>164</v>
      </c>
      <c r="U515" s="1">
        <v>46077.399212962962</v>
      </c>
      <c r="V515" t="s">
        <v>31</v>
      </c>
      <c r="W515" t="s">
        <v>33</v>
      </c>
      <c r="X515" t="s">
        <v>3536</v>
      </c>
      <c r="Y515" t="s">
        <v>3503</v>
      </c>
      <c r="Z515" t="s">
        <v>38</v>
      </c>
      <c r="AA515" t="s">
        <v>31</v>
      </c>
      <c r="AB515" t="s">
        <v>104</v>
      </c>
      <c r="AC515" t="s">
        <v>30</v>
      </c>
      <c r="AD515" t="s">
        <v>46</v>
      </c>
      <c r="AE515" t="s">
        <v>659</v>
      </c>
      <c r="AF515" t="s">
        <v>3243</v>
      </c>
      <c r="AG515" t="s">
        <v>38</v>
      </c>
      <c r="AH515" t="s">
        <v>3767</v>
      </c>
      <c r="AJ515" t="s">
        <v>3022</v>
      </c>
      <c r="AK515">
        <v>21</v>
      </c>
      <c r="AL515" t="s">
        <v>32</v>
      </c>
      <c r="AM515" t="s">
        <v>3023</v>
      </c>
      <c r="AN515" t="s">
        <v>3024</v>
      </c>
    </row>
    <row r="516" spans="1:40">
      <c r="A516" t="s">
        <v>3025</v>
      </c>
      <c r="B516" t="s">
        <v>34</v>
      </c>
      <c r="C516" t="s">
        <v>3026</v>
      </c>
      <c r="D516" t="s">
        <v>3027</v>
      </c>
      <c r="E516" s="1">
        <v>46042.649016203701</v>
      </c>
      <c r="F516" t="s">
        <v>118</v>
      </c>
      <c r="G516" t="s">
        <v>776</v>
      </c>
      <c r="H516" t="s">
        <v>3666</v>
      </c>
      <c r="I516" t="s">
        <v>679</v>
      </c>
      <c r="J516" t="s">
        <v>1501</v>
      </c>
      <c r="K516" t="s">
        <v>134</v>
      </c>
      <c r="M516" t="s">
        <v>3526</v>
      </c>
      <c r="O516" t="s">
        <v>3099</v>
      </c>
      <c r="P516" t="s">
        <v>3100</v>
      </c>
      <c r="Q516" t="s">
        <v>3678</v>
      </c>
      <c r="R516" t="s">
        <v>162</v>
      </c>
      <c r="S516" t="s">
        <v>163</v>
      </c>
      <c r="T516" t="s">
        <v>164</v>
      </c>
      <c r="U516" s="1">
        <v>46077.556689814817</v>
      </c>
      <c r="V516" t="s">
        <v>31</v>
      </c>
      <c r="W516" t="s">
        <v>33</v>
      </c>
      <c r="X516" t="s">
        <v>3536</v>
      </c>
      <c r="Y516" t="s">
        <v>3504</v>
      </c>
      <c r="Z516" t="s">
        <v>38</v>
      </c>
      <c r="AA516" t="s">
        <v>31</v>
      </c>
      <c r="AB516" t="s">
        <v>104</v>
      </c>
      <c r="AC516" t="s">
        <v>30</v>
      </c>
      <c r="AD516" t="s">
        <v>307</v>
      </c>
      <c r="AE516" t="s">
        <v>3506</v>
      </c>
      <c r="AF516" t="s">
        <v>3505</v>
      </c>
      <c r="AG516" t="s">
        <v>38</v>
      </c>
      <c r="AH516">
        <v>15222</v>
      </c>
      <c r="AK516">
        <v>17</v>
      </c>
      <c r="AL516" t="s">
        <v>32</v>
      </c>
      <c r="AM516" t="s">
        <v>3028</v>
      </c>
      <c r="AN516" t="s">
        <v>3029</v>
      </c>
    </row>
    <row r="517" spans="1:40">
      <c r="A517" t="s">
        <v>3030</v>
      </c>
      <c r="B517" t="s">
        <v>34</v>
      </c>
      <c r="C517" t="s">
        <v>825</v>
      </c>
      <c r="D517" t="s">
        <v>172</v>
      </c>
      <c r="E517" s="1">
        <v>46042.431192129632</v>
      </c>
      <c r="F517" t="s">
        <v>62</v>
      </c>
      <c r="G517" t="s">
        <v>776</v>
      </c>
      <c r="H517" t="s">
        <v>3668</v>
      </c>
      <c r="I517" t="s">
        <v>3031</v>
      </c>
      <c r="J517" t="s">
        <v>1219</v>
      </c>
      <c r="K517" t="s">
        <v>134</v>
      </c>
      <c r="M517" t="s">
        <v>3528</v>
      </c>
      <c r="O517" t="s">
        <v>3099</v>
      </c>
      <c r="P517" t="s">
        <v>3100</v>
      </c>
      <c r="Q517" t="s">
        <v>3695</v>
      </c>
      <c r="R517" t="s">
        <v>46</v>
      </c>
      <c r="S517" t="s">
        <v>136</v>
      </c>
      <c r="T517" t="s">
        <v>136</v>
      </c>
      <c r="U517" s="1">
        <v>46072.459293981483</v>
      </c>
      <c r="V517" t="s">
        <v>31</v>
      </c>
      <c r="W517" t="s">
        <v>33</v>
      </c>
      <c r="X517" t="s">
        <v>3527</v>
      </c>
      <c r="Y517" t="s">
        <v>3507</v>
      </c>
      <c r="Z517" t="s">
        <v>1775</v>
      </c>
      <c r="AA517" t="s">
        <v>31</v>
      </c>
      <c r="AB517" t="s">
        <v>2784</v>
      </c>
      <c r="AC517" t="s">
        <v>30</v>
      </c>
      <c r="AD517" t="s">
        <v>46</v>
      </c>
      <c r="AE517" t="s">
        <v>3339</v>
      </c>
      <c r="AF517" t="s">
        <v>3339</v>
      </c>
      <c r="AG517" t="s">
        <v>1775</v>
      </c>
      <c r="AH517" t="s">
        <v>3758</v>
      </c>
      <c r="AK517">
        <v>1</v>
      </c>
      <c r="AL517" t="s">
        <v>32</v>
      </c>
      <c r="AM517" t="s">
        <v>2784</v>
      </c>
      <c r="AN517" t="s">
        <v>2785</v>
      </c>
    </row>
    <row r="518" spans="1:40">
      <c r="A518" t="s">
        <v>3032</v>
      </c>
      <c r="B518" t="s">
        <v>34</v>
      </c>
      <c r="C518" t="s">
        <v>742</v>
      </c>
      <c r="D518" t="s">
        <v>3033</v>
      </c>
      <c r="E518" s="1">
        <v>46041.375</v>
      </c>
      <c r="F518" t="s">
        <v>35</v>
      </c>
      <c r="G518" t="s">
        <v>776</v>
      </c>
      <c r="H518" t="s">
        <v>3672</v>
      </c>
      <c r="I518" t="s">
        <v>3034</v>
      </c>
      <c r="J518" t="s">
        <v>817</v>
      </c>
      <c r="K518" t="s">
        <v>134</v>
      </c>
      <c r="M518" t="s">
        <v>3526</v>
      </c>
      <c r="O518" t="s">
        <v>3099</v>
      </c>
      <c r="P518" t="s">
        <v>3100</v>
      </c>
      <c r="Q518" t="s">
        <v>3678</v>
      </c>
      <c r="R518" t="s">
        <v>46</v>
      </c>
      <c r="S518" t="s">
        <v>515</v>
      </c>
      <c r="T518" t="s">
        <v>2177</v>
      </c>
      <c r="U518" s="1">
        <v>46078.321805555555</v>
      </c>
      <c r="V518" t="s">
        <v>31</v>
      </c>
      <c r="W518" t="s">
        <v>33</v>
      </c>
      <c r="X518" t="s">
        <v>3536</v>
      </c>
      <c r="Y518" t="s">
        <v>3508</v>
      </c>
      <c r="Z518" t="s">
        <v>38</v>
      </c>
      <c r="AA518" t="s">
        <v>31</v>
      </c>
      <c r="AB518" t="s">
        <v>1137</v>
      </c>
      <c r="AC518" t="s">
        <v>30</v>
      </c>
      <c r="AD518" t="s">
        <v>46</v>
      </c>
      <c r="AE518" t="s">
        <v>515</v>
      </c>
      <c r="AF518" t="s">
        <v>2177</v>
      </c>
      <c r="AG518" t="s">
        <v>38</v>
      </c>
      <c r="AH518" t="s">
        <v>3768</v>
      </c>
      <c r="AK518">
        <v>13</v>
      </c>
      <c r="AL518" t="s">
        <v>32</v>
      </c>
      <c r="AM518" t="s">
        <v>3035</v>
      </c>
      <c r="AN518" t="s">
        <v>3036</v>
      </c>
    </row>
    <row r="519" spans="1:40">
      <c r="A519" t="s">
        <v>3037</v>
      </c>
      <c r="B519" t="s">
        <v>34</v>
      </c>
      <c r="C519" t="s">
        <v>391</v>
      </c>
      <c r="D519" t="s">
        <v>392</v>
      </c>
      <c r="E519" s="1">
        <v>46036.806261574071</v>
      </c>
      <c r="F519" t="s">
        <v>74</v>
      </c>
      <c r="G519" t="s">
        <v>776</v>
      </c>
      <c r="H519" t="s">
        <v>3665</v>
      </c>
      <c r="I519" t="s">
        <v>3038</v>
      </c>
      <c r="J519" t="s">
        <v>652</v>
      </c>
      <c r="K519" t="s">
        <v>651</v>
      </c>
      <c r="M519" t="s">
        <v>3529</v>
      </c>
      <c r="O519" t="s">
        <v>3099</v>
      </c>
      <c r="P519" t="s">
        <v>3100</v>
      </c>
      <c r="Q519" t="s">
        <v>3678</v>
      </c>
      <c r="R519" t="s">
        <v>46</v>
      </c>
      <c r="S519" t="s">
        <v>47</v>
      </c>
      <c r="T519" t="s">
        <v>3039</v>
      </c>
      <c r="U519" s="1">
        <v>46077.430138888885</v>
      </c>
      <c r="V519" t="s">
        <v>31</v>
      </c>
      <c r="W519" t="s">
        <v>33</v>
      </c>
      <c r="X519" t="s">
        <v>3525</v>
      </c>
      <c r="Y519" t="s">
        <v>3509</v>
      </c>
      <c r="Z519" t="s">
        <v>38</v>
      </c>
      <c r="AA519" t="s">
        <v>31</v>
      </c>
      <c r="AB519" t="s">
        <v>726</v>
      </c>
      <c r="AC519" t="s">
        <v>30</v>
      </c>
      <c r="AD519" t="s">
        <v>46</v>
      </c>
      <c r="AE519" t="s">
        <v>47</v>
      </c>
      <c r="AF519" t="s">
        <v>3510</v>
      </c>
      <c r="AG519" t="s">
        <v>38</v>
      </c>
      <c r="AH519" t="s">
        <v>3554</v>
      </c>
      <c r="AK519">
        <v>6</v>
      </c>
      <c r="AL519" t="s">
        <v>32</v>
      </c>
      <c r="AM519" t="s">
        <v>393</v>
      </c>
      <c r="AN519" t="s">
        <v>394</v>
      </c>
    </row>
    <row r="520" spans="1:40">
      <c r="A520" t="s">
        <v>3040</v>
      </c>
      <c r="B520" t="s">
        <v>34</v>
      </c>
      <c r="C520" t="s">
        <v>3041</v>
      </c>
      <c r="D520" t="s">
        <v>3042</v>
      </c>
      <c r="E520" s="1">
        <v>46036.641041666669</v>
      </c>
      <c r="F520" t="s">
        <v>171</v>
      </c>
      <c r="G520" t="s">
        <v>776</v>
      </c>
      <c r="H520" t="s">
        <v>3665</v>
      </c>
      <c r="I520" t="s">
        <v>1551</v>
      </c>
      <c r="J520" t="s">
        <v>1219</v>
      </c>
      <c r="K520" t="s">
        <v>134</v>
      </c>
      <c r="M520" t="s">
        <v>3529</v>
      </c>
      <c r="O520" t="s">
        <v>3099</v>
      </c>
      <c r="P520" t="s">
        <v>3100</v>
      </c>
      <c r="R520" t="s">
        <v>162</v>
      </c>
      <c r="S520" t="s">
        <v>163</v>
      </c>
      <c r="T520" t="s">
        <v>164</v>
      </c>
      <c r="U520" s="1">
        <v>46076.522013888891</v>
      </c>
      <c r="V520" t="s">
        <v>31</v>
      </c>
      <c r="W520" t="s">
        <v>33</v>
      </c>
      <c r="X520" t="s">
        <v>3536</v>
      </c>
      <c r="Y520" t="s">
        <v>3511</v>
      </c>
      <c r="Z520" t="s">
        <v>38</v>
      </c>
      <c r="AA520" t="s">
        <v>31</v>
      </c>
      <c r="AB520" t="s">
        <v>104</v>
      </c>
      <c r="AC520" t="s">
        <v>30</v>
      </c>
      <c r="AD520" t="s">
        <v>46</v>
      </c>
      <c r="AE520" t="s">
        <v>659</v>
      </c>
      <c r="AF520" t="s">
        <v>3481</v>
      </c>
      <c r="AG520" t="s">
        <v>38</v>
      </c>
      <c r="AH520" t="s">
        <v>3769</v>
      </c>
      <c r="AJ520" t="s">
        <v>3043</v>
      </c>
      <c r="AK520">
        <v>17</v>
      </c>
      <c r="AL520" t="s">
        <v>32</v>
      </c>
      <c r="AM520" t="s">
        <v>3044</v>
      </c>
      <c r="AN520" t="s">
        <v>3045</v>
      </c>
    </row>
    <row r="521" spans="1:40">
      <c r="A521" t="s">
        <v>3046</v>
      </c>
      <c r="B521" t="s">
        <v>34</v>
      </c>
      <c r="C521" t="s">
        <v>3047</v>
      </c>
      <c r="D521" t="s">
        <v>3048</v>
      </c>
      <c r="E521" s="1">
        <v>46036.346712962964</v>
      </c>
      <c r="F521" t="s">
        <v>150</v>
      </c>
      <c r="G521" t="s">
        <v>776</v>
      </c>
      <c r="H521" t="s">
        <v>3671</v>
      </c>
      <c r="I521" t="s">
        <v>252</v>
      </c>
      <c r="J521" t="s">
        <v>680</v>
      </c>
      <c r="K521" t="s">
        <v>44</v>
      </c>
      <c r="M521" t="s">
        <v>3526</v>
      </c>
      <c r="O521" t="s">
        <v>3099</v>
      </c>
      <c r="P521" t="s">
        <v>3100</v>
      </c>
      <c r="R521" t="s">
        <v>46</v>
      </c>
      <c r="S521" t="s">
        <v>515</v>
      </c>
      <c r="T521" t="s">
        <v>2177</v>
      </c>
      <c r="U521" s="1">
        <v>46077.454664351855</v>
      </c>
      <c r="V521" t="s">
        <v>31</v>
      </c>
      <c r="W521" t="s">
        <v>33</v>
      </c>
      <c r="X521" t="s">
        <v>3536</v>
      </c>
      <c r="Y521" t="s">
        <v>3512</v>
      </c>
      <c r="Z521" t="s">
        <v>38</v>
      </c>
      <c r="AA521" t="s">
        <v>31</v>
      </c>
      <c r="AB521" t="s">
        <v>104</v>
      </c>
      <c r="AC521" t="s">
        <v>30</v>
      </c>
      <c r="AD521" t="s">
        <v>46</v>
      </c>
      <c r="AE521" t="s">
        <v>515</v>
      </c>
      <c r="AF521" t="s">
        <v>2177</v>
      </c>
      <c r="AG521" t="s">
        <v>38</v>
      </c>
      <c r="AH521">
        <v>15026</v>
      </c>
      <c r="AK521">
        <v>26</v>
      </c>
      <c r="AL521" t="s">
        <v>32</v>
      </c>
      <c r="AM521" t="s">
        <v>3049</v>
      </c>
      <c r="AN521" t="s">
        <v>3050</v>
      </c>
    </row>
    <row r="522" spans="1:40">
      <c r="A522" t="s">
        <v>3051</v>
      </c>
      <c r="B522" t="s">
        <v>34</v>
      </c>
      <c r="C522" t="s">
        <v>220</v>
      </c>
      <c r="D522" t="s">
        <v>1404</v>
      </c>
      <c r="E522" s="1">
        <v>46031.39271990741</v>
      </c>
      <c r="F522" t="s">
        <v>161</v>
      </c>
      <c r="G522" t="s">
        <v>776</v>
      </c>
      <c r="H522" t="s">
        <v>3667</v>
      </c>
      <c r="I522" t="s">
        <v>3052</v>
      </c>
      <c r="J522" t="s">
        <v>765</v>
      </c>
      <c r="K522" t="s">
        <v>134</v>
      </c>
      <c r="M522" t="s">
        <v>3526</v>
      </c>
      <c r="O522" t="s">
        <v>3099</v>
      </c>
      <c r="P522" t="s">
        <v>3100</v>
      </c>
      <c r="Q522" t="s">
        <v>3720</v>
      </c>
      <c r="R522" t="s">
        <v>162</v>
      </c>
      <c r="S522" t="s">
        <v>163</v>
      </c>
      <c r="T522" t="s">
        <v>164</v>
      </c>
      <c r="U522" s="1">
        <v>46077.398101851853</v>
      </c>
      <c r="V522" t="s">
        <v>31</v>
      </c>
      <c r="W522" t="s">
        <v>33</v>
      </c>
      <c r="X522" t="s">
        <v>3536</v>
      </c>
      <c r="Y522" t="s">
        <v>3513</v>
      </c>
      <c r="Z522" t="s">
        <v>38</v>
      </c>
      <c r="AA522" t="s">
        <v>31</v>
      </c>
      <c r="AB522" t="s">
        <v>104</v>
      </c>
      <c r="AC522" t="s">
        <v>30</v>
      </c>
      <c r="AD522" t="s">
        <v>46</v>
      </c>
      <c r="AE522" t="s">
        <v>659</v>
      </c>
      <c r="AF522" t="s">
        <v>3514</v>
      </c>
      <c r="AG522" t="s">
        <v>38</v>
      </c>
      <c r="AH522">
        <v>11091</v>
      </c>
      <c r="AJ522" t="s">
        <v>3053</v>
      </c>
      <c r="AK522">
        <v>19</v>
      </c>
      <c r="AL522" t="s">
        <v>32</v>
      </c>
      <c r="AM522" t="s">
        <v>1405</v>
      </c>
      <c r="AN522" t="s">
        <v>1406</v>
      </c>
    </row>
    <row r="523" spans="1:40">
      <c r="A523" t="s">
        <v>3054</v>
      </c>
      <c r="B523" t="s">
        <v>34</v>
      </c>
      <c r="C523" t="s">
        <v>357</v>
      </c>
      <c r="D523" t="s">
        <v>3055</v>
      </c>
      <c r="E523" s="1">
        <v>46030.407754629632</v>
      </c>
      <c r="F523" t="s">
        <v>143</v>
      </c>
      <c r="G523" t="s">
        <v>776</v>
      </c>
      <c r="H523" t="s">
        <v>3670</v>
      </c>
      <c r="I523" t="s">
        <v>3056</v>
      </c>
      <c r="J523" t="s">
        <v>273</v>
      </c>
      <c r="K523" t="s">
        <v>134</v>
      </c>
      <c r="M523" t="s">
        <v>3528</v>
      </c>
      <c r="O523" t="s">
        <v>3099</v>
      </c>
      <c r="P523" t="s">
        <v>3100</v>
      </c>
      <c r="Q523" t="s">
        <v>3678</v>
      </c>
      <c r="R523" t="s">
        <v>46</v>
      </c>
      <c r="S523" t="s">
        <v>94</v>
      </c>
      <c r="T523" t="s">
        <v>95</v>
      </c>
      <c r="U523" s="1">
        <v>46073.363206018519</v>
      </c>
      <c r="V523" t="s">
        <v>31</v>
      </c>
      <c r="W523" t="s">
        <v>33</v>
      </c>
      <c r="X523" t="s">
        <v>3536</v>
      </c>
      <c r="Y523" t="s">
        <v>3515</v>
      </c>
      <c r="Z523" t="s">
        <v>1775</v>
      </c>
      <c r="AA523" t="s">
        <v>31</v>
      </c>
      <c r="AB523" t="s">
        <v>104</v>
      </c>
      <c r="AC523" t="s">
        <v>30</v>
      </c>
      <c r="AD523" t="s">
        <v>46</v>
      </c>
      <c r="AE523" t="s">
        <v>94</v>
      </c>
      <c r="AF523" t="s">
        <v>95</v>
      </c>
      <c r="AG523" t="s">
        <v>1775</v>
      </c>
      <c r="AH523">
        <v>15084</v>
      </c>
      <c r="AJ523">
        <v>191188</v>
      </c>
      <c r="AK523">
        <v>13</v>
      </c>
      <c r="AL523" t="s">
        <v>32</v>
      </c>
      <c r="AM523" t="s">
        <v>3057</v>
      </c>
      <c r="AN523" t="s">
        <v>3058</v>
      </c>
    </row>
    <row r="524" spans="1:40">
      <c r="A524" t="s">
        <v>3059</v>
      </c>
      <c r="B524" t="s">
        <v>24</v>
      </c>
      <c r="C524" t="s">
        <v>3060</v>
      </c>
      <c r="D524" t="s">
        <v>3061</v>
      </c>
      <c r="E524" s="1">
        <v>46030.398217592592</v>
      </c>
      <c r="F524" t="s">
        <v>298</v>
      </c>
      <c r="G524" t="s">
        <v>776</v>
      </c>
      <c r="H524" t="s">
        <v>3669</v>
      </c>
      <c r="I524" t="s">
        <v>3062</v>
      </c>
      <c r="J524" t="s">
        <v>494</v>
      </c>
      <c r="K524" t="s">
        <v>134</v>
      </c>
      <c r="M524" t="s">
        <v>3526</v>
      </c>
      <c r="O524" t="s">
        <v>3103</v>
      </c>
      <c r="P524" t="s">
        <v>3104</v>
      </c>
      <c r="Q524" t="s">
        <v>3716</v>
      </c>
      <c r="R524" t="s">
        <v>162</v>
      </c>
      <c r="S524" t="s">
        <v>163</v>
      </c>
      <c r="T524" t="s">
        <v>164</v>
      </c>
      <c r="U524" s="1">
        <v>46076.716585648152</v>
      </c>
      <c r="V524" t="s">
        <v>31</v>
      </c>
      <c r="W524" t="s">
        <v>33</v>
      </c>
      <c r="X524" t="s">
        <v>3536</v>
      </c>
      <c r="Y524" t="s">
        <v>3516</v>
      </c>
      <c r="Z524" t="s">
        <v>38</v>
      </c>
      <c r="AA524" t="s">
        <v>31</v>
      </c>
      <c r="AB524" t="s">
        <v>104</v>
      </c>
      <c r="AC524" t="s">
        <v>86</v>
      </c>
      <c r="AD524" t="s">
        <v>46</v>
      </c>
      <c r="AE524" t="s">
        <v>313</v>
      </c>
      <c r="AF524" t="s">
        <v>3517</v>
      </c>
      <c r="AG524" t="s">
        <v>38</v>
      </c>
      <c r="AH524">
        <v>4718</v>
      </c>
      <c r="AK524">
        <v>34</v>
      </c>
      <c r="AL524" t="s">
        <v>32</v>
      </c>
      <c r="AM524" t="s">
        <v>3063</v>
      </c>
      <c r="AN524" t="s">
        <v>3064</v>
      </c>
    </row>
    <row r="525" spans="1:40">
      <c r="A525" t="s">
        <v>3065</v>
      </c>
      <c r="B525" t="s">
        <v>24</v>
      </c>
      <c r="C525" t="s">
        <v>169</v>
      </c>
      <c r="D525" t="s">
        <v>257</v>
      </c>
      <c r="E525" s="1">
        <v>46028.461076388892</v>
      </c>
      <c r="F525" t="s">
        <v>62</v>
      </c>
      <c r="G525" t="s">
        <v>776</v>
      </c>
      <c r="H525" t="s">
        <v>3668</v>
      </c>
      <c r="I525" t="s">
        <v>3066</v>
      </c>
      <c r="J525" t="s">
        <v>642</v>
      </c>
      <c r="K525" t="s">
        <v>134</v>
      </c>
      <c r="M525" t="s">
        <v>3528</v>
      </c>
      <c r="O525" t="s">
        <v>3103</v>
      </c>
      <c r="P525" t="s">
        <v>3104</v>
      </c>
      <c r="Q525" t="s">
        <v>3686</v>
      </c>
      <c r="R525" t="s">
        <v>46</v>
      </c>
      <c r="S525" t="s">
        <v>582</v>
      </c>
      <c r="T525" t="s">
        <v>3067</v>
      </c>
      <c r="U525" s="1">
        <v>46072.538043981483</v>
      </c>
      <c r="V525" t="s">
        <v>31</v>
      </c>
      <c r="W525" t="s">
        <v>33</v>
      </c>
      <c r="X525" t="s">
        <v>3525</v>
      </c>
      <c r="Y525" t="e">
        <f>- the laptop has been re-imaged  - data recovered</f>
        <v>#NAME?</v>
      </c>
      <c r="Z525" t="s">
        <v>1775</v>
      </c>
      <c r="AA525" t="s">
        <v>31</v>
      </c>
      <c r="AB525" t="s">
        <v>243</v>
      </c>
      <c r="AC525" t="s">
        <v>86</v>
      </c>
      <c r="AD525" t="s">
        <v>46</v>
      </c>
      <c r="AE525" t="s">
        <v>582</v>
      </c>
      <c r="AF525" t="s">
        <v>3067</v>
      </c>
      <c r="AG525" t="s">
        <v>1775</v>
      </c>
      <c r="AH525">
        <v>12173</v>
      </c>
      <c r="AJ525" t="s">
        <v>3068</v>
      </c>
      <c r="AK525">
        <v>13</v>
      </c>
      <c r="AL525" t="s">
        <v>32</v>
      </c>
      <c r="AM525" t="s">
        <v>258</v>
      </c>
      <c r="AN525" t="s">
        <v>259</v>
      </c>
    </row>
    <row r="526" spans="1:40">
      <c r="A526" t="s">
        <v>3069</v>
      </c>
      <c r="B526" t="s">
        <v>24</v>
      </c>
      <c r="C526" t="s">
        <v>3070</v>
      </c>
      <c r="D526" t="s">
        <v>758</v>
      </c>
      <c r="E526" s="1">
        <v>46026.863078703704</v>
      </c>
      <c r="F526" t="s">
        <v>26</v>
      </c>
      <c r="G526" t="s">
        <v>776</v>
      </c>
      <c r="H526" t="s">
        <v>3665</v>
      </c>
      <c r="I526" t="s">
        <v>3071</v>
      </c>
      <c r="J526" t="s">
        <v>652</v>
      </c>
      <c r="K526" t="s">
        <v>651</v>
      </c>
      <c r="M526" t="s">
        <v>3529</v>
      </c>
      <c r="O526" t="s">
        <v>3103</v>
      </c>
      <c r="P526" t="s">
        <v>3104</v>
      </c>
      <c r="Q526" t="s">
        <v>3678</v>
      </c>
      <c r="R526" t="s">
        <v>46</v>
      </c>
      <c r="S526" t="s">
        <v>188</v>
      </c>
      <c r="T526" t="s">
        <v>521</v>
      </c>
      <c r="U526" s="1">
        <v>46076.705925925926</v>
      </c>
      <c r="V526" t="s">
        <v>31</v>
      </c>
      <c r="W526" t="s">
        <v>33</v>
      </c>
      <c r="X526" t="s">
        <v>3530</v>
      </c>
      <c r="Y526" t="s">
        <v>3518</v>
      </c>
      <c r="Z526" t="s">
        <v>38</v>
      </c>
      <c r="AA526" t="s">
        <v>31</v>
      </c>
      <c r="AB526" t="s">
        <v>49</v>
      </c>
      <c r="AC526" t="s">
        <v>86</v>
      </c>
      <c r="AD526" t="s">
        <v>46</v>
      </c>
      <c r="AE526" t="s">
        <v>188</v>
      </c>
      <c r="AF526" t="s">
        <v>521</v>
      </c>
      <c r="AG526" t="s">
        <v>38</v>
      </c>
      <c r="AH526" t="s">
        <v>3770</v>
      </c>
      <c r="AK526">
        <v>1</v>
      </c>
      <c r="AL526" t="s">
        <v>32</v>
      </c>
      <c r="AM526" t="s">
        <v>3072</v>
      </c>
      <c r="AN526" t="s">
        <v>3073</v>
      </c>
    </row>
    <row r="527" spans="1:40">
      <c r="A527" t="s">
        <v>3074</v>
      </c>
      <c r="B527" t="s">
        <v>24</v>
      </c>
      <c r="C527" t="s">
        <v>3075</v>
      </c>
      <c r="D527" t="s">
        <v>3076</v>
      </c>
      <c r="E527" s="1">
        <v>46020.65420138889</v>
      </c>
      <c r="F527" t="s">
        <v>77</v>
      </c>
      <c r="G527" t="s">
        <v>776</v>
      </c>
      <c r="H527" t="s">
        <v>3669</v>
      </c>
      <c r="I527" t="s">
        <v>3077</v>
      </c>
      <c r="J527" t="s">
        <v>231</v>
      </c>
      <c r="K527" t="s">
        <v>134</v>
      </c>
      <c r="M527" t="s">
        <v>3526</v>
      </c>
      <c r="O527" t="s">
        <v>3103</v>
      </c>
      <c r="P527" t="s">
        <v>3104</v>
      </c>
      <c r="Q527" t="s">
        <v>3679</v>
      </c>
      <c r="R527" t="s">
        <v>46</v>
      </c>
      <c r="S527" t="s">
        <v>197</v>
      </c>
      <c r="T527" t="s">
        <v>725</v>
      </c>
      <c r="U527" s="1">
        <v>46076.50613425926</v>
      </c>
      <c r="V527" t="s">
        <v>31</v>
      </c>
      <c r="W527" t="s">
        <v>480</v>
      </c>
      <c r="X527" t="s">
        <v>3530</v>
      </c>
      <c r="Y527" t="s">
        <v>3519</v>
      </c>
      <c r="Z527" t="s">
        <v>38</v>
      </c>
      <c r="AA527" t="s">
        <v>31</v>
      </c>
      <c r="AB527" t="s">
        <v>367</v>
      </c>
      <c r="AC527" t="s">
        <v>86</v>
      </c>
      <c r="AD527" t="s">
        <v>46</v>
      </c>
      <c r="AE527" t="s">
        <v>582</v>
      </c>
      <c r="AF527" t="s">
        <v>3520</v>
      </c>
      <c r="AG527" t="s">
        <v>38</v>
      </c>
      <c r="AH527">
        <v>2590</v>
      </c>
      <c r="AJ527" t="s">
        <v>3078</v>
      </c>
      <c r="AK527">
        <v>21</v>
      </c>
      <c r="AL527" t="s">
        <v>32</v>
      </c>
      <c r="AM527" t="s">
        <v>3079</v>
      </c>
      <c r="AN527" t="s">
        <v>3080</v>
      </c>
    </row>
    <row r="528" spans="1:40">
      <c r="A528" t="s">
        <v>3081</v>
      </c>
      <c r="B528" t="s">
        <v>34</v>
      </c>
      <c r="C528" t="s">
        <v>3082</v>
      </c>
      <c r="D528" t="s">
        <v>3083</v>
      </c>
      <c r="E528" s="1">
        <v>46009.084085648145</v>
      </c>
      <c r="F528" t="s">
        <v>62</v>
      </c>
      <c r="G528" t="s">
        <v>776</v>
      </c>
      <c r="H528" t="s">
        <v>3668</v>
      </c>
      <c r="I528" t="s">
        <v>3084</v>
      </c>
      <c r="J528" t="s">
        <v>320</v>
      </c>
      <c r="K528" t="s">
        <v>134</v>
      </c>
      <c r="M528" t="s">
        <v>3526</v>
      </c>
      <c r="O528" t="s">
        <v>3099</v>
      </c>
      <c r="P528" t="s">
        <v>3100</v>
      </c>
      <c r="Q528" t="s">
        <v>3695</v>
      </c>
      <c r="R528" t="s">
        <v>46</v>
      </c>
      <c r="S528" t="s">
        <v>659</v>
      </c>
      <c r="T528" t="s">
        <v>1514</v>
      </c>
      <c r="U528" s="1">
        <v>46076.36</v>
      </c>
      <c r="V528" t="s">
        <v>31</v>
      </c>
      <c r="W528" t="s">
        <v>33</v>
      </c>
      <c r="X528" t="s">
        <v>3525</v>
      </c>
      <c r="Y528" t="s">
        <v>3521</v>
      </c>
      <c r="Z528" t="s">
        <v>38</v>
      </c>
      <c r="AA528" t="s">
        <v>31</v>
      </c>
      <c r="AB528" t="s">
        <v>899</v>
      </c>
      <c r="AC528" t="s">
        <v>30</v>
      </c>
      <c r="AD528" t="s">
        <v>46</v>
      </c>
      <c r="AE528" t="s">
        <v>659</v>
      </c>
      <c r="AF528" t="s">
        <v>3243</v>
      </c>
      <c r="AG528" t="s">
        <v>38</v>
      </c>
      <c r="AH528" t="s">
        <v>3771</v>
      </c>
      <c r="AJ528" t="s">
        <v>3085</v>
      </c>
      <c r="AK528">
        <v>16</v>
      </c>
      <c r="AL528" t="s">
        <v>32</v>
      </c>
      <c r="AM528" t="s">
        <v>3086</v>
      </c>
      <c r="AN528" t="s">
        <v>3087</v>
      </c>
    </row>
    <row r="529" spans="1:40">
      <c r="A529" t="s">
        <v>3088</v>
      </c>
      <c r="B529" t="s">
        <v>34</v>
      </c>
      <c r="C529" t="s">
        <v>261</v>
      </c>
      <c r="D529" t="s">
        <v>450</v>
      </c>
      <c r="E529" s="1">
        <v>46001.357523148145</v>
      </c>
      <c r="F529" t="s">
        <v>226</v>
      </c>
      <c r="G529" t="s">
        <v>776</v>
      </c>
      <c r="H529" t="s">
        <v>3665</v>
      </c>
      <c r="I529" t="s">
        <v>3009</v>
      </c>
      <c r="J529" t="s">
        <v>494</v>
      </c>
      <c r="K529" t="s">
        <v>134</v>
      </c>
      <c r="M529" t="s">
        <v>3526</v>
      </c>
      <c r="O529" t="s">
        <v>3099</v>
      </c>
      <c r="P529" t="s">
        <v>3100</v>
      </c>
      <c r="Q529" t="s">
        <v>3689</v>
      </c>
      <c r="R529" t="s">
        <v>162</v>
      </c>
      <c r="S529" t="s">
        <v>163</v>
      </c>
      <c r="T529" t="s">
        <v>164</v>
      </c>
      <c r="U529" s="1">
        <v>46078.356122685182</v>
      </c>
      <c r="V529" t="s">
        <v>31</v>
      </c>
      <c r="W529" t="s">
        <v>33</v>
      </c>
      <c r="X529" t="s">
        <v>3536</v>
      </c>
      <c r="Y529" t="s">
        <v>3498</v>
      </c>
      <c r="Z529" t="s">
        <v>38</v>
      </c>
      <c r="AA529" t="s">
        <v>31</v>
      </c>
      <c r="AB529" t="s">
        <v>104</v>
      </c>
      <c r="AC529" t="s">
        <v>30</v>
      </c>
      <c r="AD529" t="s">
        <v>46</v>
      </c>
      <c r="AE529" t="s">
        <v>910</v>
      </c>
      <c r="AF529" t="s">
        <v>3499</v>
      </c>
      <c r="AG529" t="s">
        <v>38</v>
      </c>
      <c r="AH529">
        <v>2833</v>
      </c>
      <c r="AJ529" t="s">
        <v>3089</v>
      </c>
      <c r="AK529">
        <v>25</v>
      </c>
      <c r="AL529" t="s">
        <v>32</v>
      </c>
      <c r="AM529" t="s">
        <v>451</v>
      </c>
      <c r="AN529" t="s">
        <v>452</v>
      </c>
    </row>
  </sheetData>
  <pageMargins left="0.7" right="0.7" top="0.75" bottom="0.75" header="0.3" footer="0.3"/>
  <pageSetup orientation="portrait" r:id="rId1"/>
  <headerFooter>
    <oddFooter>&amp;L&amp;"Calibri,Regular"&amp;12&amp;K000000This information has been &amp;B&amp;K000000Classified | &amp;KFF9900Confidential&amp;B&amp;K000000. Do not distribute outside the organization under any circumstances. For more information, please review the information security policy.</oddFooter>
    <evenFooter>&amp;L&amp;"Calibri,Regular"&amp;12&amp;K000000This information has been &amp;B&amp;K000000Classified | &amp;KFF9900Confidential&amp;B&amp;K000000. Do not distribute outside the organization under any circumstances. For more information, please review the information security policy.</evenFooter>
    <firstFooter>&amp;L&amp;"Calibri,Regular"&amp;12&amp;K000000This information has been &amp;B&amp;K000000Classified | &amp;KFF9900Confidential&amp;B&amp;K000000. Do not distribute outside the organization under any circumstances. For more information, please review the information security policy.</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2:K20"/>
  <sheetViews>
    <sheetView workbookViewId="0">
      <selection activeCell="K20" sqref="K20"/>
    </sheetView>
  </sheetViews>
  <sheetFormatPr defaultRowHeight="14"/>
  <cols>
    <col min="1" max="1" width="18.58203125" customWidth="1"/>
    <col min="8" max="8" width="14.4140625" customWidth="1"/>
    <col min="9" max="9" width="19" customWidth="1"/>
  </cols>
  <sheetData>
    <row r="2" spans="1:11">
      <c r="I2" t="s">
        <v>3776</v>
      </c>
      <c r="J2">
        <v>349</v>
      </c>
      <c r="K2" s="4"/>
    </row>
    <row r="3" spans="1:11">
      <c r="A3" t="s">
        <v>3777</v>
      </c>
      <c r="B3">
        <v>363</v>
      </c>
      <c r="I3" t="s">
        <v>3778</v>
      </c>
      <c r="J3">
        <v>179</v>
      </c>
    </row>
    <row r="4" spans="1:11">
      <c r="A4" t="s">
        <v>3776</v>
      </c>
      <c r="B4">
        <v>349</v>
      </c>
      <c r="J4">
        <f>SUM(J2:J3)</f>
        <v>528</v>
      </c>
    </row>
    <row r="7" spans="1:11">
      <c r="I7" s="4"/>
    </row>
    <row r="13" spans="1:11">
      <c r="A13" t="s">
        <v>3779</v>
      </c>
      <c r="B13">
        <v>116</v>
      </c>
      <c r="I13" s="5"/>
    </row>
    <row r="14" spans="1:11">
      <c r="A14" t="s">
        <v>3778</v>
      </c>
      <c r="B14">
        <v>179</v>
      </c>
    </row>
    <row r="18" spans="9:10">
      <c r="I18" s="5">
        <f>527/528</f>
        <v>0.99810606060606055</v>
      </c>
      <c r="J18" s="6">
        <v>1</v>
      </c>
    </row>
    <row r="20" spans="9:10">
      <c r="I20" s="5">
        <f>373/479</f>
        <v>0.77870563674321502</v>
      </c>
    </row>
  </sheetData>
  <pageMargins left="0.7" right="0.7" top="0.75" bottom="0.75" header="0.3" footer="0.3"/>
  <pageSetup orientation="portrait" r:id="rId1"/>
  <headerFooter>
    <oddFooter>&amp;L&amp;"Calibri,Regular"&amp;12&amp;K000000This information has been &amp;B&amp;K000000Classified | &amp;KFF9900Confidential&amp;B&amp;K000000. Do not distribute outside the organization under any circumstances. For more information, please review the information security policy.</oddFooter>
    <evenFooter>&amp;L&amp;"Calibri,Regular"&amp;12&amp;K000000This information has been &amp;B&amp;K000000Classified | &amp;KFF9900Confidential&amp;B&amp;K000000. Do not distribute outside the organization under any circumstances. For more information, please review the information security policy.</evenFooter>
    <firstFooter>&amp;L&amp;"Calibri,Regular"&amp;12&amp;K000000This information has been &amp;B&amp;K000000Classified | &amp;KFF9900Confidential&amp;B&amp;K000000. Do not distribute outside the organization under any circumstances. For more information, please review the information security policy.</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cbbff033-f995-442f-901f-e7becb3f68ec" origin="userSelected">
  <element uid="190fed2a-1b96-477b-90dd-ce71f3ed3a45" value=""/>
</sisl>
</file>

<file path=customXml/itemProps1.xml><?xml version="1.0" encoding="utf-8"?>
<ds:datastoreItem xmlns:ds="http://schemas.openxmlformats.org/officeDocument/2006/customXml" ds:itemID="{2C580577-9C40-46EA-B665-2DC5416025DC}">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open</vt:lpstr>
      <vt:lpstr>Open</vt:lpstr>
      <vt:lpstr>Pivot closed</vt:lpstr>
      <vt:lpstr>Closed</vt:lpstr>
      <vt:lpstr>Consolidated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Deepthi Satheesan-Contractor</dc:creator>
  <cp:lastModifiedBy>Maher</cp:lastModifiedBy>
  <dcterms:created xsi:type="dcterms:W3CDTF">2026-02-26T06:03:23Z</dcterms:created>
  <dcterms:modified xsi:type="dcterms:W3CDTF">2026-02-26T19:40:39Z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a3249107-6c5b-4542-b78e-92d021f6ccd3</vt:lpwstr>
  </property>
  <property fmtid="{D5CDD505-2E9C-101B-9397-08002B2CF9AE}" pid="3" name="bjSaver">
    <vt:lpwstr>4UPuUHdbNTeyyOCabn52zCFRasV9Auuu</vt:lpwstr>
  </property>
  <property fmtid="{D5CDD505-2E9C-101B-9397-08002B2CF9AE}" pid="4" name="bjDocumentLabelXML">
    <vt:lpwstr>&lt;?xml version="1.0" encoding="us-ascii"?&gt;&lt;sisl xmlns:xsd="http://www.w3.org/2001/XMLSchema" xmlns:xsi="http://www.w3.org/2001/XMLSchema-instance" sislVersion="0" policy="cbbff033-f995-442f-901f-e7becb3f68ec" origin="userSelected" xmlns="http://www.boldonj</vt:lpwstr>
  </property>
  <property fmtid="{D5CDD505-2E9C-101B-9397-08002B2CF9AE}" pid="5" name="bjDocumentLabelXML-0">
    <vt:lpwstr>ames.com/2008/01/sie/internal/label"&gt;&lt;element uid="190fed2a-1b96-477b-90dd-ce71f3ed3a45" value="" /&gt;&lt;/sisl&gt;</vt:lpwstr>
  </property>
  <property fmtid="{D5CDD505-2E9C-101B-9397-08002B2CF9AE}" pid="6" name="bjDocumentSecurityLabel">
    <vt:lpwstr>Confidential</vt:lpwstr>
  </property>
  <property fmtid="{D5CDD505-2E9C-101B-9397-08002B2CF9AE}" pid="7" name="bjClsUserRVM">
    <vt:lpwstr>[]</vt:lpwstr>
  </property>
  <property fmtid="{D5CDD505-2E9C-101B-9397-08002B2CF9AE}" pid="8" name="bjLeftFooterLabel-first">
    <vt:lpwstr>&amp;"Calibri,Regular"&amp;12&amp;K000000This information has been &amp;B&amp;K000000Classified | &amp;KFF9900Confidential&amp;B&amp;K000000. Do not distribute outside the organization under any circumstances. For more information, please review the information security policy.</vt:lpwstr>
  </property>
  <property fmtid="{D5CDD505-2E9C-101B-9397-08002B2CF9AE}" pid="9" name="bjLeftFooterLabel-even">
    <vt:lpwstr>&amp;"Calibri,Regular"&amp;12&amp;K000000This information has been &amp;B&amp;K000000Classified | &amp;KFF9900Confidential&amp;B&amp;K000000. Do not distribute outside the organization under any circumstances. For more information, please review the information security policy.</vt:lpwstr>
  </property>
  <property fmtid="{D5CDD505-2E9C-101B-9397-08002B2CF9AE}" pid="10" name="bjLeftFooterLabel">
    <vt:lpwstr>&amp;"Calibri,Regular"&amp;12&amp;K000000This information has been &amp;B&amp;K000000Classified | &amp;KFF9900Confidential&amp;B&amp;K000000. Do not distribute outside the organization under any circumstances. For more information, please review the information security policy.</vt:lpwstr>
  </property>
</Properties>
</file>